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49F7E127-D3D3-4F48-9784-D8B33A6844B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" i="2" l="1"/>
  <c r="CP8" i="2"/>
  <c r="CP16" i="2"/>
  <c r="CP25" i="2"/>
  <c r="CP24" i="2"/>
  <c r="CP34" i="2"/>
  <c r="CP14" i="2"/>
  <c r="CP32" i="2"/>
  <c r="CP29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9" i="2"/>
  <c r="CP10" i="2"/>
  <c r="CK12" i="2"/>
  <c r="CP11" i="2"/>
  <c r="CK34" i="2"/>
  <c r="CP7" i="2"/>
  <c r="CK13" i="2"/>
  <c r="CK10" i="2"/>
  <c r="CK16" i="2"/>
  <c r="CK21" i="2"/>
  <c r="CK2" i="2"/>
  <c r="CK25" i="2"/>
  <c r="CK37" i="2"/>
  <c r="CK31" i="2"/>
  <c r="CK6" i="2"/>
  <c r="CK27" i="2"/>
  <c r="CK24" i="2"/>
  <c r="CK19" i="2"/>
  <c r="CK36" i="2"/>
  <c r="CK33" i="2"/>
  <c r="CK30" i="2"/>
  <c r="CK20" i="2"/>
  <c r="CK28" i="2"/>
  <c r="CK22" i="2"/>
  <c r="CK7" i="2"/>
  <c r="CP4" i="2"/>
  <c r="CP12" i="2"/>
  <c r="CP9" i="2"/>
  <c r="CK26" i="2"/>
  <c r="CK8" i="2"/>
  <c r="CP5" i="2"/>
  <c r="CK35" i="2"/>
  <c r="CK32" i="2"/>
  <c r="CK29" i="2"/>
  <c r="CK15" i="2"/>
  <c r="CK5" i="2"/>
  <c r="CK23" i="2"/>
  <c r="CK18" i="2"/>
  <c r="CK4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3" i="2"/>
  <c r="CP28" i="2"/>
  <c r="CP19" i="2"/>
  <c r="CP36" i="2"/>
  <c r="CP33" i="2"/>
  <c r="CP30" i="2"/>
  <c r="CP22" i="2"/>
  <c r="CP27" i="2"/>
  <c r="CP15" i="2"/>
  <c r="CP26" i="2"/>
  <c r="CP23" i="2"/>
  <c r="CP37" i="2"/>
  <c r="CP18" i="2"/>
  <c r="CP35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<sst xmlns="http://schemas.openxmlformats.org/spreadsheetml/2006/main" count="2226" uniqueCount="271">
  <si>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</si>
  <si>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</si>
  <si>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</si>
  <si>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</si>
  <si>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</si>
  <si>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</si>
  <si>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</si>
  <si>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</si>
  <si>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</si>
  <si>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</si>
  <si>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</si>
  <si>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</si>
  <si>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</si>
  <si>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</si>
  <si>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</si>
  <si>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</si>
  <si>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</si>
  <si>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</si>
  <si>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</si>
  <si>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</si>
  <si>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</si>
  <si>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</si>
  <si>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</si>
  <si>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</si>
  <si>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</si>
  <si>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</si>
  <si>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</si>
  <si>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</si>
  <si>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</si>
  <si>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</si>
  <si>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</si>
  <si>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</si>
  <si>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</si>
  <si>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</si>
  <si>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</si>
  <si>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</si>
  <si>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</si>
  <si>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</si>
  <si>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</si>
  <si>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</si>
  <si>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</si>
  <si>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</si>
  <si>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</si>
  <si>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</si>
  <si>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</si>
  <si>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</si>
  <si>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</si>
  <si>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</si>
  <si>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</si>
  <si>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</si>
  <si>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</si>
  <si>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</si>
  <si>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</si>
  <si>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</si>
  <si>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</si>
  <si>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</si>
  <si>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</si>
  <si>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</si>
  <si>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</si>
  <si>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</si>
  <si>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</si>
  <si>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</si>
  <si>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</si>
  <si>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</si>
  <si>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</si>
  <si>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</si>
  <si>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</si>
  <si>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</si>
  <si>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</si>
  <si>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</si>
  <si>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</si>
  <si>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</si>
  <si>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</si>
  <si>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</si>
  <si>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</si>
  <si>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</si>
  <si>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</si>
  <si>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</si>
  <si>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</si>
  <si>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</si>
  <si>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</si>
  <si>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</si>
  <si>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</si>
  <si>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</si>
  <si>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</si>
  <si>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</si>
  <si>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</si>
  <si>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</si>
  <si>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</si>
  <si>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</si>
  <si>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</si>
  <si>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</si>
  <si>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</si>
  <si>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</si>
  <si>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</si>
  <si>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</si>
  <si>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</si>
  <si>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</si>
  <si>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</si>
  <si>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</si>
  <si>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</si>
  <si>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</si>
  <si>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</si>
  <si>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</si>
  <si>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</si>
  <si>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</si>
  <si>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</si>
  <si>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</si>
  <si>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</si>
  <si>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</si>
  <si>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</si>
  <si>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</si>
  <si>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</si>
  <si>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</si>
  <si>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</si>
  <si>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</si>
  <si>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</si>
  <si>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</si>
  <si>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</si>
  <si>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</si>
  <si>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</si>
  <si>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</si>
  <si>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</si>
  <si>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</si>
  <si>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</si>
  <si>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</si>
  <si>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</si>
  <si>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</si>
  <si>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</si>
  <si>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</si>
  <si>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</si>
  <si>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</si>
  <si>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</si>
  <si>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y</t>
  </si>
  <si>
    <t>f</t>
  </si>
  <si>
    <t>oz</t>
  </si>
  <si>
    <t>w</t>
  </si>
  <si>
    <t>oc</t>
  </si>
  <si>
    <t>or</t>
  </si>
  <si>
    <t>c</t>
  </si>
  <si>
    <t>B</t>
  </si>
  <si>
    <t>orrr</t>
  </si>
  <si>
    <t>oell</t>
  </si>
  <si>
    <t>oelr</t>
  </si>
  <si>
    <t>MTL</t>
  </si>
  <si>
    <t>r</t>
  </si>
  <si>
    <t>dz</t>
  </si>
  <si>
    <t>dz exit</t>
  </si>
  <si>
    <t>nr</t>
  </si>
  <si>
    <t>nl</t>
  </si>
  <si>
    <t>Y</t>
  </si>
  <si>
    <t>nz</t>
  </si>
  <si>
    <t>nz regroup</t>
  </si>
  <si>
    <t>2 on 1</t>
  </si>
  <si>
    <t>dr</t>
  </si>
  <si>
    <t>orrl</t>
  </si>
  <si>
    <t>5v4</t>
  </si>
  <si>
    <t>ol</t>
  </si>
  <si>
    <t>O</t>
  </si>
  <si>
    <t>oelc</t>
  </si>
  <si>
    <t>opr</t>
  </si>
  <si>
    <t>oz faceoff</t>
  </si>
  <si>
    <t>o</t>
  </si>
  <si>
    <t>T</t>
  </si>
  <si>
    <t>s</t>
  </si>
  <si>
    <t>opl</t>
  </si>
  <si>
    <t>t</t>
  </si>
  <si>
    <t>dsr</t>
  </si>
  <si>
    <t>controlled breakout</t>
  </si>
  <si>
    <t>nz reload</t>
  </si>
  <si>
    <t>b</t>
  </si>
  <si>
    <t>oelpl</t>
  </si>
  <si>
    <t>orrc</t>
  </si>
  <si>
    <t>dl</t>
  </si>
  <si>
    <t>ofp</t>
  </si>
  <si>
    <t>oelpr</t>
  </si>
  <si>
    <t>4v5</t>
  </si>
  <si>
    <t>D</t>
  </si>
  <si>
    <t>71T.B</t>
  </si>
  <si>
    <t>N</t>
  </si>
  <si>
    <t>C</t>
  </si>
  <si>
    <t>21MTL</t>
  </si>
  <si>
    <t>CLE</t>
  </si>
  <si>
    <t>20MTL</t>
  </si>
  <si>
    <t>81T.B</t>
  </si>
  <si>
    <t>L</t>
  </si>
  <si>
    <t>PEX</t>
  </si>
  <si>
    <t>27T.B</t>
  </si>
  <si>
    <t>48MTL</t>
  </si>
  <si>
    <t>71MTL</t>
  </si>
  <si>
    <t>28T.B</t>
  </si>
  <si>
    <t>EXC</t>
  </si>
  <si>
    <t>78T.B</t>
  </si>
  <si>
    <t>20T.B</t>
  </si>
  <si>
    <t>47MTL</t>
  </si>
  <si>
    <t>R</t>
  </si>
  <si>
    <t>72MTL</t>
  </si>
  <si>
    <t>MEX</t>
  </si>
  <si>
    <t>F</t>
  </si>
  <si>
    <t>37T.B</t>
  </si>
  <si>
    <t>21T.B</t>
  </si>
  <si>
    <t>8MTL</t>
  </si>
  <si>
    <t>93MTL</t>
  </si>
  <si>
    <t>90T.B</t>
  </si>
  <si>
    <t>43T.B</t>
  </si>
  <si>
    <t>85MTL</t>
  </si>
  <si>
    <t>86T.B</t>
  </si>
  <si>
    <t>93T.B</t>
  </si>
  <si>
    <t>75MTL</t>
  </si>
  <si>
    <t>X</t>
  </si>
  <si>
    <t>51T.B</t>
  </si>
  <si>
    <t>FEX</t>
  </si>
  <si>
    <t>38T.B</t>
  </si>
  <si>
    <t>CEX</t>
  </si>
  <si>
    <t>14MTL</t>
  </si>
  <si>
    <t>15MTL</t>
  </si>
  <si>
    <t>76MTL</t>
  </si>
  <si>
    <t>13MTL</t>
  </si>
  <si>
    <t>45MTL</t>
  </si>
  <si>
    <t>59T.B</t>
  </si>
  <si>
    <t>91MTL</t>
  </si>
  <si>
    <t>24MTL</t>
  </si>
  <si>
    <t>77MTL</t>
  </si>
  <si>
    <t>10T.B</t>
  </si>
  <si>
    <t>BOT</t>
  </si>
  <si>
    <t>17MTL</t>
  </si>
  <si>
    <t>227T.B</t>
  </si>
  <si>
    <t>14T.B</t>
  </si>
  <si>
    <t>17T.B</t>
  </si>
  <si>
    <t>88T.B</t>
  </si>
  <si>
    <t>Anthony Cirelli</t>
  </si>
  <si>
    <t>Brandon Hagel</t>
  </si>
  <si>
    <t>Brayden Point</t>
  </si>
  <si>
    <t>Charle-Edouard D'Astous</t>
  </si>
  <si>
    <t>Conor Geekie</t>
  </si>
  <si>
    <t>Corey Perry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</si>
  <si>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</si>
  <si>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</si>
  <si>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</si>
  <si>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</si>
  <si>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</si>
  <si>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</si>
  <si>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</si>
  <si>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Nick Paul</t>
  </si>
  <si>
    <t>Nikita Kucherov</t>
  </si>
  <si>
    <t>Ryan McDonagh</t>
  </si>
  <si>
    <t>Yanni Gourde</t>
  </si>
  <si>
    <t>Zemgus Girgensons</t>
  </si>
  <si>
    <t>Alex Newhook</t>
  </si>
  <si>
    <t>Alexandre Carrier</t>
  </si>
  <si>
    <t>Alexandre Texier</t>
  </si>
  <si>
    <t>Arber Xhekaj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</si>
  <si>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</si>
  <si>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</si>
  <si>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</si>
  <si>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</si>
  <si>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</si>
  <si>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</si>
  <si>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</si>
  <si>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</si>
  <si>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</si>
  <si>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</si>
  <si>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</si>
  <si>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Oliver Kapanen</t>
  </si>
  <si>
    <t>Phillip Danault</t>
  </si>
  <si>
    <t>Zachary Bolduc</t>
  </si>
  <si>
    <t>Jakub Dobes</t>
  </si>
  <si>
    <t>G</t>
  </si>
  <si>
    <t>Andrei Vasilevskiy</t>
  </si>
  <si>
    <t>2025-26p</t>
  </si>
  <si>
    <t>TB vs. MTL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</si>
</sst>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1" activePane="bottomRight" state="frozen"/>
      <selection pane="topRight" activeCell="D1" sqref="D1"/>
      <selection pane="bottomLeft" activeCell="A2" sqref="A2"/>
      <selection pane="bottomRight" activeCell="A2" sqref="A2:XFD2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130</v>
      </c>
      <c r="D2" s="1" t="s">
        <v>131</v>
      </c>
      <c r="E2" s="1">
        <v>71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75</v>
      </c>
      <c r="W2" s="1">
        <v>20121</v>
      </c>
      <c r="X2" s="1">
        <v>46131</v>
      </c>
      <c r="AK2" s="7"/>
      <c r="AL2" s="7"/>
    </row>
    <row r="3" spans="1:40" x14ac:dyDescent="0.35">
      <c r="A3" s="2">
        <v>1</v>
      </c>
      <c r="B3" s="15">
        <v>0.7583333333333333</v>
      </c>
      <c r="C3" s="21" t="s">
        <v>130</v>
      </c>
      <c r="D3" s="1" t="s">
        <v>131</v>
      </c>
      <c r="E3" s="1">
        <v>86</v>
      </c>
      <c r="F3" s="1" t="s">
        <v>136</v>
      </c>
      <c r="G3" s="1">
        <v>93</v>
      </c>
      <c r="H3" s="1">
        <v>21</v>
      </c>
      <c r="J3" s="1" t="s">
        <v>137</v>
      </c>
      <c r="K3" s="1" t="s">
        <v>138</v>
      </c>
      <c r="N3" s="1" t="s">
        <v>133</v>
      </c>
      <c r="P3" s="1" t="s">
        <v>139</v>
      </c>
      <c r="Q3" s="1" t="s">
        <v>135</v>
      </c>
      <c r="U3" s="1">
        <v>0</v>
      </c>
      <c r="V3" s="1">
        <v>75</v>
      </c>
      <c r="W3" s="1">
        <v>20121</v>
      </c>
      <c r="X3" s="1">
        <v>46131</v>
      </c>
      <c r="AK3" s="7"/>
      <c r="AL3" s="7"/>
    </row>
    <row r="4" spans="1:40" x14ac:dyDescent="0.35">
      <c r="A4" s="7">
        <v>1</v>
      </c>
      <c r="B4" s="15">
        <v>0.70972222222222225</v>
      </c>
      <c r="C4" s="21" t="s">
        <v>130</v>
      </c>
      <c r="D4" s="1" t="s">
        <v>131</v>
      </c>
      <c r="E4" s="1">
        <v>10</v>
      </c>
      <c r="F4" s="1" t="s">
        <v>140</v>
      </c>
      <c r="G4" s="1">
        <v>17</v>
      </c>
      <c r="J4" s="1" t="s">
        <v>141</v>
      </c>
      <c r="M4" s="1" t="s">
        <v>133</v>
      </c>
      <c r="P4" s="1" t="s">
        <v>134</v>
      </c>
      <c r="Q4" s="1" t="s">
        <v>135</v>
      </c>
      <c r="U4" s="1">
        <v>0</v>
      </c>
      <c r="V4" s="1">
        <v>75</v>
      </c>
      <c r="W4" s="1">
        <v>20121</v>
      </c>
      <c r="X4" s="1">
        <v>46131</v>
      </c>
      <c r="AK4" s="7"/>
      <c r="AL4" s="7"/>
    </row>
    <row r="5" spans="1:40" x14ac:dyDescent="0.35">
      <c r="A5" s="7">
        <v>1</v>
      </c>
      <c r="B5" s="14">
        <v>0.65625</v>
      </c>
      <c r="C5" s="21" t="s">
        <v>130</v>
      </c>
      <c r="D5" s="1" t="s">
        <v>131</v>
      </c>
      <c r="E5" s="1">
        <v>81</v>
      </c>
      <c r="F5" s="1" t="s">
        <v>136</v>
      </c>
      <c r="G5" s="1">
        <v>86</v>
      </c>
      <c r="H5" s="1">
        <v>59</v>
      </c>
      <c r="J5" s="1" t="s">
        <v>142</v>
      </c>
      <c r="K5" s="1" t="s">
        <v>143</v>
      </c>
      <c r="M5" s="1" t="s">
        <v>133</v>
      </c>
      <c r="N5" s="1" t="s">
        <v>133</v>
      </c>
      <c r="P5" s="1" t="s">
        <v>139</v>
      </c>
      <c r="Q5" s="1" t="s">
        <v>135</v>
      </c>
      <c r="U5" s="1">
        <v>0</v>
      </c>
      <c r="V5" s="1">
        <v>75</v>
      </c>
      <c r="W5" s="1">
        <v>20121</v>
      </c>
      <c r="X5" s="1">
        <v>46131</v>
      </c>
      <c r="AK5" s="7"/>
      <c r="AL5" s="7"/>
    </row>
    <row r="6" spans="1:40" x14ac:dyDescent="0.35">
      <c r="A6" s="2">
        <v>1</v>
      </c>
      <c r="B6" s="15">
        <v>0.65069444444444446</v>
      </c>
      <c r="C6" s="21" t="s">
        <v>130</v>
      </c>
      <c r="D6" s="1" t="s">
        <v>144</v>
      </c>
      <c r="E6" s="1">
        <v>20</v>
      </c>
      <c r="F6" s="1" t="s">
        <v>132</v>
      </c>
      <c r="N6" s="1" t="s">
        <v>133</v>
      </c>
      <c r="P6" s="1" t="s">
        <v>145</v>
      </c>
      <c r="Q6" s="1" t="s">
        <v>146</v>
      </c>
      <c r="R6" s="1" t="s">
        <v>147</v>
      </c>
      <c r="U6" s="1">
        <v>0</v>
      </c>
      <c r="V6" s="1">
        <v>88</v>
      </c>
      <c r="W6" s="1">
        <v>20121</v>
      </c>
      <c r="X6" s="1">
        <v>46131</v>
      </c>
      <c r="AK6" s="7"/>
      <c r="AL6" s="7"/>
    </row>
    <row r="7" spans="1:40" x14ac:dyDescent="0.35">
      <c r="A7" s="2">
        <v>1</v>
      </c>
      <c r="B7" s="15">
        <v>0.59722222222222221</v>
      </c>
      <c r="C7" s="21" t="s">
        <v>130</v>
      </c>
      <c r="D7" s="1" t="s">
        <v>144</v>
      </c>
      <c r="E7" s="1">
        <v>15</v>
      </c>
      <c r="F7" s="1" t="s">
        <v>132</v>
      </c>
      <c r="G7" s="1">
        <v>85</v>
      </c>
      <c r="H7" s="1">
        <v>21</v>
      </c>
      <c r="I7" s="1">
        <v>8</v>
      </c>
      <c r="J7" s="1" t="s">
        <v>148</v>
      </c>
      <c r="K7" s="1" t="s">
        <v>148</v>
      </c>
      <c r="L7" s="1" t="s">
        <v>149</v>
      </c>
      <c r="M7" s="1" t="s">
        <v>150</v>
      </c>
      <c r="N7" s="1" t="s">
        <v>150</v>
      </c>
      <c r="P7" s="1" t="s">
        <v>145</v>
      </c>
      <c r="Q7" s="1" t="s">
        <v>151</v>
      </c>
      <c r="R7" s="1" t="s">
        <v>152</v>
      </c>
      <c r="S7" s="1" t="s">
        <v>153</v>
      </c>
      <c r="U7" s="1">
        <v>0</v>
      </c>
      <c r="V7" s="1">
        <v>88</v>
      </c>
      <c r="W7" s="1">
        <v>20121</v>
      </c>
      <c r="X7" s="1">
        <v>46131</v>
      </c>
      <c r="AK7" s="7"/>
      <c r="AL7" s="7"/>
    </row>
    <row r="8" spans="1:40" x14ac:dyDescent="0.35">
      <c r="A8" s="7">
        <v>1</v>
      </c>
      <c r="B8" s="15">
        <v>0.4826388888888889</v>
      </c>
      <c r="C8" s="21" t="s">
        <v>130</v>
      </c>
      <c r="D8" s="1" t="s">
        <v>144</v>
      </c>
      <c r="E8" s="1">
        <v>76</v>
      </c>
      <c r="F8" s="1" t="s">
        <v>140</v>
      </c>
      <c r="G8" s="1">
        <v>91</v>
      </c>
      <c r="H8" s="1">
        <v>71</v>
      </c>
      <c r="J8" s="1" t="s">
        <v>154</v>
      </c>
      <c r="K8" s="1" t="s">
        <v>154</v>
      </c>
      <c r="M8" s="1" t="s">
        <v>133</v>
      </c>
      <c r="P8" s="1" t="s">
        <v>145</v>
      </c>
      <c r="Q8" s="1" t="s">
        <v>146</v>
      </c>
      <c r="R8" s="1" t="s">
        <v>147</v>
      </c>
      <c r="S8" s="1" t="s">
        <v>153</v>
      </c>
      <c r="U8" s="1">
        <v>0</v>
      </c>
      <c r="V8" s="1">
        <v>88</v>
      </c>
      <c r="W8" s="1">
        <v>20121</v>
      </c>
      <c r="X8" s="1">
        <v>46131</v>
      </c>
      <c r="AK8" s="7"/>
      <c r="AL8" s="7"/>
    </row>
    <row r="9" spans="1:40" x14ac:dyDescent="0.35">
      <c r="A9" s="2">
        <v>1</v>
      </c>
      <c r="B9" s="15">
        <v>0.47152777777777777</v>
      </c>
      <c r="C9" s="21" t="s">
        <v>130</v>
      </c>
      <c r="D9" s="1" t="s">
        <v>144</v>
      </c>
      <c r="E9" s="1">
        <v>48</v>
      </c>
      <c r="F9" s="1" t="s">
        <v>136</v>
      </c>
      <c r="G9" s="1">
        <v>21</v>
      </c>
      <c r="J9" s="1" t="s">
        <v>155</v>
      </c>
      <c r="M9" s="1" t="s">
        <v>133</v>
      </c>
      <c r="N9" s="1" t="s">
        <v>133</v>
      </c>
      <c r="P9" s="1" t="s">
        <v>134</v>
      </c>
      <c r="Q9" s="1" t="s">
        <v>135</v>
      </c>
      <c r="U9" s="1">
        <v>0</v>
      </c>
      <c r="V9" s="1">
        <v>88</v>
      </c>
      <c r="W9" s="1">
        <v>20121</v>
      </c>
      <c r="X9" s="1">
        <v>46131</v>
      </c>
      <c r="AK9" s="7"/>
      <c r="AL9" s="7"/>
    </row>
    <row r="10" spans="1:40" x14ac:dyDescent="0.35">
      <c r="A10" s="2">
        <v>1</v>
      </c>
      <c r="B10" s="15">
        <v>0.34097222222222223</v>
      </c>
      <c r="C10" s="21" t="s">
        <v>156</v>
      </c>
      <c r="D10" s="1" t="s">
        <v>144</v>
      </c>
      <c r="E10" s="1">
        <v>20</v>
      </c>
      <c r="F10" s="1" t="s">
        <v>132</v>
      </c>
      <c r="G10" s="1">
        <v>93</v>
      </c>
      <c r="H10" s="1">
        <v>48</v>
      </c>
      <c r="J10" s="1" t="s">
        <v>138</v>
      </c>
      <c r="K10" s="1" t="s">
        <v>137</v>
      </c>
      <c r="M10" s="1" t="s">
        <v>133</v>
      </c>
      <c r="N10" s="1" t="s">
        <v>133</v>
      </c>
      <c r="U10" s="1">
        <v>0</v>
      </c>
      <c r="V10" s="1">
        <v>88</v>
      </c>
      <c r="W10" s="1">
        <v>20121</v>
      </c>
      <c r="X10" s="1">
        <v>46131</v>
      </c>
      <c r="AK10" s="7"/>
      <c r="AL10" s="7"/>
    </row>
    <row r="11" spans="1:40" x14ac:dyDescent="0.35">
      <c r="A11" s="2">
        <v>1</v>
      </c>
      <c r="B11" s="15">
        <v>0.29236111111111113</v>
      </c>
      <c r="C11" s="21" t="s">
        <v>130</v>
      </c>
      <c r="D11" s="1" t="s">
        <v>131</v>
      </c>
      <c r="E11" s="1">
        <v>43</v>
      </c>
      <c r="F11" s="1" t="s">
        <v>136</v>
      </c>
      <c r="G11" s="1">
        <v>93</v>
      </c>
      <c r="J11" s="1" t="s">
        <v>157</v>
      </c>
      <c r="M11" s="1" t="s">
        <v>150</v>
      </c>
      <c r="N11" s="1" t="s">
        <v>150</v>
      </c>
      <c r="P11" s="1" t="s">
        <v>134</v>
      </c>
      <c r="Q11" s="1" t="s">
        <v>135</v>
      </c>
      <c r="U11" s="1">
        <v>0</v>
      </c>
      <c r="V11" s="1">
        <v>75</v>
      </c>
      <c r="W11" s="1">
        <v>20121</v>
      </c>
      <c r="X11" s="1">
        <v>46131</v>
      </c>
      <c r="AK11" s="7"/>
      <c r="AL11" s="7"/>
    </row>
    <row r="12" spans="1:40" x14ac:dyDescent="0.35">
      <c r="A12" s="2">
        <v>1</v>
      </c>
      <c r="B12" s="15">
        <v>0.27500000000000002</v>
      </c>
      <c r="C12" s="21" t="s">
        <v>130</v>
      </c>
      <c r="D12" s="1" t="s">
        <v>144</v>
      </c>
      <c r="E12" s="1">
        <v>17</v>
      </c>
      <c r="F12" s="1" t="s">
        <v>158</v>
      </c>
      <c r="G12" s="1">
        <v>45</v>
      </c>
      <c r="J12" s="1" t="s">
        <v>159</v>
      </c>
      <c r="M12" s="1" t="s">
        <v>150</v>
      </c>
      <c r="N12" s="1" t="s">
        <v>150</v>
      </c>
      <c r="P12" s="1" t="s">
        <v>134</v>
      </c>
      <c r="Q12" s="1" t="s">
        <v>135</v>
      </c>
      <c r="T12" s="1" t="s">
        <v>150</v>
      </c>
      <c r="U12" s="1">
        <v>0</v>
      </c>
      <c r="V12" s="1">
        <v>88</v>
      </c>
      <c r="W12" s="1">
        <v>20121</v>
      </c>
      <c r="X12" s="1">
        <v>46131</v>
      </c>
      <c r="AK12" s="7"/>
      <c r="AL12" s="7"/>
    </row>
    <row r="13" spans="1:40" x14ac:dyDescent="0.35">
      <c r="A13" s="7">
        <v>1</v>
      </c>
      <c r="B13" s="15">
        <v>0.22638888888888889</v>
      </c>
      <c r="C13" s="21" t="s">
        <v>130</v>
      </c>
      <c r="D13" s="1" t="s">
        <v>131</v>
      </c>
      <c r="E13" s="1">
        <v>17</v>
      </c>
      <c r="F13" s="1" t="s">
        <v>132</v>
      </c>
      <c r="G13" s="1">
        <v>51</v>
      </c>
      <c r="H13" s="1">
        <v>17</v>
      </c>
      <c r="J13" s="1" t="s">
        <v>137</v>
      </c>
      <c r="K13" s="1" t="s">
        <v>138</v>
      </c>
      <c r="P13" s="1" t="s">
        <v>139</v>
      </c>
      <c r="Q13" s="1" t="s">
        <v>146</v>
      </c>
      <c r="R13" s="1" t="s">
        <v>147</v>
      </c>
      <c r="U13" s="1">
        <v>-1</v>
      </c>
      <c r="V13" s="1">
        <v>75</v>
      </c>
      <c r="W13" s="1">
        <v>20121</v>
      </c>
      <c r="X13" s="1">
        <v>46131</v>
      </c>
      <c r="AK13" s="7"/>
      <c r="AL13" s="7"/>
    </row>
    <row r="14" spans="1:40" x14ac:dyDescent="0.35">
      <c r="A14" s="2">
        <v>1</v>
      </c>
      <c r="B14" s="15">
        <v>0.21805555555555556</v>
      </c>
      <c r="C14" s="21" t="s">
        <v>156</v>
      </c>
      <c r="D14" s="1" t="s">
        <v>131</v>
      </c>
      <c r="E14" s="1">
        <v>43</v>
      </c>
      <c r="F14" s="1" t="s">
        <v>136</v>
      </c>
      <c r="G14" s="1">
        <v>86</v>
      </c>
      <c r="H14" s="1">
        <v>21</v>
      </c>
      <c r="J14" s="1" t="s">
        <v>160</v>
      </c>
      <c r="K14" s="1" t="s">
        <v>138</v>
      </c>
      <c r="N14" s="1" t="s">
        <v>133</v>
      </c>
      <c r="Q14" s="1" t="s">
        <v>135</v>
      </c>
      <c r="R14" s="1" t="s">
        <v>161</v>
      </c>
      <c r="U14" s="1">
        <v>-1</v>
      </c>
      <c r="V14" s="1">
        <v>75</v>
      </c>
      <c r="W14" s="1">
        <v>20121</v>
      </c>
      <c r="X14" s="1">
        <v>46131</v>
      </c>
      <c r="AK14" s="7"/>
      <c r="AL14" s="7"/>
    </row>
    <row r="15" spans="1:40" x14ac:dyDescent="0.35">
      <c r="A15" s="2">
        <v>1</v>
      </c>
      <c r="B15" s="15">
        <v>0.19791666666666666</v>
      </c>
      <c r="C15" s="21" t="s">
        <v>156</v>
      </c>
      <c r="D15" s="1" t="s">
        <v>131</v>
      </c>
      <c r="E15" s="1">
        <v>59</v>
      </c>
      <c r="F15" s="1" t="s">
        <v>136</v>
      </c>
      <c r="G15" s="1">
        <v>86</v>
      </c>
      <c r="H15" s="1">
        <v>59</v>
      </c>
      <c r="I15" s="1">
        <v>86</v>
      </c>
      <c r="J15" s="1" t="s">
        <v>138</v>
      </c>
      <c r="K15" s="1" t="s">
        <v>138</v>
      </c>
      <c r="L15" s="1" t="s">
        <v>138</v>
      </c>
      <c r="M15" s="1" t="s">
        <v>133</v>
      </c>
      <c r="N15" s="1" t="s">
        <v>133</v>
      </c>
      <c r="U15" s="1">
        <v>-1</v>
      </c>
      <c r="V15" s="1">
        <v>75</v>
      </c>
      <c r="W15" s="1">
        <v>20121</v>
      </c>
      <c r="X15" s="1">
        <v>46131</v>
      </c>
      <c r="AK15" s="7"/>
      <c r="AL15" s="7"/>
    </row>
    <row r="16" spans="1:40" x14ac:dyDescent="0.35">
      <c r="A16" s="2">
        <v>1</v>
      </c>
      <c r="B16" s="15">
        <v>0.18888888888888888</v>
      </c>
      <c r="C16" s="21" t="s">
        <v>156</v>
      </c>
      <c r="D16" s="1" t="s">
        <v>131</v>
      </c>
      <c r="E16" s="1">
        <v>43</v>
      </c>
      <c r="F16" s="1" t="s">
        <v>158</v>
      </c>
      <c r="G16" s="1">
        <v>86</v>
      </c>
      <c r="H16" s="1">
        <v>59</v>
      </c>
      <c r="J16" s="1" t="s">
        <v>137</v>
      </c>
      <c r="K16" s="1" t="s">
        <v>160</v>
      </c>
      <c r="U16" s="1">
        <v>-1</v>
      </c>
      <c r="V16" s="1">
        <v>75</v>
      </c>
      <c r="W16" s="1">
        <v>20121</v>
      </c>
      <c r="X16" s="1">
        <v>46131</v>
      </c>
      <c r="AK16" s="7"/>
      <c r="AL16" s="7"/>
    </row>
    <row r="17" spans="1:38" x14ac:dyDescent="0.35">
      <c r="A17" s="2">
        <v>1</v>
      </c>
      <c r="B17" s="15">
        <v>0.18124999999999999</v>
      </c>
      <c r="C17" s="21" t="s">
        <v>156</v>
      </c>
      <c r="D17" s="1" t="s">
        <v>131</v>
      </c>
      <c r="E17" s="1">
        <v>86</v>
      </c>
      <c r="F17" s="1" t="s">
        <v>162</v>
      </c>
      <c r="G17" s="1">
        <v>43</v>
      </c>
      <c r="H17" s="1">
        <v>59</v>
      </c>
      <c r="J17" s="1" t="s">
        <v>157</v>
      </c>
      <c r="K17" s="1" t="s">
        <v>138</v>
      </c>
      <c r="U17" s="1">
        <v>-1</v>
      </c>
      <c r="V17" s="1">
        <v>75</v>
      </c>
      <c r="W17" s="1">
        <v>20121</v>
      </c>
      <c r="X17" s="1">
        <v>46131</v>
      </c>
      <c r="AK17" s="7"/>
      <c r="AL17" s="7"/>
    </row>
    <row r="18" spans="1:38" x14ac:dyDescent="0.35">
      <c r="A18" s="2">
        <v>1</v>
      </c>
      <c r="B18" s="15">
        <v>9.6527777777777782E-2</v>
      </c>
      <c r="C18" s="21" t="s">
        <v>156</v>
      </c>
      <c r="D18" s="1" t="s">
        <v>131</v>
      </c>
      <c r="E18" s="1">
        <v>59</v>
      </c>
      <c r="F18" s="1" t="s">
        <v>163</v>
      </c>
      <c r="G18" s="1">
        <v>43</v>
      </c>
      <c r="H18" s="1">
        <v>21</v>
      </c>
      <c r="J18" s="1" t="s">
        <v>164</v>
      </c>
      <c r="K18" s="1" t="s">
        <v>165</v>
      </c>
      <c r="M18" s="1" t="s">
        <v>133</v>
      </c>
      <c r="N18" s="1" t="s">
        <v>133</v>
      </c>
      <c r="O18" s="1" t="s">
        <v>133</v>
      </c>
      <c r="Q18" s="1" t="s">
        <v>135</v>
      </c>
      <c r="R18" s="1" t="s">
        <v>161</v>
      </c>
      <c r="U18" s="1">
        <v>-1</v>
      </c>
      <c r="V18" s="1">
        <v>75</v>
      </c>
      <c r="W18" s="1">
        <v>20121</v>
      </c>
      <c r="X18" s="1">
        <v>46131</v>
      </c>
      <c r="AK18" s="7"/>
      <c r="AL18" s="7"/>
    </row>
    <row r="19" spans="1:38" x14ac:dyDescent="0.35">
      <c r="A19" s="7">
        <v>1</v>
      </c>
      <c r="B19" s="15">
        <v>6.25E-2</v>
      </c>
      <c r="C19" s="21" t="s">
        <v>156</v>
      </c>
      <c r="D19" s="1" t="s">
        <v>131</v>
      </c>
      <c r="E19" s="1">
        <v>43</v>
      </c>
      <c r="F19" s="1" t="s">
        <v>162</v>
      </c>
      <c r="G19" s="1">
        <v>59</v>
      </c>
      <c r="H19" s="1">
        <v>86</v>
      </c>
      <c r="I19" s="1">
        <v>59</v>
      </c>
      <c r="J19" s="1" t="s">
        <v>160</v>
      </c>
      <c r="K19" s="1" t="s">
        <v>138</v>
      </c>
      <c r="L19" s="1" t="s">
        <v>138</v>
      </c>
      <c r="N19" s="1" t="s">
        <v>133</v>
      </c>
      <c r="O19" s="1" t="s">
        <v>133</v>
      </c>
      <c r="U19" s="1">
        <v>-1</v>
      </c>
      <c r="V19" s="1">
        <v>75</v>
      </c>
      <c r="W19" s="1">
        <v>20121</v>
      </c>
      <c r="X19" s="1">
        <v>46131</v>
      </c>
      <c r="AK19" s="7"/>
      <c r="AL19" s="7"/>
    </row>
    <row r="20" spans="1:38" x14ac:dyDescent="0.35">
      <c r="A20" s="2">
        <v>2</v>
      </c>
      <c r="B20" s="15">
        <v>0.73333333333333328</v>
      </c>
      <c r="C20" s="21" t="s">
        <v>156</v>
      </c>
      <c r="D20" s="1" t="s">
        <v>144</v>
      </c>
      <c r="E20" s="1">
        <v>48</v>
      </c>
      <c r="F20" s="1" t="s">
        <v>136</v>
      </c>
      <c r="G20" s="1">
        <v>20</v>
      </c>
      <c r="J20" s="1" t="s">
        <v>137</v>
      </c>
      <c r="U20" s="1">
        <v>-1</v>
      </c>
      <c r="V20" s="1">
        <v>88</v>
      </c>
      <c r="W20" s="1">
        <v>20121</v>
      </c>
      <c r="X20" s="1">
        <v>46131</v>
      </c>
      <c r="AK20" s="7"/>
      <c r="AL20" s="7"/>
    </row>
    <row r="21" spans="1:38" x14ac:dyDescent="0.35">
      <c r="A21" s="7">
        <v>2</v>
      </c>
      <c r="B21" s="15">
        <v>0.68055555555555558</v>
      </c>
      <c r="C21" s="21" t="s">
        <v>130</v>
      </c>
      <c r="D21" s="1" t="s">
        <v>144</v>
      </c>
      <c r="E21" s="1">
        <v>20</v>
      </c>
      <c r="F21" s="1" t="s">
        <v>166</v>
      </c>
      <c r="G21" s="1">
        <v>47</v>
      </c>
      <c r="H21" s="1">
        <v>14</v>
      </c>
      <c r="J21" s="1" t="s">
        <v>164</v>
      </c>
      <c r="K21" s="1" t="s">
        <v>165</v>
      </c>
      <c r="P21" s="1" t="s">
        <v>134</v>
      </c>
      <c r="Q21" s="1" t="s">
        <v>135</v>
      </c>
      <c r="U21" s="1">
        <v>-1</v>
      </c>
      <c r="V21" s="1">
        <v>88</v>
      </c>
      <c r="W21" s="1">
        <v>20121</v>
      </c>
      <c r="X21" s="1">
        <v>46131</v>
      </c>
      <c r="AK21" s="7"/>
      <c r="AL21" s="7"/>
    </row>
    <row r="22" spans="1:38" x14ac:dyDescent="0.35">
      <c r="A22" s="7">
        <v>2</v>
      </c>
      <c r="B22" s="15">
        <v>0.67083333333333328</v>
      </c>
      <c r="C22" s="21" t="s">
        <v>130</v>
      </c>
      <c r="D22" s="1" t="s">
        <v>131</v>
      </c>
      <c r="E22" s="1">
        <v>43</v>
      </c>
      <c r="F22" s="1" t="s">
        <v>136</v>
      </c>
      <c r="G22" s="1">
        <v>38</v>
      </c>
      <c r="H22" s="1">
        <v>51</v>
      </c>
      <c r="J22" s="1" t="s">
        <v>141</v>
      </c>
      <c r="K22" s="1" t="s">
        <v>167</v>
      </c>
      <c r="M22" s="1" t="s">
        <v>133</v>
      </c>
      <c r="N22" s="1" t="s">
        <v>133</v>
      </c>
      <c r="P22" s="1" t="s">
        <v>145</v>
      </c>
      <c r="Q22" s="1" t="s">
        <v>146</v>
      </c>
      <c r="R22" s="1" t="s">
        <v>147</v>
      </c>
      <c r="U22" s="1">
        <v>-1</v>
      </c>
      <c r="V22" s="1">
        <v>75</v>
      </c>
      <c r="W22" s="1">
        <v>20121</v>
      </c>
      <c r="X22" s="1">
        <v>46131</v>
      </c>
      <c r="AK22" s="7"/>
      <c r="AL22" s="7"/>
    </row>
    <row r="23" spans="1:38" x14ac:dyDescent="0.35">
      <c r="A23" s="2">
        <v>2</v>
      </c>
      <c r="B23" s="15">
        <v>0.66666666666666663</v>
      </c>
      <c r="C23" s="21" t="s">
        <v>130</v>
      </c>
      <c r="D23" s="1" t="s">
        <v>131</v>
      </c>
      <c r="E23" s="1">
        <v>20</v>
      </c>
      <c r="F23" s="1" t="s">
        <v>136</v>
      </c>
      <c r="P23" s="1" t="s">
        <v>134</v>
      </c>
      <c r="Q23" s="1" t="s">
        <v>135</v>
      </c>
      <c r="U23" s="1">
        <v>-1</v>
      </c>
      <c r="V23" s="1">
        <v>75</v>
      </c>
      <c r="W23" s="1">
        <v>20121</v>
      </c>
      <c r="X23" s="1">
        <v>46131</v>
      </c>
      <c r="AK23" s="7"/>
      <c r="AL23" s="7"/>
    </row>
    <row r="24" spans="1:38" x14ac:dyDescent="0.35">
      <c r="A24" s="7">
        <v>2</v>
      </c>
      <c r="B24" s="15">
        <v>0.62013888888888891</v>
      </c>
      <c r="C24" s="21" t="s">
        <v>130</v>
      </c>
      <c r="D24" s="1" t="s">
        <v>144</v>
      </c>
      <c r="E24" s="1">
        <v>93</v>
      </c>
      <c r="F24" s="1" t="s">
        <v>140</v>
      </c>
      <c r="N24" s="1" t="s">
        <v>133</v>
      </c>
      <c r="P24" s="1" t="s">
        <v>145</v>
      </c>
      <c r="Q24" s="1" t="s">
        <v>146</v>
      </c>
      <c r="R24" s="1" t="s">
        <v>168</v>
      </c>
      <c r="U24" s="1">
        <v>-1</v>
      </c>
      <c r="V24" s="1">
        <v>88</v>
      </c>
      <c r="W24" s="1">
        <v>20121</v>
      </c>
      <c r="X24" s="1">
        <v>46131</v>
      </c>
      <c r="AK24" s="7"/>
      <c r="AL24" s="7"/>
    </row>
    <row r="25" spans="1:38" x14ac:dyDescent="0.35">
      <c r="A25" s="2">
        <v>2</v>
      </c>
      <c r="B25" s="15">
        <v>0.49513888888888891</v>
      </c>
      <c r="C25" s="21" t="s">
        <v>130</v>
      </c>
      <c r="D25" s="1" t="s">
        <v>131</v>
      </c>
      <c r="E25" s="1">
        <v>37</v>
      </c>
      <c r="F25" s="1" t="s">
        <v>132</v>
      </c>
      <c r="N25" s="1" t="s">
        <v>133</v>
      </c>
      <c r="P25" s="1" t="s">
        <v>145</v>
      </c>
      <c r="Q25" s="1" t="s">
        <v>151</v>
      </c>
      <c r="R25" s="1" t="s">
        <v>169</v>
      </c>
      <c r="U25" s="1">
        <v>-1</v>
      </c>
      <c r="V25" s="1">
        <v>75</v>
      </c>
      <c r="W25" s="1">
        <v>20121</v>
      </c>
      <c r="X25" s="1">
        <v>46131</v>
      </c>
      <c r="AK25" s="7"/>
      <c r="AL25" s="7"/>
    </row>
    <row r="26" spans="1:38" x14ac:dyDescent="0.35">
      <c r="A26" s="7">
        <v>2</v>
      </c>
      <c r="B26" s="15">
        <v>0.34513888888888888</v>
      </c>
      <c r="C26" s="21" t="s">
        <v>156</v>
      </c>
      <c r="D26" s="1" t="s">
        <v>131</v>
      </c>
      <c r="E26" s="1">
        <v>38</v>
      </c>
      <c r="F26" s="1" t="s">
        <v>132</v>
      </c>
      <c r="G26" s="1">
        <v>43</v>
      </c>
      <c r="H26" s="1">
        <v>86</v>
      </c>
      <c r="J26" s="1" t="s">
        <v>138</v>
      </c>
      <c r="K26" s="1" t="s">
        <v>160</v>
      </c>
      <c r="U26" s="1">
        <v>-1</v>
      </c>
      <c r="V26" s="1">
        <v>75</v>
      </c>
      <c r="W26" s="1">
        <v>20121</v>
      </c>
      <c r="X26" s="1">
        <v>46131</v>
      </c>
      <c r="AK26" s="7"/>
      <c r="AL26" s="7"/>
    </row>
    <row r="27" spans="1:38" x14ac:dyDescent="0.35">
      <c r="A27" s="2">
        <v>2</v>
      </c>
      <c r="B27" s="15">
        <v>0.33958333333333335</v>
      </c>
      <c r="C27" s="21" t="s">
        <v>156</v>
      </c>
      <c r="D27" s="1" t="s">
        <v>131</v>
      </c>
      <c r="E27" s="1">
        <v>38</v>
      </c>
      <c r="F27" s="1" t="s">
        <v>132</v>
      </c>
      <c r="G27" s="1">
        <v>43</v>
      </c>
      <c r="J27" s="1" t="s">
        <v>138</v>
      </c>
      <c r="M27" s="1" t="s">
        <v>133</v>
      </c>
      <c r="N27" s="1" t="s">
        <v>133</v>
      </c>
      <c r="U27" s="1">
        <v>-1</v>
      </c>
      <c r="V27" s="1">
        <v>75</v>
      </c>
      <c r="W27" s="1">
        <v>20121</v>
      </c>
      <c r="X27" s="1">
        <v>46131</v>
      </c>
      <c r="AK27" s="7"/>
      <c r="AL27" s="7"/>
    </row>
    <row r="28" spans="1:38" x14ac:dyDescent="0.35">
      <c r="A28" s="7">
        <v>2</v>
      </c>
      <c r="B28" s="14">
        <v>0.33333333333333331</v>
      </c>
      <c r="C28" s="21" t="s">
        <v>156</v>
      </c>
      <c r="D28" s="1" t="s">
        <v>131</v>
      </c>
      <c r="E28" s="1">
        <v>43</v>
      </c>
      <c r="F28" s="1" t="s">
        <v>162</v>
      </c>
      <c r="G28" s="1">
        <v>86</v>
      </c>
      <c r="J28" s="1" t="s">
        <v>160</v>
      </c>
      <c r="U28" s="1">
        <v>-1</v>
      </c>
      <c r="V28" s="1">
        <v>75</v>
      </c>
      <c r="W28" s="1">
        <v>20121</v>
      </c>
      <c r="X28" s="1">
        <v>46131</v>
      </c>
      <c r="AK28" s="7"/>
      <c r="AL28" s="7"/>
    </row>
    <row r="29" spans="1:38" x14ac:dyDescent="0.35">
      <c r="A29" s="7">
        <v>2</v>
      </c>
      <c r="B29" s="14">
        <v>0.33194444444444443</v>
      </c>
      <c r="C29" s="21" t="s">
        <v>156</v>
      </c>
      <c r="D29" s="1" t="s">
        <v>131</v>
      </c>
      <c r="E29" s="1">
        <v>86</v>
      </c>
      <c r="F29" s="1" t="s">
        <v>136</v>
      </c>
      <c r="N29" s="1" t="s">
        <v>133</v>
      </c>
      <c r="O29" s="1" t="s">
        <v>133</v>
      </c>
      <c r="U29" s="1">
        <v>-1</v>
      </c>
      <c r="V29" s="1">
        <v>75</v>
      </c>
      <c r="W29" s="1">
        <v>20121</v>
      </c>
      <c r="X29" s="1">
        <v>46131</v>
      </c>
      <c r="AK29" s="7"/>
      <c r="AL29" s="7"/>
    </row>
    <row r="30" spans="1:38" x14ac:dyDescent="0.35">
      <c r="A30" s="2">
        <v>2</v>
      </c>
      <c r="B30" s="15">
        <v>0.32291666666666669</v>
      </c>
      <c r="C30" s="21" t="s">
        <v>156</v>
      </c>
      <c r="D30" s="1" t="s">
        <v>131</v>
      </c>
      <c r="E30" s="1">
        <v>43</v>
      </c>
      <c r="F30" s="1" t="s">
        <v>162</v>
      </c>
      <c r="G30" s="1">
        <v>86</v>
      </c>
      <c r="H30" s="1">
        <v>59</v>
      </c>
      <c r="I30" s="1">
        <v>38</v>
      </c>
      <c r="J30" s="1" t="s">
        <v>141</v>
      </c>
      <c r="K30" s="1" t="s">
        <v>160</v>
      </c>
      <c r="L30" s="1" t="s">
        <v>138</v>
      </c>
      <c r="M30" s="1" t="s">
        <v>133</v>
      </c>
      <c r="N30" s="1" t="s">
        <v>133</v>
      </c>
      <c r="O30" s="1" t="s">
        <v>133</v>
      </c>
      <c r="T30" s="1" t="s">
        <v>133</v>
      </c>
      <c r="U30" s="1">
        <v>-1</v>
      </c>
      <c r="V30" s="1">
        <v>75</v>
      </c>
      <c r="W30" s="1">
        <v>20121</v>
      </c>
      <c r="X30" s="1">
        <v>46131</v>
      </c>
      <c r="AK30" s="7"/>
      <c r="AL30" s="7"/>
    </row>
    <row r="31" spans="1:38" x14ac:dyDescent="0.35">
      <c r="A31" s="7">
        <v>2</v>
      </c>
      <c r="B31" s="14">
        <v>0.31111111111111112</v>
      </c>
      <c r="C31" s="21" t="s">
        <v>130</v>
      </c>
      <c r="D31" s="1" t="s">
        <v>131</v>
      </c>
      <c r="E31" s="1">
        <v>81</v>
      </c>
      <c r="F31" s="1" t="s">
        <v>164</v>
      </c>
      <c r="P31" s="1" t="s">
        <v>134</v>
      </c>
      <c r="Q31" s="1" t="s">
        <v>135</v>
      </c>
      <c r="U31" s="1">
        <v>0</v>
      </c>
      <c r="V31" s="1">
        <v>75</v>
      </c>
      <c r="W31" s="1">
        <v>20121</v>
      </c>
      <c r="X31" s="1">
        <v>46131</v>
      </c>
      <c r="AK31" s="7"/>
      <c r="AL31" s="7"/>
    </row>
    <row r="32" spans="1:38" x14ac:dyDescent="0.35">
      <c r="A32" s="2">
        <v>2</v>
      </c>
      <c r="B32" s="15">
        <v>0.30277777777777776</v>
      </c>
      <c r="C32" s="21" t="s">
        <v>130</v>
      </c>
      <c r="D32" s="1" t="s">
        <v>131</v>
      </c>
      <c r="E32" s="1">
        <v>38</v>
      </c>
      <c r="F32" s="1" t="s">
        <v>170</v>
      </c>
      <c r="G32" s="1">
        <v>59</v>
      </c>
      <c r="H32" s="1">
        <v>27</v>
      </c>
      <c r="J32" s="1" t="s">
        <v>159</v>
      </c>
      <c r="K32" s="1" t="s">
        <v>157</v>
      </c>
      <c r="M32" s="1" t="s">
        <v>133</v>
      </c>
      <c r="N32" s="1" t="s">
        <v>133</v>
      </c>
      <c r="P32" s="1" t="s">
        <v>134</v>
      </c>
      <c r="Q32" s="1" t="s">
        <v>135</v>
      </c>
      <c r="T32" s="1" t="s">
        <v>133</v>
      </c>
      <c r="U32" s="1">
        <v>0</v>
      </c>
      <c r="V32" s="1">
        <v>75</v>
      </c>
      <c r="W32" s="1">
        <v>20121</v>
      </c>
      <c r="X32" s="1">
        <v>46131</v>
      </c>
      <c r="AK32" s="7"/>
      <c r="AL32" s="7"/>
    </row>
    <row r="33" spans="1:38" x14ac:dyDescent="0.35">
      <c r="A33" s="2">
        <v>2</v>
      </c>
      <c r="B33" s="15">
        <v>0.26805555555555555</v>
      </c>
      <c r="C33" s="21" t="s">
        <v>130</v>
      </c>
      <c r="D33" s="1" t="s">
        <v>131</v>
      </c>
      <c r="E33" s="1">
        <v>20</v>
      </c>
      <c r="F33" s="1" t="s">
        <v>136</v>
      </c>
      <c r="G33" s="1">
        <v>37</v>
      </c>
      <c r="J33" s="1" t="s">
        <v>148</v>
      </c>
      <c r="M33" s="1" t="s">
        <v>133</v>
      </c>
      <c r="N33" s="1" t="s">
        <v>133</v>
      </c>
      <c r="P33" s="1" t="s">
        <v>145</v>
      </c>
      <c r="Q33" s="1" t="s">
        <v>151</v>
      </c>
      <c r="R33" s="1" t="s">
        <v>169</v>
      </c>
      <c r="U33" s="1">
        <v>1</v>
      </c>
      <c r="V33" s="1">
        <v>75</v>
      </c>
      <c r="W33" s="1">
        <v>20121</v>
      </c>
      <c r="X33" s="1">
        <v>46131</v>
      </c>
      <c r="AK33" s="7"/>
      <c r="AL33" s="7"/>
    </row>
    <row r="34" spans="1:38" x14ac:dyDescent="0.35">
      <c r="A34" s="7">
        <v>2</v>
      </c>
      <c r="B34" s="15">
        <v>0.2590277777777778</v>
      </c>
      <c r="C34" s="21" t="s">
        <v>130</v>
      </c>
      <c r="D34" s="1" t="s">
        <v>131</v>
      </c>
      <c r="E34" s="1">
        <v>28</v>
      </c>
      <c r="F34" s="1" t="s">
        <v>136</v>
      </c>
      <c r="G34" s="1">
        <v>37</v>
      </c>
      <c r="J34" s="1" t="s">
        <v>171</v>
      </c>
      <c r="N34" s="1" t="s">
        <v>133</v>
      </c>
      <c r="P34" s="1" t="s">
        <v>139</v>
      </c>
      <c r="Q34" s="1" t="s">
        <v>135</v>
      </c>
      <c r="U34" s="1">
        <v>1</v>
      </c>
      <c r="V34" s="1">
        <v>75</v>
      </c>
      <c r="W34" s="1">
        <v>20121</v>
      </c>
      <c r="X34" s="1">
        <v>46131</v>
      </c>
      <c r="AK34" s="7"/>
      <c r="AL34" s="7"/>
    </row>
    <row r="35" spans="1:38" x14ac:dyDescent="0.35">
      <c r="A35" s="2">
        <v>2</v>
      </c>
      <c r="B35" s="15">
        <v>5.1388888888888887E-2</v>
      </c>
      <c r="C35" s="21" t="s">
        <v>156</v>
      </c>
      <c r="D35" s="1" t="s">
        <v>144</v>
      </c>
      <c r="E35" s="1">
        <v>93</v>
      </c>
      <c r="F35" s="1" t="s">
        <v>158</v>
      </c>
      <c r="G35" s="1">
        <v>48</v>
      </c>
      <c r="J35" s="1" t="s">
        <v>157</v>
      </c>
      <c r="M35" s="1" t="s">
        <v>150</v>
      </c>
      <c r="N35" s="1" t="s">
        <v>150</v>
      </c>
      <c r="U35" s="1">
        <v>1</v>
      </c>
      <c r="V35" s="1">
        <v>88</v>
      </c>
      <c r="W35" s="1">
        <v>20121</v>
      </c>
      <c r="X35" s="1">
        <v>46131</v>
      </c>
      <c r="AK35" s="7"/>
      <c r="AL35" s="7"/>
    </row>
    <row r="36" spans="1:38" x14ac:dyDescent="0.35">
      <c r="A36" s="7">
        <v>2</v>
      </c>
      <c r="B36" s="15">
        <v>2.6388888888888889E-2</v>
      </c>
      <c r="C36" s="21" t="s">
        <v>156</v>
      </c>
      <c r="D36" s="1" t="s">
        <v>144</v>
      </c>
      <c r="E36" s="1">
        <v>20</v>
      </c>
      <c r="F36" s="1" t="s">
        <v>136</v>
      </c>
      <c r="G36" s="1">
        <v>93</v>
      </c>
      <c r="H36" s="1">
        <v>13</v>
      </c>
      <c r="J36" s="1" t="s">
        <v>164</v>
      </c>
      <c r="K36" s="1" t="s">
        <v>165</v>
      </c>
      <c r="M36" s="1" t="s">
        <v>133</v>
      </c>
      <c r="N36" s="1" t="s">
        <v>133</v>
      </c>
      <c r="O36" s="1" t="s">
        <v>133</v>
      </c>
      <c r="U36" s="1">
        <v>1</v>
      </c>
      <c r="V36" s="1">
        <v>88</v>
      </c>
      <c r="W36" s="1">
        <v>20121</v>
      </c>
      <c r="X36" s="1">
        <v>46131</v>
      </c>
      <c r="AK36" s="7"/>
      <c r="AL36" s="7"/>
    </row>
    <row r="37" spans="1:38" x14ac:dyDescent="0.35">
      <c r="A37" s="7">
        <v>2</v>
      </c>
      <c r="B37" s="15">
        <v>2.5000000000000001E-2</v>
      </c>
      <c r="C37" s="21" t="s">
        <v>156</v>
      </c>
      <c r="D37" s="1" t="s">
        <v>144</v>
      </c>
      <c r="E37" s="1">
        <v>48</v>
      </c>
      <c r="F37" s="1" t="s">
        <v>145</v>
      </c>
      <c r="M37" s="1" t="s">
        <v>133</v>
      </c>
      <c r="N37" s="1" t="s">
        <v>133</v>
      </c>
      <c r="U37" s="1">
        <v>1</v>
      </c>
      <c r="V37" s="1">
        <v>88</v>
      </c>
      <c r="W37" s="1">
        <v>20121</v>
      </c>
      <c r="X37" s="1">
        <v>46131</v>
      </c>
      <c r="AK37" s="7"/>
      <c r="AL37" s="7"/>
    </row>
    <row r="38" spans="1:38" x14ac:dyDescent="0.35">
      <c r="A38" s="7">
        <v>2</v>
      </c>
      <c r="B38" s="15">
        <v>1.6666666666666666E-2</v>
      </c>
      <c r="C38" s="21" t="s">
        <v>156</v>
      </c>
      <c r="D38" s="1" t="s">
        <v>144</v>
      </c>
      <c r="E38" s="1">
        <v>20</v>
      </c>
      <c r="F38" s="1" t="s">
        <v>162</v>
      </c>
      <c r="G38" s="1">
        <v>93</v>
      </c>
      <c r="H38" s="1">
        <v>13</v>
      </c>
      <c r="I38" s="1">
        <v>48</v>
      </c>
      <c r="J38" s="1" t="s">
        <v>172</v>
      </c>
      <c r="K38" s="1" t="s">
        <v>137</v>
      </c>
      <c r="L38" s="1" t="s">
        <v>138</v>
      </c>
      <c r="M38" s="1" t="s">
        <v>133</v>
      </c>
      <c r="N38" s="1" t="s">
        <v>133</v>
      </c>
      <c r="T38" s="1" t="s">
        <v>133</v>
      </c>
      <c r="U38" s="1">
        <v>1</v>
      </c>
      <c r="V38" s="1">
        <v>88</v>
      </c>
      <c r="W38" s="1">
        <v>20121</v>
      </c>
      <c r="X38" s="1">
        <v>46131</v>
      </c>
      <c r="AK38" s="7"/>
      <c r="AL38" s="7"/>
    </row>
    <row r="39" spans="1:38" x14ac:dyDescent="0.35">
      <c r="A39" s="2">
        <v>3</v>
      </c>
      <c r="B39" s="15">
        <v>0.74375000000000002</v>
      </c>
      <c r="C39" s="21" t="s">
        <v>130</v>
      </c>
      <c r="D39" s="1" t="s">
        <v>131</v>
      </c>
      <c r="E39" s="1">
        <v>21</v>
      </c>
      <c r="F39" s="1" t="s">
        <v>136</v>
      </c>
      <c r="N39" s="1" t="s">
        <v>133</v>
      </c>
      <c r="P39" s="1" t="s">
        <v>134</v>
      </c>
      <c r="Q39" s="1" t="s">
        <v>135</v>
      </c>
      <c r="U39" s="1">
        <v>0</v>
      </c>
      <c r="V39" s="1">
        <v>75</v>
      </c>
      <c r="W39" s="1">
        <v>20121</v>
      </c>
      <c r="X39" s="1">
        <v>46131</v>
      </c>
      <c r="AK39" s="7"/>
      <c r="AL39" s="7"/>
    </row>
    <row r="40" spans="1:38" x14ac:dyDescent="0.35">
      <c r="A40" s="7">
        <v>3</v>
      </c>
      <c r="B40" s="15">
        <v>0.73958333333333337</v>
      </c>
      <c r="C40" s="21" t="s">
        <v>130</v>
      </c>
      <c r="D40" s="1" t="s">
        <v>131</v>
      </c>
      <c r="E40" s="1">
        <v>86</v>
      </c>
      <c r="F40" s="1" t="s">
        <v>136</v>
      </c>
      <c r="N40" s="1" t="s">
        <v>133</v>
      </c>
      <c r="O40" s="1" t="s">
        <v>133</v>
      </c>
      <c r="P40" s="1" t="s">
        <v>134</v>
      </c>
      <c r="Q40" s="1" t="s">
        <v>135</v>
      </c>
      <c r="U40" s="1">
        <v>0</v>
      </c>
      <c r="V40" s="1">
        <v>75</v>
      </c>
      <c r="W40" s="1">
        <v>20121</v>
      </c>
      <c r="X40" s="1">
        <v>46131</v>
      </c>
      <c r="AK40" s="7"/>
      <c r="AL40" s="7"/>
    </row>
    <row r="41" spans="1:38" x14ac:dyDescent="0.35">
      <c r="A41" s="7">
        <v>3</v>
      </c>
      <c r="B41" s="14">
        <v>0.7319444444444444</v>
      </c>
      <c r="C41" s="21" t="s">
        <v>130</v>
      </c>
      <c r="D41" s="1" t="s">
        <v>144</v>
      </c>
      <c r="E41" s="1">
        <v>85</v>
      </c>
      <c r="F41" s="1" t="s">
        <v>136</v>
      </c>
      <c r="G41" s="1">
        <v>93</v>
      </c>
      <c r="H41" s="1">
        <v>85</v>
      </c>
      <c r="J41" s="1" t="s">
        <v>149</v>
      </c>
      <c r="K41" s="1" t="s">
        <v>173</v>
      </c>
      <c r="N41" s="1" t="s">
        <v>133</v>
      </c>
      <c r="P41" s="1" t="s">
        <v>145</v>
      </c>
      <c r="Q41" s="1" t="s">
        <v>146</v>
      </c>
      <c r="R41" s="1" t="s">
        <v>147</v>
      </c>
      <c r="U41" s="1">
        <v>0</v>
      </c>
      <c r="V41" s="1">
        <v>88</v>
      </c>
      <c r="W41" s="1">
        <v>20121</v>
      </c>
      <c r="X41" s="1">
        <v>46131</v>
      </c>
      <c r="AK41" s="7"/>
      <c r="AL41" s="7"/>
    </row>
    <row r="42" spans="1:38" x14ac:dyDescent="0.35">
      <c r="A42" s="2">
        <v>3</v>
      </c>
      <c r="B42" s="15">
        <v>0.72291666666666665</v>
      </c>
      <c r="C42" s="21" t="s">
        <v>130</v>
      </c>
      <c r="D42" s="1" t="s">
        <v>144</v>
      </c>
      <c r="E42" s="1">
        <v>85</v>
      </c>
      <c r="F42" s="1" t="s">
        <v>170</v>
      </c>
      <c r="G42" s="1">
        <v>93</v>
      </c>
      <c r="H42" s="1">
        <v>48</v>
      </c>
      <c r="J42" s="1" t="s">
        <v>137</v>
      </c>
      <c r="K42" s="1" t="s">
        <v>155</v>
      </c>
      <c r="M42" s="1" t="s">
        <v>133</v>
      </c>
      <c r="N42" s="1" t="s">
        <v>133</v>
      </c>
      <c r="P42" s="1" t="s">
        <v>134</v>
      </c>
      <c r="Q42" s="1" t="s">
        <v>135</v>
      </c>
      <c r="U42" s="1">
        <v>0</v>
      </c>
      <c r="V42" s="1">
        <v>88</v>
      </c>
      <c r="W42" s="1">
        <v>20121</v>
      </c>
      <c r="X42" s="1">
        <v>46131</v>
      </c>
      <c r="AK42" s="7"/>
      <c r="AL42" s="7"/>
    </row>
    <row r="43" spans="1:38" x14ac:dyDescent="0.35">
      <c r="A43" s="7">
        <v>3</v>
      </c>
      <c r="B43" s="15">
        <v>0.67083333333333328</v>
      </c>
      <c r="C43" s="21" t="s">
        <v>130</v>
      </c>
      <c r="D43" s="1" t="s">
        <v>144</v>
      </c>
      <c r="E43" s="1">
        <v>91</v>
      </c>
      <c r="F43" s="1" t="s">
        <v>158</v>
      </c>
      <c r="G43" s="1">
        <v>24</v>
      </c>
      <c r="H43" s="1">
        <v>76</v>
      </c>
      <c r="J43" s="1" t="s">
        <v>143</v>
      </c>
      <c r="K43" s="1" t="s">
        <v>138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0</v>
      </c>
      <c r="V43" s="1">
        <v>88</v>
      </c>
      <c r="W43" s="1">
        <v>20121</v>
      </c>
      <c r="X43" s="1">
        <v>46131</v>
      </c>
      <c r="AK43" s="7"/>
      <c r="AL43" s="7"/>
    </row>
    <row r="44" spans="1:38" x14ac:dyDescent="0.35">
      <c r="A44" s="2">
        <v>3</v>
      </c>
      <c r="B44" s="15">
        <v>0.66874999999999996</v>
      </c>
      <c r="C44" s="21" t="s">
        <v>130</v>
      </c>
      <c r="D44" s="1" t="s">
        <v>144</v>
      </c>
      <c r="E44" s="1">
        <v>91</v>
      </c>
      <c r="F44" s="1" t="s">
        <v>136</v>
      </c>
      <c r="G44" s="1">
        <v>72</v>
      </c>
      <c r="H44" s="1">
        <v>47</v>
      </c>
      <c r="J44" s="1" t="s">
        <v>164</v>
      </c>
      <c r="K44" s="1" t="s">
        <v>157</v>
      </c>
      <c r="M44" s="1" t="s">
        <v>133</v>
      </c>
      <c r="N44" s="1" t="s">
        <v>133</v>
      </c>
      <c r="O44" s="1" t="s">
        <v>133</v>
      </c>
      <c r="P44" s="1" t="s">
        <v>134</v>
      </c>
      <c r="Q44" s="1" t="s">
        <v>135</v>
      </c>
      <c r="U44" s="1">
        <v>0</v>
      </c>
      <c r="V44" s="1">
        <v>88</v>
      </c>
      <c r="W44" s="1">
        <v>20121</v>
      </c>
      <c r="X44" s="1">
        <v>46131</v>
      </c>
      <c r="AK44" s="7"/>
      <c r="AL44" s="7"/>
    </row>
    <row r="45" spans="1:38" x14ac:dyDescent="0.35">
      <c r="A45" s="7">
        <v>3</v>
      </c>
      <c r="B45" s="14">
        <v>0.62916666666666665</v>
      </c>
      <c r="C45" s="21" t="s">
        <v>156</v>
      </c>
      <c r="D45" s="1" t="s">
        <v>144</v>
      </c>
      <c r="E45" s="1">
        <v>13</v>
      </c>
      <c r="F45" s="1" t="s">
        <v>162</v>
      </c>
      <c r="G45" s="1">
        <v>20</v>
      </c>
      <c r="H45" s="1">
        <v>93</v>
      </c>
      <c r="I45" s="1">
        <v>48</v>
      </c>
      <c r="J45" s="1" t="s">
        <v>159</v>
      </c>
      <c r="K45" s="1" t="s">
        <v>138</v>
      </c>
      <c r="L45" s="1" t="s">
        <v>137</v>
      </c>
      <c r="M45" s="1" t="s">
        <v>133</v>
      </c>
      <c r="N45" s="1" t="s">
        <v>133</v>
      </c>
      <c r="Q45" s="1" t="s">
        <v>135</v>
      </c>
      <c r="R45" s="1" t="s">
        <v>161</v>
      </c>
      <c r="U45" s="1">
        <v>0</v>
      </c>
      <c r="V45" s="1">
        <v>88</v>
      </c>
      <c r="W45" s="1">
        <v>20121</v>
      </c>
      <c r="X45" s="1">
        <v>46131</v>
      </c>
      <c r="AK45" s="7"/>
      <c r="AL45" s="7"/>
    </row>
    <row r="46" spans="1:38" x14ac:dyDescent="0.35">
      <c r="A46" s="7">
        <v>3</v>
      </c>
      <c r="B46" s="15">
        <v>0.62777777777777777</v>
      </c>
      <c r="C46" s="21" t="s">
        <v>156</v>
      </c>
      <c r="D46" s="1" t="s">
        <v>144</v>
      </c>
      <c r="E46" s="1">
        <v>20</v>
      </c>
      <c r="F46" s="1" t="s">
        <v>145</v>
      </c>
      <c r="M46" s="1" t="s">
        <v>133</v>
      </c>
      <c r="N46" s="1" t="s">
        <v>133</v>
      </c>
      <c r="Q46" s="1" t="s">
        <v>135</v>
      </c>
      <c r="R46" s="1" t="s">
        <v>161</v>
      </c>
      <c r="U46" s="1">
        <v>0</v>
      </c>
      <c r="V46" s="1">
        <v>88</v>
      </c>
      <c r="W46" s="1">
        <v>20121</v>
      </c>
      <c r="X46" s="1">
        <v>46131</v>
      </c>
      <c r="AK46" s="7"/>
      <c r="AL46" s="7"/>
    </row>
    <row r="47" spans="1:38" x14ac:dyDescent="0.35">
      <c r="A47" s="2">
        <v>3</v>
      </c>
      <c r="B47" s="15">
        <v>0.62430555555555556</v>
      </c>
      <c r="C47" s="21" t="s">
        <v>156</v>
      </c>
      <c r="D47" s="1" t="s">
        <v>144</v>
      </c>
      <c r="E47" s="1">
        <v>48</v>
      </c>
      <c r="F47" s="1" t="s">
        <v>136</v>
      </c>
      <c r="G47" s="1">
        <v>14</v>
      </c>
      <c r="J47" s="1" t="s">
        <v>174</v>
      </c>
      <c r="Q47" s="1" t="s">
        <v>135</v>
      </c>
      <c r="R47" s="1" t="s">
        <v>161</v>
      </c>
      <c r="U47" s="1">
        <v>0</v>
      </c>
      <c r="V47" s="1">
        <v>88</v>
      </c>
      <c r="W47" s="1">
        <v>20121</v>
      </c>
      <c r="X47" s="1">
        <v>46131</v>
      </c>
      <c r="AK47" s="7"/>
      <c r="AL47" s="7"/>
    </row>
    <row r="48" spans="1:38" x14ac:dyDescent="0.35">
      <c r="A48" s="7">
        <v>3</v>
      </c>
      <c r="B48" s="14">
        <v>0.58611111111111114</v>
      </c>
      <c r="C48" s="21" t="s">
        <v>156</v>
      </c>
      <c r="D48" s="1" t="s">
        <v>144</v>
      </c>
      <c r="E48" s="1">
        <v>20</v>
      </c>
      <c r="F48" s="1" t="s">
        <v>158</v>
      </c>
      <c r="G48" s="1">
        <v>13</v>
      </c>
      <c r="H48" s="1">
        <v>14</v>
      </c>
      <c r="I48" s="1">
        <v>48</v>
      </c>
      <c r="J48" s="1" t="s">
        <v>142</v>
      </c>
      <c r="K48" s="1" t="s">
        <v>157</v>
      </c>
      <c r="L48" s="1" t="s">
        <v>137</v>
      </c>
      <c r="M48" s="1" t="s">
        <v>150</v>
      </c>
      <c r="N48" s="1" t="s">
        <v>150</v>
      </c>
      <c r="T48" s="1" t="s">
        <v>150</v>
      </c>
      <c r="U48" s="1">
        <v>0</v>
      </c>
      <c r="V48" s="1">
        <v>88</v>
      </c>
      <c r="W48" s="1">
        <v>20121</v>
      </c>
      <c r="X48" s="1">
        <v>46131</v>
      </c>
      <c r="AK48" s="7"/>
      <c r="AL48" s="7"/>
    </row>
    <row r="49" spans="1:38" x14ac:dyDescent="0.35">
      <c r="A49" s="7">
        <v>3</v>
      </c>
      <c r="B49" s="15">
        <v>0.51875000000000004</v>
      </c>
      <c r="C49" s="21" t="s">
        <v>156</v>
      </c>
      <c r="D49" s="1" t="s">
        <v>131</v>
      </c>
      <c r="E49" s="1">
        <v>38</v>
      </c>
      <c r="F49" s="1" t="s">
        <v>170</v>
      </c>
      <c r="G49" s="1">
        <v>21</v>
      </c>
      <c r="H49" s="1">
        <v>43</v>
      </c>
      <c r="J49" s="1" t="s">
        <v>157</v>
      </c>
      <c r="K49" s="1" t="s">
        <v>157</v>
      </c>
      <c r="M49" s="1" t="s">
        <v>133</v>
      </c>
      <c r="N49" s="1" t="s">
        <v>133</v>
      </c>
      <c r="Q49" s="1" t="s">
        <v>135</v>
      </c>
      <c r="R49" s="1" t="s">
        <v>161</v>
      </c>
      <c r="U49" s="1">
        <v>-1</v>
      </c>
      <c r="V49" s="1">
        <v>75</v>
      </c>
      <c r="W49" s="1">
        <v>20121</v>
      </c>
      <c r="X49" s="1">
        <v>46131</v>
      </c>
      <c r="AK49" s="7"/>
      <c r="AL49" s="7"/>
    </row>
    <row r="50" spans="1:38" x14ac:dyDescent="0.35">
      <c r="A50" s="7">
        <v>3</v>
      </c>
      <c r="B50" s="15">
        <v>0.46875</v>
      </c>
      <c r="C50" s="21" t="s">
        <v>156</v>
      </c>
      <c r="D50" s="1" t="s">
        <v>131</v>
      </c>
      <c r="E50" s="1">
        <v>59</v>
      </c>
      <c r="F50" s="1" t="s">
        <v>164</v>
      </c>
      <c r="M50" s="1" t="s">
        <v>133</v>
      </c>
      <c r="N50" s="1" t="s">
        <v>133</v>
      </c>
      <c r="U50" s="1">
        <v>-1</v>
      </c>
      <c r="V50" s="1">
        <v>75</v>
      </c>
      <c r="W50" s="1">
        <v>20121</v>
      </c>
      <c r="X50" s="1">
        <v>46131</v>
      </c>
      <c r="AK50" s="7"/>
      <c r="AL50" s="7"/>
    </row>
    <row r="51" spans="1:38" x14ac:dyDescent="0.35">
      <c r="A51" s="2">
        <v>3</v>
      </c>
      <c r="B51" s="15">
        <v>0.4597222222222222</v>
      </c>
      <c r="C51" s="21" t="s">
        <v>156</v>
      </c>
      <c r="D51" s="1" t="s">
        <v>131</v>
      </c>
      <c r="E51" s="1">
        <v>38</v>
      </c>
      <c r="F51" s="1" t="s">
        <v>166</v>
      </c>
      <c r="G51" s="1">
        <v>59</v>
      </c>
      <c r="H51" s="1">
        <v>86</v>
      </c>
      <c r="J51" s="1" t="s">
        <v>138</v>
      </c>
      <c r="K51" s="1" t="s">
        <v>137</v>
      </c>
      <c r="M51" s="1" t="s">
        <v>133</v>
      </c>
      <c r="N51" s="1" t="s">
        <v>133</v>
      </c>
      <c r="T51" s="1" t="s">
        <v>133</v>
      </c>
      <c r="U51" s="1">
        <v>-1</v>
      </c>
      <c r="V51" s="1">
        <v>75</v>
      </c>
      <c r="W51" s="1">
        <v>20121</v>
      </c>
      <c r="X51" s="1">
        <v>46131</v>
      </c>
      <c r="AK51" s="7"/>
      <c r="AL51" s="7"/>
    </row>
    <row r="52" spans="1:38" x14ac:dyDescent="0.35">
      <c r="A52" s="7">
        <v>3</v>
      </c>
      <c r="B52" s="14">
        <v>0.37916666666666665</v>
      </c>
      <c r="C52" s="21" t="s">
        <v>130</v>
      </c>
      <c r="D52" s="1" t="s">
        <v>131</v>
      </c>
      <c r="E52" s="1">
        <v>38</v>
      </c>
      <c r="F52" s="1" t="s">
        <v>136</v>
      </c>
      <c r="G52" s="1">
        <v>78</v>
      </c>
      <c r="H52" s="1">
        <v>38</v>
      </c>
      <c r="J52" s="1" t="s">
        <v>137</v>
      </c>
      <c r="K52" s="1" t="s">
        <v>175</v>
      </c>
      <c r="P52" s="1" t="s">
        <v>134</v>
      </c>
      <c r="Q52" s="1" t="s">
        <v>135</v>
      </c>
      <c r="U52" s="1">
        <v>0</v>
      </c>
      <c r="V52" s="1">
        <v>75</v>
      </c>
      <c r="W52" s="1">
        <v>20121</v>
      </c>
      <c r="X52" s="1">
        <v>46131</v>
      </c>
      <c r="AK52" s="7"/>
      <c r="AL52" s="7"/>
    </row>
    <row r="53" spans="1:38" x14ac:dyDescent="0.35">
      <c r="A53" s="7">
        <v>3</v>
      </c>
      <c r="B53" s="14">
        <v>0.33680555555555558</v>
      </c>
      <c r="C53" s="21" t="s">
        <v>130</v>
      </c>
      <c r="D53" s="1" t="s">
        <v>144</v>
      </c>
      <c r="E53" s="1">
        <v>72</v>
      </c>
      <c r="F53" s="1" t="s">
        <v>136</v>
      </c>
      <c r="G53" s="1">
        <v>77</v>
      </c>
      <c r="J53" s="1" t="s">
        <v>137</v>
      </c>
      <c r="N53" s="1" t="s">
        <v>150</v>
      </c>
      <c r="P53" s="1" t="s">
        <v>145</v>
      </c>
      <c r="Q53" s="1" t="s">
        <v>151</v>
      </c>
      <c r="R53" s="1" t="s">
        <v>169</v>
      </c>
      <c r="U53" s="1">
        <v>0</v>
      </c>
      <c r="V53" s="1">
        <v>88</v>
      </c>
      <c r="W53" s="1">
        <v>20121</v>
      </c>
      <c r="X53" s="1">
        <v>46131</v>
      </c>
      <c r="AK53" s="7"/>
      <c r="AL53" s="7"/>
    </row>
    <row r="54" spans="1:38" x14ac:dyDescent="0.35">
      <c r="A54" s="2">
        <v>3</v>
      </c>
      <c r="B54" s="15">
        <v>0.26874999999999999</v>
      </c>
      <c r="C54" s="21" t="s">
        <v>130</v>
      </c>
      <c r="D54" s="1" t="s">
        <v>144</v>
      </c>
      <c r="E54" s="1">
        <v>93</v>
      </c>
      <c r="F54" s="1" t="s">
        <v>166</v>
      </c>
      <c r="G54" s="1">
        <v>48</v>
      </c>
      <c r="H54" s="1">
        <v>15</v>
      </c>
      <c r="J54" s="1" t="s">
        <v>164</v>
      </c>
      <c r="K54" s="1" t="s">
        <v>160</v>
      </c>
      <c r="M54" s="1" t="s">
        <v>133</v>
      </c>
      <c r="N54" s="1" t="s">
        <v>133</v>
      </c>
      <c r="O54" s="1" t="s">
        <v>133</v>
      </c>
      <c r="P54" s="1" t="s">
        <v>134</v>
      </c>
      <c r="Q54" s="1" t="s">
        <v>135</v>
      </c>
      <c r="U54" s="1">
        <v>0</v>
      </c>
      <c r="V54" s="1">
        <v>88</v>
      </c>
      <c r="W54" s="1">
        <v>20121</v>
      </c>
      <c r="X54" s="1">
        <v>46131</v>
      </c>
      <c r="AK54" s="7"/>
      <c r="AL54" s="7"/>
    </row>
    <row r="55" spans="1:38" x14ac:dyDescent="0.35">
      <c r="A55" s="7">
        <v>3</v>
      </c>
      <c r="B55" s="15">
        <v>0.24791666666666667</v>
      </c>
      <c r="C55" s="21" t="s">
        <v>130</v>
      </c>
      <c r="D55" s="1" t="s">
        <v>144</v>
      </c>
      <c r="E55" s="1">
        <v>48</v>
      </c>
      <c r="F55" s="1" t="s">
        <v>136</v>
      </c>
      <c r="G55" s="1">
        <v>85</v>
      </c>
      <c r="J55" s="1" t="s">
        <v>165</v>
      </c>
      <c r="Q55" s="1" t="s">
        <v>135</v>
      </c>
      <c r="R55" s="1" t="s">
        <v>161</v>
      </c>
      <c r="U55" s="1">
        <v>0</v>
      </c>
      <c r="V55" s="1">
        <v>88</v>
      </c>
      <c r="W55" s="1">
        <v>20121</v>
      </c>
      <c r="X55" s="1">
        <v>46131</v>
      </c>
      <c r="AK55" s="7"/>
      <c r="AL55" s="7"/>
    </row>
    <row r="56" spans="1:38" x14ac:dyDescent="0.35">
      <c r="A56" s="7">
        <v>3</v>
      </c>
      <c r="B56" s="15">
        <v>0.2298611111111111</v>
      </c>
      <c r="C56" s="21" t="s">
        <v>130</v>
      </c>
      <c r="D56" s="1" t="s">
        <v>131</v>
      </c>
      <c r="E56" s="1">
        <v>86</v>
      </c>
      <c r="F56" s="1" t="s">
        <v>162</v>
      </c>
      <c r="G56" s="1">
        <v>93</v>
      </c>
      <c r="J56" s="1" t="s">
        <v>138</v>
      </c>
      <c r="P56" s="1" t="s">
        <v>139</v>
      </c>
      <c r="Q56" s="1" t="s">
        <v>135</v>
      </c>
      <c r="U56" s="1">
        <v>0</v>
      </c>
      <c r="V56" s="1">
        <v>75</v>
      </c>
      <c r="W56" s="1">
        <v>20121</v>
      </c>
      <c r="X56" s="1">
        <v>46131</v>
      </c>
      <c r="AK56" s="7"/>
      <c r="AL56" s="7"/>
    </row>
    <row r="57" spans="1:38" x14ac:dyDescent="0.35">
      <c r="A57" s="7">
        <v>3</v>
      </c>
      <c r="B57" s="14">
        <v>4.6527777777777779E-2</v>
      </c>
      <c r="C57" s="21" t="s">
        <v>130</v>
      </c>
      <c r="D57" s="1" t="s">
        <v>131</v>
      </c>
      <c r="E57" s="1">
        <v>86</v>
      </c>
      <c r="F57" s="1" t="s">
        <v>162</v>
      </c>
      <c r="G57" s="1">
        <v>90</v>
      </c>
      <c r="J57" s="1" t="s">
        <v>157</v>
      </c>
      <c r="Q57" s="1" t="s">
        <v>135</v>
      </c>
      <c r="R57" s="1" t="s">
        <v>161</v>
      </c>
      <c r="U57" s="1">
        <v>0</v>
      </c>
      <c r="V57" s="1">
        <v>75</v>
      </c>
      <c r="W57" s="1">
        <v>20121</v>
      </c>
      <c r="X57" s="1">
        <v>46131</v>
      </c>
      <c r="AK57" s="7"/>
      <c r="AL57" s="7"/>
    </row>
    <row r="58" spans="1:38" x14ac:dyDescent="0.35">
      <c r="A58" s="7">
        <v>3</v>
      </c>
      <c r="B58" s="14">
        <v>2.5694444444444443E-2</v>
      </c>
      <c r="C58" s="21" t="s">
        <v>130</v>
      </c>
      <c r="D58" s="1" t="s">
        <v>131</v>
      </c>
      <c r="E58" s="1">
        <v>38</v>
      </c>
      <c r="F58" s="1" t="s">
        <v>132</v>
      </c>
      <c r="G58" s="1">
        <v>27</v>
      </c>
      <c r="J58" s="1" t="s">
        <v>173</v>
      </c>
      <c r="P58" s="1" t="s">
        <v>145</v>
      </c>
      <c r="Q58" s="1" t="s">
        <v>146</v>
      </c>
      <c r="R58" s="1" t="s">
        <v>147</v>
      </c>
      <c r="U58" s="1">
        <v>0</v>
      </c>
      <c r="V58" s="1">
        <v>75</v>
      </c>
      <c r="W58" s="1">
        <v>20121</v>
      </c>
      <c r="X58" s="1">
        <v>46131</v>
      </c>
      <c r="AK58" s="7"/>
      <c r="AL58" s="7"/>
    </row>
    <row r="59" spans="1:38" x14ac:dyDescent="0.35">
      <c r="A59" s="2">
        <v>4</v>
      </c>
      <c r="B59" s="15">
        <v>0.7944444444444444</v>
      </c>
      <c r="C59" s="21" t="s">
        <v>156</v>
      </c>
      <c r="D59" s="1" t="s">
        <v>144</v>
      </c>
      <c r="E59" s="1">
        <v>13</v>
      </c>
      <c r="F59" s="1" t="s">
        <v>136</v>
      </c>
      <c r="G59" s="1">
        <v>48</v>
      </c>
      <c r="H59" s="1">
        <v>93</v>
      </c>
      <c r="I59" s="1">
        <v>14</v>
      </c>
      <c r="J59" s="1" t="s">
        <v>137</v>
      </c>
      <c r="K59" s="1" t="s">
        <v>138</v>
      </c>
      <c r="L59" s="1" t="s">
        <v>138</v>
      </c>
      <c r="M59" s="1" t="s">
        <v>133</v>
      </c>
      <c r="N59" s="1" t="s">
        <v>133</v>
      </c>
      <c r="U59" s="1">
        <v>0</v>
      </c>
      <c r="V59" s="1">
        <v>88</v>
      </c>
      <c r="W59" s="1">
        <v>20121</v>
      </c>
      <c r="X59" s="1">
        <v>46131</v>
      </c>
      <c r="AK59" s="7"/>
      <c r="AL59" s="7"/>
    </row>
    <row r="60" spans="1:38" x14ac:dyDescent="0.35">
      <c r="A60" s="2">
        <v>4</v>
      </c>
      <c r="B60" s="15">
        <v>0.77638888888888891</v>
      </c>
      <c r="C60" s="21" t="s">
        <v>156</v>
      </c>
      <c r="D60" s="1" t="s">
        <v>144</v>
      </c>
      <c r="E60" s="1">
        <v>20</v>
      </c>
      <c r="F60" s="1" t="s">
        <v>132</v>
      </c>
      <c r="G60" s="1">
        <v>48</v>
      </c>
      <c r="H60" s="1">
        <v>14</v>
      </c>
      <c r="J60" s="1" t="s">
        <v>137</v>
      </c>
      <c r="K60" s="1" t="s">
        <v>157</v>
      </c>
      <c r="M60" s="1" t="s">
        <v>133</v>
      </c>
      <c r="N60" s="1" t="s">
        <v>133</v>
      </c>
      <c r="T60" s="1" t="s">
        <v>133</v>
      </c>
      <c r="U60" s="1">
        <v>0</v>
      </c>
      <c r="V60" s="1">
        <v>88</v>
      </c>
      <c r="W60" s="1">
        <v>20121</v>
      </c>
      <c r="X60" s="1">
        <v>46131</v>
      </c>
      <c r="AK60" s="7"/>
      <c r="AL60" s="7"/>
    </row>
    <row r="61" spans="1:38" x14ac:dyDescent="0.35">
      <c r="A61" s="2">
        <v>1</v>
      </c>
      <c r="B61" s="15">
        <v>0.83125000000000004</v>
      </c>
      <c r="C61" s="21" t="s">
        <v>130</v>
      </c>
      <c r="Y61" s="16" t="s">
        <v>177</v>
      </c>
      <c r="Z61" s="16" t="s">
        <v>178</v>
      </c>
      <c r="AA61" s="16" t="s">
        <v>179</v>
      </c>
      <c r="AC61" s="16" t="s">
        <v>180</v>
      </c>
      <c r="AD61" s="16" t="s">
        <v>178</v>
      </c>
      <c r="AE61" s="16" t="s">
        <v>179</v>
      </c>
      <c r="AF61" s="5" t="s">
        <v>181</v>
      </c>
      <c r="AG61" s="5" t="s">
        <v>182</v>
      </c>
      <c r="AK61" s="7"/>
      <c r="AL61" s="7"/>
    </row>
    <row r="62" spans="1:38" x14ac:dyDescent="0.35">
      <c r="A62" s="2">
        <v>1</v>
      </c>
      <c r="B62" s="15">
        <v>0.82638888888888884</v>
      </c>
      <c r="C62" s="21" t="s">
        <v>130</v>
      </c>
      <c r="Y62" s="16" t="s">
        <v>177</v>
      </c>
      <c r="Z62" s="16" t="s">
        <v>183</v>
      </c>
      <c r="AA62" s="16" t="s">
        <v>184</v>
      </c>
      <c r="AC62" s="16" t="s">
        <v>185</v>
      </c>
      <c r="AD62" s="16" t="s">
        <v>179</v>
      </c>
      <c r="AE62" s="16" t="s">
        <v>179</v>
      </c>
      <c r="AF62" s="5" t="s">
        <v>184</v>
      </c>
      <c r="AG62" s="5" t="s">
        <v>186</v>
      </c>
      <c r="AH62" s="5" t="s">
        <v>183</v>
      </c>
      <c r="AK62" s="7"/>
      <c r="AL62" s="7"/>
    </row>
    <row r="63" spans="1:38" x14ac:dyDescent="0.35">
      <c r="A63" s="2">
        <v>1</v>
      </c>
      <c r="B63" s="15">
        <v>0.80902777777777779</v>
      </c>
      <c r="C63" s="21" t="s">
        <v>130</v>
      </c>
      <c r="Y63" s="16" t="s">
        <v>180</v>
      </c>
      <c r="Z63" s="16" t="s">
        <v>187</v>
      </c>
      <c r="AA63" s="16" t="s">
        <v>188</v>
      </c>
      <c r="AB63" s="16" t="s">
        <v>179</v>
      </c>
      <c r="AC63" s="16" t="s">
        <v>180</v>
      </c>
      <c r="AD63" s="16" t="s">
        <v>179</v>
      </c>
      <c r="AE63" s="16" t="s">
        <v>179</v>
      </c>
      <c r="AK63" s="7"/>
      <c r="AL63" s="7"/>
    </row>
    <row r="64" spans="1:38" x14ac:dyDescent="0.35">
      <c r="A64" s="2">
        <v>1</v>
      </c>
      <c r="B64" s="15">
        <v>0.79236111111111107</v>
      </c>
      <c r="C64" s="21" t="s">
        <v>130</v>
      </c>
      <c r="Y64" s="16" t="s">
        <v>177</v>
      </c>
      <c r="Z64" s="16" t="s">
        <v>189</v>
      </c>
      <c r="AA64" s="16" t="s">
        <v>179</v>
      </c>
      <c r="AC64" s="16" t="s">
        <v>185</v>
      </c>
      <c r="AD64" s="16" t="s">
        <v>179</v>
      </c>
      <c r="AE64" s="16" t="s">
        <v>179</v>
      </c>
      <c r="AF64" s="5" t="s">
        <v>190</v>
      </c>
      <c r="AG64" s="5" t="s">
        <v>191</v>
      </c>
      <c r="AH64" s="5" t="s">
        <v>179</v>
      </c>
      <c r="AI64" s="5" t="s">
        <v>192</v>
      </c>
      <c r="AJ64" s="5" t="s">
        <v>186</v>
      </c>
      <c r="AK64" s="7"/>
      <c r="AL64" s="7"/>
    </row>
    <row r="65" spans="1:38" x14ac:dyDescent="0.35">
      <c r="A65" s="2">
        <v>1</v>
      </c>
      <c r="B65" s="15">
        <v>0.78541666666666665</v>
      </c>
      <c r="C65" s="21" t="s">
        <v>130</v>
      </c>
      <c r="Y65" s="16" t="s">
        <v>177</v>
      </c>
      <c r="Z65" s="16" t="s">
        <v>193</v>
      </c>
      <c r="AA65" s="16" t="s">
        <v>194</v>
      </c>
      <c r="AC65" s="16" t="s">
        <v>195</v>
      </c>
      <c r="AD65" s="16" t="s">
        <v>179</v>
      </c>
      <c r="AE65" s="16" t="s">
        <v>179</v>
      </c>
      <c r="AF65" s="5" t="s">
        <v>196</v>
      </c>
      <c r="AG65" s="5" t="s">
        <v>191</v>
      </c>
      <c r="AH65" s="5" t="s">
        <v>179</v>
      </c>
      <c r="AI65" s="5" t="s">
        <v>194</v>
      </c>
      <c r="AJ65" s="5" t="s">
        <v>197</v>
      </c>
      <c r="AK65" s="7"/>
      <c r="AL65" s="7"/>
    </row>
    <row r="66" spans="1:38" x14ac:dyDescent="0.35">
      <c r="A66" s="2">
        <v>1</v>
      </c>
      <c r="B66" s="15">
        <v>0.77638888888888891</v>
      </c>
      <c r="C66" s="21" t="s">
        <v>130</v>
      </c>
      <c r="Y66" s="16" t="s">
        <v>198</v>
      </c>
      <c r="Z66" s="16" t="s">
        <v>199</v>
      </c>
      <c r="AA66" s="16" t="s">
        <v>179</v>
      </c>
      <c r="AC66" s="16" t="s">
        <v>180</v>
      </c>
      <c r="AD66" s="16" t="s">
        <v>179</v>
      </c>
      <c r="AE66" s="16" t="s">
        <v>179</v>
      </c>
      <c r="AK66" s="7"/>
      <c r="AL66" s="7"/>
    </row>
    <row r="67" spans="1:38" x14ac:dyDescent="0.35">
      <c r="A67" s="2">
        <v>1</v>
      </c>
      <c r="B67" s="15">
        <v>0.76388888888888884</v>
      </c>
      <c r="C67" s="23" t="s">
        <v>130</v>
      </c>
      <c r="Y67" s="16" t="s">
        <v>180</v>
      </c>
      <c r="Z67" s="16" t="s">
        <v>200</v>
      </c>
      <c r="AA67" s="16" t="s">
        <v>201</v>
      </c>
      <c r="AB67" s="16" t="s">
        <v>150</v>
      </c>
      <c r="AC67" s="16" t="s">
        <v>195</v>
      </c>
      <c r="AD67" s="16" t="s">
        <v>179</v>
      </c>
      <c r="AE67" s="16" t="s">
        <v>179</v>
      </c>
      <c r="AF67" s="5" t="s">
        <v>201</v>
      </c>
      <c r="AG67" s="5" t="s">
        <v>186</v>
      </c>
      <c r="AK67" s="7"/>
      <c r="AL67" s="7"/>
    </row>
    <row r="68" spans="1:38" x14ac:dyDescent="0.35">
      <c r="A68" s="2">
        <v>1</v>
      </c>
      <c r="B68" s="15">
        <v>0.75277777777777777</v>
      </c>
      <c r="C68" s="21" t="s">
        <v>130</v>
      </c>
      <c r="Y68" s="16" t="s">
        <v>177</v>
      </c>
      <c r="Z68" s="16" t="s">
        <v>202</v>
      </c>
      <c r="AA68" s="16" t="s">
        <v>203</v>
      </c>
      <c r="AC68" s="16" t="s">
        <v>195</v>
      </c>
      <c r="AD68" s="16" t="s">
        <v>179</v>
      </c>
      <c r="AE68" s="16" t="s">
        <v>179</v>
      </c>
      <c r="AF68" s="5" t="s">
        <v>204</v>
      </c>
      <c r="AG68" s="5" t="s">
        <v>182</v>
      </c>
      <c r="AH68" s="5" t="s">
        <v>205</v>
      </c>
      <c r="AK68" s="7"/>
      <c r="AL68" s="7"/>
    </row>
    <row r="69" spans="1:38" x14ac:dyDescent="0.35">
      <c r="A69" s="2">
        <v>1</v>
      </c>
      <c r="B69" s="15">
        <v>0.74375000000000002</v>
      </c>
      <c r="C69" s="21" t="s">
        <v>130</v>
      </c>
      <c r="Y69" s="16" t="s">
        <v>180</v>
      </c>
      <c r="Z69" s="16" t="s">
        <v>206</v>
      </c>
      <c r="AA69" s="16" t="s">
        <v>201</v>
      </c>
      <c r="AB69" s="16" t="s">
        <v>150</v>
      </c>
      <c r="AC69" s="16" t="s">
        <v>185</v>
      </c>
      <c r="AD69" s="16" t="s">
        <v>179</v>
      </c>
      <c r="AE69" s="16" t="s">
        <v>179</v>
      </c>
      <c r="AF69" s="5" t="s">
        <v>201</v>
      </c>
      <c r="AG69" s="5" t="s">
        <v>182</v>
      </c>
      <c r="AH69" s="5" t="s">
        <v>207</v>
      </c>
      <c r="AK69" s="7"/>
      <c r="AL69" s="7"/>
    </row>
    <row r="70" spans="1:38" x14ac:dyDescent="0.35">
      <c r="A70" s="2">
        <v>1</v>
      </c>
      <c r="B70" s="15">
        <v>0.72916666666666663</v>
      </c>
      <c r="C70" s="21" t="s">
        <v>130</v>
      </c>
      <c r="Y70" s="16" t="s">
        <v>177</v>
      </c>
      <c r="Z70" s="16" t="s">
        <v>187</v>
      </c>
      <c r="AA70" s="16" t="s">
        <v>179</v>
      </c>
      <c r="AC70" s="16" t="s">
        <v>195</v>
      </c>
      <c r="AD70" s="16" t="s">
        <v>179</v>
      </c>
      <c r="AE70" s="16" t="s">
        <v>179</v>
      </c>
      <c r="AF70" s="5" t="s">
        <v>208</v>
      </c>
      <c r="AG70" s="5" t="s">
        <v>191</v>
      </c>
      <c r="AH70" s="5" t="s">
        <v>179</v>
      </c>
      <c r="AI70" s="5" t="s">
        <v>194</v>
      </c>
      <c r="AJ70" s="5" t="s">
        <v>182</v>
      </c>
      <c r="AK70" s="7"/>
      <c r="AL70" s="7"/>
    </row>
    <row r="71" spans="1:38" x14ac:dyDescent="0.35">
      <c r="A71" s="2">
        <v>1</v>
      </c>
      <c r="B71" s="15">
        <v>0.71527777777777779</v>
      </c>
      <c r="C71" s="21" t="s">
        <v>130</v>
      </c>
      <c r="Y71" s="16" t="s">
        <v>180</v>
      </c>
      <c r="Z71" s="16" t="s">
        <v>192</v>
      </c>
      <c r="AA71" s="16" t="s">
        <v>194</v>
      </c>
      <c r="AB71" s="16" t="s">
        <v>179</v>
      </c>
      <c r="AC71" s="16" t="s">
        <v>195</v>
      </c>
      <c r="AD71" s="16" t="s">
        <v>179</v>
      </c>
      <c r="AE71" s="16" t="s">
        <v>133</v>
      </c>
      <c r="AF71" s="5" t="s">
        <v>181</v>
      </c>
      <c r="AG71" s="5" t="s">
        <v>191</v>
      </c>
      <c r="AH71" s="5" t="s">
        <v>199</v>
      </c>
      <c r="AI71" s="5" t="s">
        <v>188</v>
      </c>
      <c r="AJ71" s="5" t="s">
        <v>182</v>
      </c>
      <c r="AK71" s="7"/>
      <c r="AL71" s="7"/>
    </row>
    <row r="72" spans="1:38" x14ac:dyDescent="0.35">
      <c r="A72" s="2">
        <v>1</v>
      </c>
      <c r="B72" s="15">
        <v>0.68055555555555558</v>
      </c>
      <c r="C72" s="21" t="s">
        <v>130</v>
      </c>
      <c r="Y72" s="16" t="s">
        <v>209</v>
      </c>
      <c r="Z72" s="16" t="s">
        <v>144</v>
      </c>
      <c r="AD72" s="16" t="s">
        <v>189</v>
      </c>
      <c r="AF72" s="5" t="s">
        <v>210</v>
      </c>
      <c r="AG72" s="5" t="s">
        <v>191</v>
      </c>
      <c r="AH72" s="5" t="s">
        <v>181</v>
      </c>
      <c r="AI72" s="5" t="s">
        <v>193</v>
      </c>
      <c r="AJ72" s="5" t="s">
        <v>211</v>
      </c>
      <c r="AK72" s="7"/>
      <c r="AL72" s="7"/>
    </row>
    <row r="73" spans="1:38" x14ac:dyDescent="0.35">
      <c r="A73" s="2">
        <v>1</v>
      </c>
      <c r="B73" s="15">
        <v>0.65972222222222221</v>
      </c>
      <c r="C73" s="21" t="s">
        <v>130</v>
      </c>
      <c r="Y73" s="16" t="s">
        <v>180</v>
      </c>
      <c r="Z73" s="16" t="s">
        <v>212</v>
      </c>
      <c r="AA73" s="16" t="s">
        <v>201</v>
      </c>
      <c r="AB73" s="16" t="s">
        <v>179</v>
      </c>
      <c r="AC73" s="16" t="s">
        <v>195</v>
      </c>
      <c r="AD73" s="16" t="s">
        <v>179</v>
      </c>
      <c r="AE73" s="16" t="s">
        <v>150</v>
      </c>
      <c r="AK73" s="7"/>
      <c r="AL73" s="7"/>
    </row>
    <row r="74" spans="1:38" x14ac:dyDescent="0.35">
      <c r="A74" s="2">
        <v>1</v>
      </c>
      <c r="B74" s="15">
        <v>0.65208333333333335</v>
      </c>
      <c r="C74" s="21" t="s">
        <v>130</v>
      </c>
      <c r="Y74" s="16" t="s">
        <v>180</v>
      </c>
      <c r="Z74" s="16" t="s">
        <v>183</v>
      </c>
      <c r="AA74" s="16" t="s">
        <v>179</v>
      </c>
      <c r="AB74" s="16" t="s">
        <v>179</v>
      </c>
      <c r="AC74" s="16" t="s">
        <v>185</v>
      </c>
      <c r="AD74" s="16" t="s">
        <v>179</v>
      </c>
      <c r="AE74" s="16" t="s">
        <v>179</v>
      </c>
      <c r="AF74" s="5" t="s">
        <v>183</v>
      </c>
      <c r="AG74" s="5" t="s">
        <v>213</v>
      </c>
      <c r="AK74" s="7"/>
      <c r="AL74" s="7"/>
    </row>
    <row r="75" spans="1:38" x14ac:dyDescent="0.35">
      <c r="A75" s="2">
        <v>1</v>
      </c>
      <c r="B75" s="15">
        <v>0.63541666666666663</v>
      </c>
      <c r="C75" s="21" t="s">
        <v>130</v>
      </c>
      <c r="AF75" s="5" t="s">
        <v>204</v>
      </c>
      <c r="AG75" s="5" t="s">
        <v>191</v>
      </c>
      <c r="AH75" s="5" t="s">
        <v>205</v>
      </c>
      <c r="AI75" s="5" t="s">
        <v>203</v>
      </c>
      <c r="AJ75" s="5" t="s">
        <v>182</v>
      </c>
      <c r="AK75" s="7"/>
      <c r="AL75" s="7"/>
    </row>
    <row r="76" spans="1:38" x14ac:dyDescent="0.35">
      <c r="A76" s="2">
        <v>1</v>
      </c>
      <c r="B76" s="15">
        <v>0.62777777777777777</v>
      </c>
      <c r="C76" s="21" t="s">
        <v>130</v>
      </c>
      <c r="Y76" s="16" t="s">
        <v>180</v>
      </c>
      <c r="Z76" s="16" t="s">
        <v>212</v>
      </c>
      <c r="AA76" s="16" t="s">
        <v>201</v>
      </c>
      <c r="AB76" s="16" t="s">
        <v>150</v>
      </c>
      <c r="AC76" s="16" t="s">
        <v>180</v>
      </c>
      <c r="AD76" s="16" t="s">
        <v>179</v>
      </c>
      <c r="AE76" s="16" t="s">
        <v>179</v>
      </c>
      <c r="AF76" s="5" t="s">
        <v>187</v>
      </c>
      <c r="AG76" s="5" t="s">
        <v>186</v>
      </c>
      <c r="AK76" s="7"/>
      <c r="AL76" s="7"/>
    </row>
    <row r="77" spans="1:38" x14ac:dyDescent="0.35">
      <c r="A77" s="2">
        <v>1</v>
      </c>
      <c r="B77" s="15">
        <v>0.61458333333333337</v>
      </c>
      <c r="C77" s="21" t="s">
        <v>130</v>
      </c>
      <c r="Y77" s="16" t="s">
        <v>180</v>
      </c>
      <c r="Z77" s="16" t="s">
        <v>214</v>
      </c>
      <c r="AA77" s="16" t="s">
        <v>179</v>
      </c>
      <c r="AB77" s="16" t="s">
        <v>179</v>
      </c>
      <c r="AC77" s="16" t="s">
        <v>180</v>
      </c>
      <c r="AD77" s="16" t="s">
        <v>179</v>
      </c>
      <c r="AE77" s="16" t="s">
        <v>179</v>
      </c>
      <c r="AF77" s="5" t="s">
        <v>184</v>
      </c>
      <c r="AG77" s="5" t="s">
        <v>186</v>
      </c>
      <c r="AH77" s="5" t="s">
        <v>183</v>
      </c>
      <c r="AK77" s="7"/>
      <c r="AL77" s="7"/>
    </row>
    <row r="78" spans="1:38" x14ac:dyDescent="0.35">
      <c r="A78" s="2">
        <v>1</v>
      </c>
      <c r="B78" s="15">
        <v>0.60069444444444442</v>
      </c>
      <c r="C78" s="21" t="s">
        <v>130</v>
      </c>
      <c r="Y78" s="16" t="s">
        <v>180</v>
      </c>
      <c r="Z78" s="16" t="s">
        <v>205</v>
      </c>
      <c r="AA78" s="16" t="s">
        <v>203</v>
      </c>
      <c r="AB78" s="16" t="s">
        <v>150</v>
      </c>
      <c r="AC78" s="16" t="s">
        <v>195</v>
      </c>
      <c r="AD78" s="16" t="s">
        <v>179</v>
      </c>
      <c r="AE78" s="16" t="s">
        <v>150</v>
      </c>
      <c r="AF78" s="5" t="s">
        <v>200</v>
      </c>
      <c r="AG78" s="5" t="s">
        <v>213</v>
      </c>
      <c r="AK78" s="7"/>
      <c r="AL78" s="7"/>
    </row>
    <row r="79" spans="1:38" x14ac:dyDescent="0.35">
      <c r="A79" s="2">
        <v>1</v>
      </c>
      <c r="B79" s="15">
        <v>0.59305555555555556</v>
      </c>
      <c r="C79" s="21" t="s">
        <v>130</v>
      </c>
      <c r="Y79" s="16" t="s">
        <v>180</v>
      </c>
      <c r="Z79" s="16" t="s">
        <v>206</v>
      </c>
      <c r="AA79" s="16" t="s">
        <v>181</v>
      </c>
      <c r="AB79" s="16" t="s">
        <v>179</v>
      </c>
      <c r="AC79" s="16" t="s">
        <v>195</v>
      </c>
      <c r="AD79" s="16" t="s">
        <v>179</v>
      </c>
      <c r="AE79" s="16" t="s">
        <v>179</v>
      </c>
      <c r="AF79" s="5" t="s">
        <v>181</v>
      </c>
      <c r="AG79" s="5" t="s">
        <v>191</v>
      </c>
      <c r="AH79" s="5" t="s">
        <v>206</v>
      </c>
      <c r="AI79" s="5" t="s">
        <v>215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0.56944444444444442</v>
      </c>
      <c r="C80" s="21" t="s">
        <v>130</v>
      </c>
      <c r="Y80" s="16" t="s">
        <v>177</v>
      </c>
      <c r="Z80" s="16" t="s">
        <v>216</v>
      </c>
      <c r="AA80" s="16" t="s">
        <v>179</v>
      </c>
      <c r="AC80" s="16" t="s">
        <v>185</v>
      </c>
      <c r="AD80" s="16" t="s">
        <v>179</v>
      </c>
      <c r="AE80" s="16" t="s">
        <v>179</v>
      </c>
      <c r="AF80" s="5" t="s">
        <v>210</v>
      </c>
      <c r="AG80" s="5" t="s">
        <v>191</v>
      </c>
      <c r="AH80" s="5" t="s">
        <v>179</v>
      </c>
      <c r="AI80" s="5" t="s">
        <v>192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0.55694444444444446</v>
      </c>
      <c r="C81" s="21" t="s">
        <v>130</v>
      </c>
      <c r="Y81" s="16" t="s">
        <v>177</v>
      </c>
      <c r="AA81" s="16" t="s">
        <v>196</v>
      </c>
      <c r="AC81" s="16" t="s">
        <v>185</v>
      </c>
      <c r="AD81" s="16" t="s">
        <v>179</v>
      </c>
      <c r="AE81" s="16" t="s">
        <v>179</v>
      </c>
      <c r="AF81" s="5" t="s">
        <v>196</v>
      </c>
      <c r="AG81" s="5" t="s">
        <v>186</v>
      </c>
      <c r="AK81" s="7"/>
      <c r="AL81" s="7"/>
    </row>
    <row r="82" spans="1:38" x14ac:dyDescent="0.35">
      <c r="A82" s="2">
        <v>1</v>
      </c>
      <c r="B82" s="15">
        <v>0.55069444444444449</v>
      </c>
      <c r="C82" s="21" t="s">
        <v>130</v>
      </c>
      <c r="Y82" s="16" t="s">
        <v>180</v>
      </c>
      <c r="Z82" s="16" t="s">
        <v>217</v>
      </c>
      <c r="AA82" s="16" t="s">
        <v>184</v>
      </c>
      <c r="AB82" s="16" t="s">
        <v>150</v>
      </c>
      <c r="AC82" s="16" t="s">
        <v>185</v>
      </c>
      <c r="AD82" s="16" t="s">
        <v>179</v>
      </c>
      <c r="AE82" s="16" t="s">
        <v>179</v>
      </c>
      <c r="AK82" s="7"/>
      <c r="AL82" s="7"/>
    </row>
    <row r="83" spans="1:38" x14ac:dyDescent="0.35">
      <c r="A83" s="2">
        <v>1</v>
      </c>
      <c r="B83" s="15">
        <v>0.53125</v>
      </c>
      <c r="C83" s="21" t="s">
        <v>130</v>
      </c>
      <c r="Y83" s="16" t="s">
        <v>180</v>
      </c>
      <c r="Z83" s="16" t="s">
        <v>183</v>
      </c>
      <c r="AA83" s="16" t="s">
        <v>204</v>
      </c>
      <c r="AB83" s="16" t="s">
        <v>179</v>
      </c>
      <c r="AC83" s="16" t="s">
        <v>185</v>
      </c>
      <c r="AD83" s="16" t="s">
        <v>179</v>
      </c>
      <c r="AE83" s="16" t="s">
        <v>179</v>
      </c>
      <c r="AK83" s="7"/>
      <c r="AL83" s="7"/>
    </row>
    <row r="84" spans="1:38" x14ac:dyDescent="0.35">
      <c r="A84" s="2">
        <v>1</v>
      </c>
      <c r="B84" s="15">
        <v>0.52083333333333337</v>
      </c>
      <c r="C84" s="21" t="s">
        <v>130</v>
      </c>
      <c r="Y84" s="16" t="s">
        <v>177</v>
      </c>
      <c r="Z84" s="16" t="s">
        <v>189</v>
      </c>
      <c r="AA84" s="16" t="s">
        <v>203</v>
      </c>
      <c r="AC84" s="16" t="s">
        <v>195</v>
      </c>
      <c r="AD84" s="16" t="s">
        <v>179</v>
      </c>
      <c r="AE84" s="16" t="s">
        <v>179</v>
      </c>
      <c r="AF84" s="5" t="s">
        <v>206</v>
      </c>
      <c r="AG84" s="5" t="s">
        <v>182</v>
      </c>
      <c r="AH84" s="5" t="s">
        <v>189</v>
      </c>
      <c r="AK84" s="7"/>
      <c r="AL84" s="7"/>
    </row>
    <row r="85" spans="1:38" x14ac:dyDescent="0.35">
      <c r="A85" s="2">
        <v>1</v>
      </c>
      <c r="B85" s="15">
        <v>0.50347222222222221</v>
      </c>
      <c r="C85" s="21" t="s">
        <v>130</v>
      </c>
      <c r="Y85" s="16" t="s">
        <v>177</v>
      </c>
      <c r="Z85" s="16" t="s">
        <v>218</v>
      </c>
      <c r="AA85" s="16" t="s">
        <v>179</v>
      </c>
      <c r="AC85" s="16" t="s">
        <v>195</v>
      </c>
      <c r="AD85" s="16" t="s">
        <v>179</v>
      </c>
      <c r="AE85" s="16" t="s">
        <v>179</v>
      </c>
      <c r="AF85" s="5" t="s">
        <v>204</v>
      </c>
      <c r="AG85" s="5" t="s">
        <v>182</v>
      </c>
      <c r="AK85" s="7"/>
      <c r="AL85" s="7"/>
    </row>
    <row r="86" spans="1:38" x14ac:dyDescent="0.35">
      <c r="A86" s="2">
        <v>1</v>
      </c>
      <c r="B86" s="15">
        <v>0.49305555555555558</v>
      </c>
      <c r="C86" s="21" t="s">
        <v>130</v>
      </c>
      <c r="Y86" s="16" t="s">
        <v>177</v>
      </c>
      <c r="Z86" s="16" t="s">
        <v>219</v>
      </c>
      <c r="AA86" s="16" t="s">
        <v>181</v>
      </c>
      <c r="AC86" s="16" t="s">
        <v>195</v>
      </c>
      <c r="AD86" s="16" t="s">
        <v>179</v>
      </c>
      <c r="AE86" s="16" t="s">
        <v>179</v>
      </c>
      <c r="AF86" s="5" t="s">
        <v>189</v>
      </c>
      <c r="AG86" s="5" t="s">
        <v>191</v>
      </c>
      <c r="AH86" s="5" t="s">
        <v>219</v>
      </c>
      <c r="AI86" s="5" t="s">
        <v>220</v>
      </c>
      <c r="AJ86" s="5" t="s">
        <v>186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130</v>
      </c>
      <c r="Y87" s="16" t="s">
        <v>180</v>
      </c>
      <c r="Z87" s="16" t="s">
        <v>216</v>
      </c>
      <c r="AA87" s="16" t="s">
        <v>179</v>
      </c>
      <c r="AB87" s="16" t="s">
        <v>179</v>
      </c>
      <c r="AC87" s="16" t="s">
        <v>195</v>
      </c>
      <c r="AD87" s="16" t="s">
        <v>179</v>
      </c>
      <c r="AE87" s="16" t="s">
        <v>150</v>
      </c>
      <c r="AF87" s="5" t="s">
        <v>181</v>
      </c>
      <c r="AG87" s="5" t="s">
        <v>191</v>
      </c>
      <c r="AH87" s="5" t="s">
        <v>179</v>
      </c>
      <c r="AI87" s="5" t="s">
        <v>202</v>
      </c>
      <c r="AJ87" s="5" t="s">
        <v>197</v>
      </c>
      <c r="AK87" s="7"/>
      <c r="AL87" s="7"/>
    </row>
    <row r="88" spans="1:38" x14ac:dyDescent="0.35">
      <c r="A88" s="2">
        <v>1</v>
      </c>
      <c r="B88" s="15">
        <v>0.4375</v>
      </c>
      <c r="C88" s="21" t="s">
        <v>130</v>
      </c>
      <c r="Y88" s="16" t="s">
        <v>180</v>
      </c>
      <c r="Z88" s="16" t="s">
        <v>202</v>
      </c>
      <c r="AA88" s="16" t="s">
        <v>187</v>
      </c>
      <c r="AB88" s="16" t="s">
        <v>179</v>
      </c>
      <c r="AC88" s="16" t="s">
        <v>180</v>
      </c>
      <c r="AD88" s="16" t="s">
        <v>179</v>
      </c>
      <c r="AE88" s="16" t="s">
        <v>179</v>
      </c>
      <c r="AF88" s="5" t="s">
        <v>221</v>
      </c>
      <c r="AG88" s="5" t="s">
        <v>191</v>
      </c>
      <c r="AH88" s="5" t="s">
        <v>179</v>
      </c>
      <c r="AI88" s="5" t="s">
        <v>202</v>
      </c>
      <c r="AJ88" s="5" t="s">
        <v>213</v>
      </c>
      <c r="AK88" s="7"/>
      <c r="AL88" s="7"/>
    </row>
    <row r="89" spans="1:38" x14ac:dyDescent="0.35">
      <c r="A89" s="2">
        <v>1</v>
      </c>
      <c r="B89" s="15">
        <v>0.42986111111111114</v>
      </c>
      <c r="C89" s="21" t="s">
        <v>130</v>
      </c>
      <c r="Y89" s="16" t="s">
        <v>177</v>
      </c>
      <c r="Z89" s="16" t="s">
        <v>212</v>
      </c>
      <c r="AA89" s="16" t="s">
        <v>218</v>
      </c>
      <c r="AC89" s="16" t="s">
        <v>185</v>
      </c>
      <c r="AD89" s="16" t="s">
        <v>179</v>
      </c>
      <c r="AE89" s="16" t="s">
        <v>179</v>
      </c>
      <c r="AF89" s="5" t="s">
        <v>187</v>
      </c>
      <c r="AG89" s="5" t="s">
        <v>191</v>
      </c>
      <c r="AH89" s="5" t="s">
        <v>179</v>
      </c>
      <c r="AI89" s="5" t="s">
        <v>212</v>
      </c>
      <c r="AJ89" s="5" t="s">
        <v>213</v>
      </c>
      <c r="AK89" s="7"/>
      <c r="AL89" s="7"/>
    </row>
    <row r="90" spans="1:38" x14ac:dyDescent="0.35">
      <c r="A90" s="2">
        <v>1</v>
      </c>
      <c r="B90" s="15">
        <v>0.4236111111111111</v>
      </c>
      <c r="C90" s="21" t="s">
        <v>130</v>
      </c>
      <c r="AF90" s="5" t="s">
        <v>201</v>
      </c>
      <c r="AG90" s="5" t="s">
        <v>191</v>
      </c>
      <c r="AH90" s="5" t="s">
        <v>179</v>
      </c>
      <c r="AI90" s="5" t="s">
        <v>183</v>
      </c>
      <c r="AJ90" s="5" t="s">
        <v>213</v>
      </c>
      <c r="AK90" s="7"/>
      <c r="AL90" s="7"/>
    </row>
    <row r="91" spans="1:38" x14ac:dyDescent="0.35">
      <c r="A91" s="2">
        <v>1</v>
      </c>
      <c r="B91" s="15">
        <v>0.40972222222222221</v>
      </c>
      <c r="C91" s="21" t="s">
        <v>130</v>
      </c>
      <c r="Y91" s="16" t="s">
        <v>177</v>
      </c>
      <c r="Z91" s="16" t="s">
        <v>217</v>
      </c>
      <c r="AA91" s="16" t="s">
        <v>179</v>
      </c>
      <c r="AC91" s="16" t="s">
        <v>180</v>
      </c>
      <c r="AD91" s="16" t="s">
        <v>179</v>
      </c>
      <c r="AE91" s="16" t="s">
        <v>179</v>
      </c>
      <c r="AF91" s="5" t="s">
        <v>210</v>
      </c>
      <c r="AG91" s="5" t="s">
        <v>191</v>
      </c>
      <c r="AH91" s="5" t="s">
        <v>183</v>
      </c>
      <c r="AI91" s="5" t="s">
        <v>203</v>
      </c>
      <c r="AJ91" s="5" t="s">
        <v>182</v>
      </c>
      <c r="AK91" s="7"/>
      <c r="AL91" s="7"/>
    </row>
    <row r="92" spans="1:38" x14ac:dyDescent="0.35">
      <c r="A92" s="2">
        <v>1</v>
      </c>
      <c r="B92" s="15">
        <v>0.39930555555555558</v>
      </c>
      <c r="C92" s="21" t="s">
        <v>130</v>
      </c>
      <c r="Y92" s="16" t="s">
        <v>198</v>
      </c>
      <c r="Z92" s="16" t="s">
        <v>201</v>
      </c>
      <c r="AA92" s="16" t="s">
        <v>203</v>
      </c>
      <c r="AB92" s="16" t="s">
        <v>179</v>
      </c>
      <c r="AC92" s="16" t="s">
        <v>180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0.375</v>
      </c>
      <c r="C93" s="21" t="s">
        <v>156</v>
      </c>
      <c r="Y93" s="16" t="s">
        <v>177</v>
      </c>
      <c r="Z93" s="16" t="s">
        <v>214</v>
      </c>
      <c r="AA93" s="16" t="s">
        <v>212</v>
      </c>
      <c r="AB93" s="16" t="s">
        <v>179</v>
      </c>
      <c r="AC93" s="16" t="s">
        <v>185</v>
      </c>
      <c r="AD93" s="16" t="s">
        <v>179</v>
      </c>
      <c r="AE93" s="16" t="s">
        <v>179</v>
      </c>
      <c r="AK93" s="7"/>
      <c r="AL93" s="7"/>
    </row>
    <row r="94" spans="1:38" x14ac:dyDescent="0.35">
      <c r="A94" s="2">
        <v>1</v>
      </c>
      <c r="B94" s="15">
        <v>0.3611111111111111</v>
      </c>
      <c r="C94" s="21" t="s">
        <v>156</v>
      </c>
      <c r="Y94" s="16" t="s">
        <v>198</v>
      </c>
      <c r="Z94" s="16" t="s">
        <v>214</v>
      </c>
      <c r="AA94" s="16" t="s">
        <v>190</v>
      </c>
      <c r="AB94" s="16" t="s">
        <v>179</v>
      </c>
      <c r="AC94" s="16" t="s">
        <v>180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0.35416666666666669</v>
      </c>
      <c r="C95" s="21" t="s">
        <v>156</v>
      </c>
      <c r="Y95" s="16" t="s">
        <v>180</v>
      </c>
      <c r="Z95" s="16" t="s">
        <v>217</v>
      </c>
      <c r="AA95" s="16" t="s">
        <v>179</v>
      </c>
      <c r="AB95" s="16" t="s">
        <v>150</v>
      </c>
      <c r="AC95" s="16" t="s">
        <v>195</v>
      </c>
      <c r="AD95" s="16" t="s">
        <v>179</v>
      </c>
      <c r="AE95" s="16" t="s">
        <v>133</v>
      </c>
      <c r="AK95" s="7"/>
      <c r="AL95" s="7"/>
    </row>
    <row r="96" spans="1:38" x14ac:dyDescent="0.35">
      <c r="A96" s="2">
        <v>1</v>
      </c>
      <c r="B96" s="15">
        <v>0.32430555555555557</v>
      </c>
      <c r="C96" s="21" t="s">
        <v>156</v>
      </c>
      <c r="Y96" s="16" t="s">
        <v>198</v>
      </c>
      <c r="Z96" s="16" t="s">
        <v>222</v>
      </c>
      <c r="AA96" s="16" t="s">
        <v>178</v>
      </c>
      <c r="AB96" s="16" t="s">
        <v>179</v>
      </c>
      <c r="AC96" s="16" t="s">
        <v>180</v>
      </c>
      <c r="AD96" s="16" t="s">
        <v>179</v>
      </c>
      <c r="AE96" s="16" t="s">
        <v>179</v>
      </c>
      <c r="AK96" s="7"/>
      <c r="AL96" s="7"/>
    </row>
    <row r="97" spans="1:38" x14ac:dyDescent="0.35">
      <c r="A97" s="2">
        <v>1</v>
      </c>
      <c r="B97" s="15">
        <v>0.31805555555555554</v>
      </c>
      <c r="C97" s="21" t="s">
        <v>176</v>
      </c>
      <c r="Y97" s="16" t="s">
        <v>180</v>
      </c>
      <c r="Z97" s="16" t="s">
        <v>212</v>
      </c>
      <c r="AA97" s="16" t="s">
        <v>179</v>
      </c>
      <c r="AB97" s="16" t="s">
        <v>179</v>
      </c>
      <c r="AC97" s="16" t="s">
        <v>185</v>
      </c>
      <c r="AD97" s="16" t="s">
        <v>179</v>
      </c>
      <c r="AE97" s="16" t="s">
        <v>179</v>
      </c>
      <c r="AK97" s="7"/>
      <c r="AL97" s="7"/>
    </row>
    <row r="98" spans="1:38" x14ac:dyDescent="0.35">
      <c r="A98" s="2">
        <v>1</v>
      </c>
      <c r="B98" s="15">
        <v>0.31041666666666667</v>
      </c>
      <c r="C98" s="21" t="s">
        <v>156</v>
      </c>
      <c r="Y98" s="16" t="s">
        <v>180</v>
      </c>
      <c r="Z98" s="16" t="s">
        <v>216</v>
      </c>
      <c r="AA98" s="16" t="s">
        <v>179</v>
      </c>
      <c r="AB98" s="16" t="s">
        <v>179</v>
      </c>
      <c r="AC98" s="16" t="s">
        <v>185</v>
      </c>
      <c r="AD98" s="16" t="s">
        <v>179</v>
      </c>
      <c r="AE98" s="16" t="s">
        <v>179</v>
      </c>
      <c r="AK98" s="7"/>
      <c r="AL98" s="7"/>
    </row>
    <row r="99" spans="1:38" x14ac:dyDescent="0.35">
      <c r="A99" s="2">
        <v>1</v>
      </c>
      <c r="B99" s="15">
        <v>0.2951388888888889</v>
      </c>
      <c r="C99" s="21" t="s">
        <v>130</v>
      </c>
      <c r="Y99" s="16" t="s">
        <v>180</v>
      </c>
      <c r="Z99" s="16" t="s">
        <v>223</v>
      </c>
      <c r="AA99" s="16" t="s">
        <v>201</v>
      </c>
      <c r="AB99" s="16" t="s">
        <v>179</v>
      </c>
      <c r="AC99" s="16" t="s">
        <v>185</v>
      </c>
      <c r="AD99" s="16" t="s">
        <v>179</v>
      </c>
      <c r="AE99" s="16" t="s">
        <v>150</v>
      </c>
      <c r="AF99" s="5" t="s">
        <v>199</v>
      </c>
      <c r="AG99" s="5" t="s">
        <v>186</v>
      </c>
      <c r="AK99" s="7"/>
      <c r="AL99" s="7"/>
    </row>
    <row r="100" spans="1:38" x14ac:dyDescent="0.35">
      <c r="A100" s="2">
        <v>1</v>
      </c>
      <c r="B100" s="15">
        <v>0.2951388888888889</v>
      </c>
      <c r="C100" s="21" t="s">
        <v>130</v>
      </c>
      <c r="AF100" s="5" t="s">
        <v>201</v>
      </c>
      <c r="AG100" s="5" t="s">
        <v>224</v>
      </c>
      <c r="AH100" s="5" t="s">
        <v>207</v>
      </c>
      <c r="AK100" s="7"/>
      <c r="AL100" s="7"/>
    </row>
    <row r="101" spans="1:38" x14ac:dyDescent="0.35">
      <c r="A101" s="2">
        <v>1</v>
      </c>
      <c r="B101" s="15">
        <v>0.28680555555555554</v>
      </c>
      <c r="C101" s="21" t="s">
        <v>130</v>
      </c>
      <c r="Y101" s="16" t="s">
        <v>180</v>
      </c>
      <c r="Z101" s="16" t="s">
        <v>225</v>
      </c>
      <c r="AA101" s="16" t="s">
        <v>203</v>
      </c>
      <c r="AB101" s="16" t="s">
        <v>179</v>
      </c>
      <c r="AC101" s="16" t="s">
        <v>195</v>
      </c>
      <c r="AD101" s="16" t="s">
        <v>179</v>
      </c>
      <c r="AE101" s="16" t="s">
        <v>150</v>
      </c>
      <c r="AF101" s="5" t="s">
        <v>221</v>
      </c>
      <c r="AG101" s="5" t="s">
        <v>186</v>
      </c>
      <c r="AK101" s="7"/>
      <c r="AL101" s="7"/>
    </row>
    <row r="102" spans="1:38" x14ac:dyDescent="0.35">
      <c r="A102" s="2">
        <v>1</v>
      </c>
      <c r="B102" s="15">
        <v>0.27708333333333335</v>
      </c>
      <c r="C102" s="21" t="s">
        <v>130</v>
      </c>
      <c r="AF102" s="5" t="s">
        <v>207</v>
      </c>
      <c r="AG102" s="5" t="s">
        <v>224</v>
      </c>
      <c r="AH102" s="5" t="s">
        <v>218</v>
      </c>
      <c r="AK102" s="7"/>
      <c r="AL102" s="7"/>
    </row>
    <row r="103" spans="1:38" x14ac:dyDescent="0.35">
      <c r="A103" s="2">
        <v>1</v>
      </c>
      <c r="B103" s="15">
        <v>0.26874999999999999</v>
      </c>
      <c r="C103" s="21" t="s">
        <v>130</v>
      </c>
      <c r="Y103" s="16" t="s">
        <v>180</v>
      </c>
      <c r="Z103" s="16" t="s">
        <v>219</v>
      </c>
      <c r="AA103" s="16" t="s">
        <v>181</v>
      </c>
      <c r="AB103" s="16" t="s">
        <v>179</v>
      </c>
      <c r="AC103" s="16" t="s">
        <v>185</v>
      </c>
      <c r="AD103" s="16" t="s">
        <v>179</v>
      </c>
      <c r="AE103" s="16" t="s">
        <v>179</v>
      </c>
      <c r="AF103" s="5" t="s">
        <v>226</v>
      </c>
      <c r="AG103" s="5" t="s">
        <v>191</v>
      </c>
      <c r="AH103" s="5" t="s">
        <v>179</v>
      </c>
      <c r="AI103" s="5" t="s">
        <v>178</v>
      </c>
      <c r="AJ103" s="5" t="s">
        <v>186</v>
      </c>
      <c r="AK103" s="7"/>
      <c r="AL103" s="7"/>
    </row>
    <row r="104" spans="1:38" x14ac:dyDescent="0.35">
      <c r="A104" s="2">
        <v>1</v>
      </c>
      <c r="B104" s="15">
        <v>0.26041666666666669</v>
      </c>
      <c r="C104" s="21" t="s">
        <v>130</v>
      </c>
      <c r="Y104" s="16" t="s">
        <v>177</v>
      </c>
      <c r="Z104" s="16" t="s">
        <v>184</v>
      </c>
      <c r="AA104" s="16" t="s">
        <v>179</v>
      </c>
      <c r="AC104" s="16" t="s">
        <v>195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0.24930555555555556</v>
      </c>
      <c r="C105" s="21" t="s">
        <v>130</v>
      </c>
      <c r="Y105" s="16" t="s">
        <v>177</v>
      </c>
      <c r="Z105" s="16" t="s">
        <v>214</v>
      </c>
      <c r="AA105" s="16" t="s">
        <v>179</v>
      </c>
      <c r="AC105" s="16" t="s">
        <v>185</v>
      </c>
      <c r="AD105" s="16" t="s">
        <v>179</v>
      </c>
      <c r="AE105" s="16" t="s">
        <v>179</v>
      </c>
      <c r="AF105" s="5" t="s">
        <v>187</v>
      </c>
      <c r="AG105" s="5" t="s">
        <v>191</v>
      </c>
      <c r="AH105" s="5" t="s">
        <v>179</v>
      </c>
      <c r="AI105" s="5" t="s">
        <v>184</v>
      </c>
      <c r="AJ105" s="5" t="s">
        <v>182</v>
      </c>
      <c r="AK105" s="7"/>
      <c r="AL105" s="7"/>
    </row>
    <row r="106" spans="1:38" x14ac:dyDescent="0.35">
      <c r="A106" s="2">
        <v>1</v>
      </c>
      <c r="B106" s="15">
        <v>0.2361111111111111</v>
      </c>
      <c r="C106" s="21" t="s">
        <v>130</v>
      </c>
      <c r="Y106" s="16" t="s">
        <v>180</v>
      </c>
      <c r="Z106" s="16" t="s">
        <v>202</v>
      </c>
      <c r="AA106" s="16" t="s">
        <v>210</v>
      </c>
      <c r="AB106" s="16" t="s">
        <v>179</v>
      </c>
      <c r="AC106" s="16" t="s">
        <v>195</v>
      </c>
      <c r="AD106" s="16" t="s">
        <v>179</v>
      </c>
      <c r="AE106" s="16" t="s">
        <v>179</v>
      </c>
      <c r="AF106" s="5" t="s">
        <v>227</v>
      </c>
      <c r="AG106" s="5" t="s">
        <v>191</v>
      </c>
      <c r="AH106" s="5" t="s">
        <v>179</v>
      </c>
      <c r="AI106" s="5" t="s">
        <v>228</v>
      </c>
      <c r="AJ106" s="5" t="s">
        <v>213</v>
      </c>
      <c r="AK106" s="7"/>
      <c r="AL106" s="7"/>
    </row>
    <row r="107" spans="1:38" x14ac:dyDescent="0.35">
      <c r="A107" s="2">
        <v>1</v>
      </c>
      <c r="B107" s="15">
        <v>0.22222222222222221</v>
      </c>
      <c r="C107" s="21" t="s">
        <v>130</v>
      </c>
      <c r="Y107" s="16" t="s">
        <v>180</v>
      </c>
      <c r="Z107" s="16" t="s">
        <v>228</v>
      </c>
      <c r="AA107" s="16" t="s">
        <v>196</v>
      </c>
      <c r="AB107" s="16" t="s">
        <v>150</v>
      </c>
      <c r="AC107" s="16" t="s">
        <v>195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0.15972222222222221</v>
      </c>
      <c r="C108" s="21" t="s">
        <v>156</v>
      </c>
      <c r="Y108" s="16" t="s">
        <v>180</v>
      </c>
      <c r="Z108" s="16" t="s">
        <v>200</v>
      </c>
      <c r="AA108" s="16" t="s">
        <v>179</v>
      </c>
      <c r="AB108" s="16" t="s">
        <v>179</v>
      </c>
      <c r="AC108" s="16" t="s">
        <v>185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1</v>
      </c>
      <c r="B109" s="15">
        <v>0.14583333333333334</v>
      </c>
      <c r="C109" s="21" t="s">
        <v>156</v>
      </c>
      <c r="Y109" s="16" t="s">
        <v>198</v>
      </c>
      <c r="Z109" s="16" t="s">
        <v>200</v>
      </c>
      <c r="AA109" s="16" t="s">
        <v>220</v>
      </c>
      <c r="AB109" s="16" t="s">
        <v>179</v>
      </c>
      <c r="AC109" s="16" t="s">
        <v>195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1</v>
      </c>
      <c r="B110" s="15">
        <v>0.13680555555555557</v>
      </c>
      <c r="C110" s="21" t="s">
        <v>130</v>
      </c>
      <c r="Y110" s="16" t="s">
        <v>177</v>
      </c>
      <c r="Z110" s="16" t="s">
        <v>184</v>
      </c>
      <c r="AA110" s="16" t="s">
        <v>179</v>
      </c>
      <c r="AC110" s="16" t="s">
        <v>195</v>
      </c>
      <c r="AD110" s="16" t="s">
        <v>179</v>
      </c>
      <c r="AE110" s="16" t="s">
        <v>179</v>
      </c>
      <c r="AF110" s="5" t="s">
        <v>208</v>
      </c>
      <c r="AG110" s="5" t="s">
        <v>211</v>
      </c>
      <c r="AK110" s="7"/>
      <c r="AL110" s="7"/>
    </row>
    <row r="111" spans="1:38" x14ac:dyDescent="0.35">
      <c r="A111" s="2">
        <v>1</v>
      </c>
      <c r="B111" s="15">
        <v>0.12986111111111112</v>
      </c>
      <c r="C111" s="21" t="s">
        <v>130</v>
      </c>
      <c r="Y111" s="16" t="s">
        <v>177</v>
      </c>
      <c r="Z111" s="16" t="s">
        <v>222</v>
      </c>
      <c r="AA111" s="16" t="s">
        <v>184</v>
      </c>
      <c r="AC111" s="16" t="s">
        <v>185</v>
      </c>
      <c r="AD111" s="16" t="s">
        <v>216</v>
      </c>
      <c r="AE111" s="16" t="s">
        <v>179</v>
      </c>
      <c r="AF111" s="5" t="s">
        <v>194</v>
      </c>
      <c r="AG111" s="5" t="s">
        <v>191</v>
      </c>
      <c r="AH111" s="5" t="s">
        <v>199</v>
      </c>
      <c r="AI111" s="5" t="s">
        <v>222</v>
      </c>
      <c r="AJ111" s="5" t="s">
        <v>213</v>
      </c>
      <c r="AK111" s="7"/>
      <c r="AL111" s="7"/>
    </row>
    <row r="112" spans="1:38" x14ac:dyDescent="0.35">
      <c r="A112" s="2">
        <v>1</v>
      </c>
      <c r="B112" s="15">
        <v>0.11319444444444444</v>
      </c>
      <c r="C112" s="21" t="s">
        <v>130</v>
      </c>
      <c r="Y112" s="16" t="s">
        <v>177</v>
      </c>
      <c r="Z112" s="16" t="s">
        <v>190</v>
      </c>
      <c r="AA112" s="16" t="s">
        <v>179</v>
      </c>
      <c r="AC112" s="16" t="s">
        <v>185</v>
      </c>
      <c r="AD112" s="16" t="s">
        <v>179</v>
      </c>
      <c r="AE112" s="16" t="s">
        <v>179</v>
      </c>
      <c r="AF112" s="5" t="s">
        <v>190</v>
      </c>
      <c r="AG112" s="5" t="s">
        <v>213</v>
      </c>
      <c r="AK112" s="7"/>
      <c r="AL112" s="7"/>
    </row>
    <row r="113" spans="1:38" x14ac:dyDescent="0.35">
      <c r="A113" s="2">
        <v>1</v>
      </c>
      <c r="B113" s="15">
        <v>9.7222222222222224E-2</v>
      </c>
      <c r="C113" s="21" t="s">
        <v>130</v>
      </c>
      <c r="Y113" s="16" t="s">
        <v>180</v>
      </c>
      <c r="Z113" s="16" t="s">
        <v>183</v>
      </c>
      <c r="AA113" s="16" t="s">
        <v>192</v>
      </c>
      <c r="AB113" s="16" t="s">
        <v>179</v>
      </c>
      <c r="AC113" s="16" t="s">
        <v>185</v>
      </c>
      <c r="AD113" s="16" t="s">
        <v>179</v>
      </c>
      <c r="AE113" s="16" t="s">
        <v>179</v>
      </c>
      <c r="AK113" s="7"/>
      <c r="AL113" s="7"/>
    </row>
    <row r="114" spans="1:38" x14ac:dyDescent="0.35">
      <c r="A114" s="2">
        <v>1</v>
      </c>
      <c r="B114" s="15">
        <v>7.0833333333333331E-2</v>
      </c>
      <c r="C114" s="21" t="s">
        <v>156</v>
      </c>
      <c r="Y114" s="16" t="s">
        <v>180</v>
      </c>
      <c r="Z114" s="16" t="s">
        <v>206</v>
      </c>
      <c r="AA114" s="16" t="s">
        <v>179</v>
      </c>
      <c r="AB114" s="16" t="s">
        <v>150</v>
      </c>
      <c r="AC114" s="16" t="s">
        <v>185</v>
      </c>
      <c r="AD114" s="16" t="s">
        <v>179</v>
      </c>
      <c r="AE114" s="16" t="s">
        <v>179</v>
      </c>
      <c r="AK114" s="7"/>
      <c r="AL114" s="7"/>
    </row>
    <row r="115" spans="1:38" x14ac:dyDescent="0.35">
      <c r="A115" s="2">
        <v>1</v>
      </c>
      <c r="B115" s="15">
        <v>3.2638888888888891E-2</v>
      </c>
      <c r="C115" s="21" t="s">
        <v>156</v>
      </c>
      <c r="Y115" s="16" t="s">
        <v>180</v>
      </c>
      <c r="Z115" s="16" t="s">
        <v>200</v>
      </c>
      <c r="AA115" s="16" t="s">
        <v>201</v>
      </c>
      <c r="AB115" s="16" t="s">
        <v>150</v>
      </c>
      <c r="AC115" s="16" t="s">
        <v>195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2</v>
      </c>
      <c r="B116" s="15">
        <v>0.81944444444444442</v>
      </c>
      <c r="C116" s="21" t="s">
        <v>156</v>
      </c>
      <c r="Y116" s="16" t="s">
        <v>198</v>
      </c>
      <c r="Z116" s="16" t="s">
        <v>200</v>
      </c>
      <c r="AA116" s="16" t="s">
        <v>218</v>
      </c>
      <c r="AB116" s="16" t="s">
        <v>179</v>
      </c>
      <c r="AC116" s="16" t="s">
        <v>185</v>
      </c>
      <c r="AD116" s="16" t="s">
        <v>179</v>
      </c>
      <c r="AE116" s="16" t="s">
        <v>179</v>
      </c>
      <c r="AK116" s="7"/>
      <c r="AL116" s="7"/>
    </row>
    <row r="117" spans="1:38" x14ac:dyDescent="0.35">
      <c r="A117" s="2">
        <v>2</v>
      </c>
      <c r="B117" s="15">
        <v>0.81597222222222221</v>
      </c>
      <c r="C117" s="21" t="s">
        <v>156</v>
      </c>
      <c r="Y117" s="16" t="s">
        <v>180</v>
      </c>
      <c r="Z117" s="16" t="s">
        <v>206</v>
      </c>
      <c r="AA117" s="16" t="s">
        <v>215</v>
      </c>
      <c r="AB117" s="16" t="s">
        <v>179</v>
      </c>
      <c r="AC117" s="16" t="s">
        <v>195</v>
      </c>
      <c r="AD117" s="16" t="s">
        <v>179</v>
      </c>
      <c r="AE117" s="16" t="s">
        <v>179</v>
      </c>
      <c r="AK117" s="7"/>
      <c r="AL117" s="7"/>
    </row>
    <row r="118" spans="1:38" x14ac:dyDescent="0.35">
      <c r="A118" s="2">
        <v>2</v>
      </c>
      <c r="B118" s="15">
        <v>0.73750000000000004</v>
      </c>
      <c r="C118" s="21" t="s">
        <v>156</v>
      </c>
      <c r="Y118" s="16" t="s">
        <v>180</v>
      </c>
      <c r="Z118" s="16" t="s">
        <v>214</v>
      </c>
      <c r="AA118" s="16" t="s">
        <v>187</v>
      </c>
      <c r="AB118" s="16" t="s">
        <v>150</v>
      </c>
      <c r="AC118" s="16" t="s">
        <v>195</v>
      </c>
      <c r="AD118" s="16" t="s">
        <v>179</v>
      </c>
      <c r="AE118" s="16" t="s">
        <v>179</v>
      </c>
      <c r="AK118" s="7"/>
      <c r="AL118" s="7"/>
    </row>
    <row r="119" spans="1:38" x14ac:dyDescent="0.35">
      <c r="A119" s="2">
        <v>2</v>
      </c>
      <c r="B119" s="15">
        <v>0.69444444444444442</v>
      </c>
      <c r="C119" s="21" t="s">
        <v>130</v>
      </c>
      <c r="Y119" s="16" t="s">
        <v>209</v>
      </c>
      <c r="Z119" s="16" t="s">
        <v>131</v>
      </c>
      <c r="AD119" s="16" t="s">
        <v>228</v>
      </c>
      <c r="AF119" s="5" t="s">
        <v>196</v>
      </c>
      <c r="AG119" s="5" t="s">
        <v>211</v>
      </c>
      <c r="AH119" s="5" t="s">
        <v>228</v>
      </c>
      <c r="AK119" s="7"/>
      <c r="AL119" s="7"/>
    </row>
    <row r="120" spans="1:38" x14ac:dyDescent="0.35">
      <c r="A120" s="2">
        <v>2</v>
      </c>
      <c r="B120" s="15">
        <v>0.6875</v>
      </c>
      <c r="C120" s="21" t="s">
        <v>130</v>
      </c>
      <c r="Y120" s="16" t="s">
        <v>177</v>
      </c>
      <c r="Z120" s="16" t="s">
        <v>216</v>
      </c>
      <c r="AA120" s="16" t="s">
        <v>204</v>
      </c>
      <c r="AC120" s="16" t="s">
        <v>180</v>
      </c>
      <c r="AD120" s="16" t="s">
        <v>216</v>
      </c>
      <c r="AE120" s="16" t="s">
        <v>179</v>
      </c>
      <c r="AF120" s="5" t="s">
        <v>220</v>
      </c>
      <c r="AG120" s="5" t="s">
        <v>213</v>
      </c>
      <c r="AK120" s="7"/>
      <c r="AL120" s="7"/>
    </row>
    <row r="121" spans="1:38" x14ac:dyDescent="0.35">
      <c r="A121" s="2">
        <v>2</v>
      </c>
      <c r="B121" s="15">
        <v>0.67708333333333337</v>
      </c>
      <c r="C121" s="21" t="s">
        <v>130</v>
      </c>
      <c r="Y121" s="16" t="s">
        <v>180</v>
      </c>
      <c r="Z121" s="16" t="s">
        <v>212</v>
      </c>
      <c r="AA121" s="16" t="s">
        <v>194</v>
      </c>
      <c r="AB121" s="16" t="s">
        <v>150</v>
      </c>
      <c r="AC121" s="16" t="s">
        <v>195</v>
      </c>
      <c r="AD121" s="16" t="s">
        <v>179</v>
      </c>
      <c r="AE121" s="16" t="s">
        <v>150</v>
      </c>
      <c r="AF121" s="5" t="s">
        <v>223</v>
      </c>
      <c r="AG121" s="5" t="s">
        <v>191</v>
      </c>
      <c r="AH121" s="5" t="s">
        <v>179</v>
      </c>
      <c r="AI121" s="5" t="s">
        <v>210</v>
      </c>
      <c r="AJ121" s="5" t="s">
        <v>186</v>
      </c>
      <c r="AK121" s="7"/>
      <c r="AL121" s="7"/>
    </row>
    <row r="122" spans="1:38" x14ac:dyDescent="0.35">
      <c r="A122" s="2">
        <v>2</v>
      </c>
      <c r="B122" s="15">
        <v>0.65277777777777779</v>
      </c>
      <c r="C122" s="21" t="s">
        <v>130</v>
      </c>
      <c r="Y122" s="16" t="s">
        <v>180</v>
      </c>
      <c r="Z122" s="16" t="s">
        <v>221</v>
      </c>
      <c r="AA122" s="16" t="s">
        <v>192</v>
      </c>
      <c r="AB122" s="16" t="s">
        <v>179</v>
      </c>
      <c r="AC122" s="16" t="s">
        <v>195</v>
      </c>
      <c r="AD122" s="16" t="s">
        <v>179</v>
      </c>
      <c r="AE122" s="16" t="s">
        <v>179</v>
      </c>
      <c r="AF122" s="5" t="s">
        <v>193</v>
      </c>
      <c r="AG122" s="5" t="s">
        <v>224</v>
      </c>
      <c r="AH122" s="5" t="s">
        <v>225</v>
      </c>
      <c r="AK122" s="7"/>
      <c r="AL122" s="7"/>
    </row>
    <row r="123" spans="1:38" x14ac:dyDescent="0.35">
      <c r="A123" s="2">
        <v>2</v>
      </c>
      <c r="B123" s="15">
        <v>0.64375000000000004</v>
      </c>
      <c r="C123" s="21" t="s">
        <v>130</v>
      </c>
      <c r="Y123" s="16" t="s">
        <v>198</v>
      </c>
      <c r="Z123" s="16" t="s">
        <v>193</v>
      </c>
      <c r="AA123" s="16" t="s">
        <v>181</v>
      </c>
      <c r="AC123" s="16" t="s">
        <v>185</v>
      </c>
      <c r="AD123" s="16" t="s">
        <v>179</v>
      </c>
      <c r="AE123" s="16" t="s">
        <v>179</v>
      </c>
      <c r="AF123" s="5" t="s">
        <v>199</v>
      </c>
      <c r="AG123" s="5" t="s">
        <v>186</v>
      </c>
      <c r="AK123" s="7"/>
      <c r="AL123" s="7"/>
    </row>
    <row r="124" spans="1:38" x14ac:dyDescent="0.35">
      <c r="A124" s="2">
        <v>2</v>
      </c>
      <c r="B124" s="15">
        <v>0.61805555555555558</v>
      </c>
      <c r="C124" s="21" t="s">
        <v>130</v>
      </c>
      <c r="Y124" s="16" t="s">
        <v>180</v>
      </c>
      <c r="Z124" s="16" t="s">
        <v>202</v>
      </c>
      <c r="AA124" s="16" t="s">
        <v>203</v>
      </c>
      <c r="AB124" s="16" t="s">
        <v>179</v>
      </c>
      <c r="AC124" s="16" t="s">
        <v>195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2</v>
      </c>
      <c r="B125" s="15">
        <v>0.61388888888888893</v>
      </c>
      <c r="C125" s="21" t="s">
        <v>130</v>
      </c>
      <c r="Y125" s="16" t="s">
        <v>180</v>
      </c>
      <c r="Z125" s="16" t="s">
        <v>206</v>
      </c>
      <c r="AA125" s="16" t="s">
        <v>218</v>
      </c>
      <c r="AB125" s="16" t="s">
        <v>179</v>
      </c>
      <c r="AC125" s="16" t="s">
        <v>195</v>
      </c>
      <c r="AD125" s="16" t="s">
        <v>179</v>
      </c>
      <c r="AE125" s="16" t="s">
        <v>179</v>
      </c>
      <c r="AF125" s="5" t="s">
        <v>218</v>
      </c>
      <c r="AG125" s="5" t="s">
        <v>191</v>
      </c>
      <c r="AH125" s="5" t="s">
        <v>179</v>
      </c>
      <c r="AI125" s="5" t="s">
        <v>215</v>
      </c>
      <c r="AJ125" s="5" t="s">
        <v>182</v>
      </c>
      <c r="AK125" s="7"/>
      <c r="AL125" s="7"/>
    </row>
    <row r="126" spans="1:38" x14ac:dyDescent="0.35">
      <c r="A126" s="2">
        <v>2</v>
      </c>
      <c r="B126" s="15">
        <v>0.60069444444444442</v>
      </c>
      <c r="C126" s="21" t="s">
        <v>130</v>
      </c>
      <c r="Y126" s="16" t="s">
        <v>180</v>
      </c>
      <c r="Z126" s="16" t="s">
        <v>207</v>
      </c>
      <c r="AA126" s="16" t="s">
        <v>205</v>
      </c>
      <c r="AB126" s="16" t="s">
        <v>179</v>
      </c>
      <c r="AC126" s="16" t="s">
        <v>185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2</v>
      </c>
      <c r="B127" s="15">
        <v>0.58472222222222225</v>
      </c>
      <c r="C127" s="21" t="s">
        <v>130</v>
      </c>
      <c r="Y127" s="16" t="s">
        <v>177</v>
      </c>
      <c r="Z127" s="16" t="s">
        <v>218</v>
      </c>
      <c r="AA127" s="16" t="s">
        <v>179</v>
      </c>
      <c r="AC127" s="16" t="s">
        <v>195</v>
      </c>
      <c r="AD127" s="16" t="s">
        <v>179</v>
      </c>
      <c r="AE127" s="16" t="s">
        <v>179</v>
      </c>
      <c r="AF127" s="5" t="s">
        <v>227</v>
      </c>
      <c r="AG127" s="5" t="s">
        <v>191</v>
      </c>
      <c r="AH127" s="5" t="s">
        <v>179</v>
      </c>
      <c r="AI127" s="5" t="s">
        <v>227</v>
      </c>
      <c r="AJ127" s="5" t="s">
        <v>213</v>
      </c>
      <c r="AK127" s="7"/>
      <c r="AL127" s="7"/>
    </row>
    <row r="128" spans="1:38" x14ac:dyDescent="0.35">
      <c r="A128" s="2">
        <v>2</v>
      </c>
      <c r="B128" s="15">
        <v>0.57222222222222219</v>
      </c>
      <c r="C128" s="21" t="s">
        <v>130</v>
      </c>
      <c r="Y128" s="16" t="s">
        <v>180</v>
      </c>
      <c r="Z128" s="16" t="s">
        <v>192</v>
      </c>
      <c r="AA128" s="16" t="s">
        <v>196</v>
      </c>
      <c r="AB128" s="16" t="s">
        <v>179</v>
      </c>
      <c r="AC128" s="16" t="s">
        <v>185</v>
      </c>
      <c r="AD128" s="16" t="s">
        <v>179</v>
      </c>
      <c r="AE128" s="16" t="s">
        <v>179</v>
      </c>
      <c r="AF128" s="5" t="s">
        <v>189</v>
      </c>
      <c r="AG128" s="5" t="s">
        <v>191</v>
      </c>
      <c r="AH128" s="5" t="s">
        <v>179</v>
      </c>
      <c r="AI128" s="5" t="s">
        <v>216</v>
      </c>
      <c r="AJ128" s="5" t="s">
        <v>213</v>
      </c>
      <c r="AK128" s="7"/>
      <c r="AL128" s="7"/>
    </row>
    <row r="129" spans="1:38" x14ac:dyDescent="0.35">
      <c r="A129" s="2">
        <v>2</v>
      </c>
      <c r="B129" s="15">
        <v>0.56597222222222221</v>
      </c>
      <c r="C129" s="21" t="s">
        <v>130</v>
      </c>
      <c r="Y129" s="16" t="s">
        <v>177</v>
      </c>
      <c r="Z129" s="16" t="s">
        <v>196</v>
      </c>
      <c r="AA129" s="16" t="s">
        <v>192</v>
      </c>
      <c r="AC129" s="16" t="s">
        <v>195</v>
      </c>
      <c r="AD129" s="16" t="s">
        <v>179</v>
      </c>
      <c r="AE129" s="16" t="s">
        <v>179</v>
      </c>
      <c r="AF129" s="5" t="s">
        <v>210</v>
      </c>
      <c r="AG129" s="5" t="s">
        <v>191</v>
      </c>
      <c r="AH129" s="5" t="s">
        <v>179</v>
      </c>
      <c r="AI129" s="5" t="s">
        <v>223</v>
      </c>
      <c r="AJ129" s="5" t="s">
        <v>186</v>
      </c>
      <c r="AK129" s="7"/>
      <c r="AL129" s="7"/>
    </row>
    <row r="130" spans="1:38" x14ac:dyDescent="0.35">
      <c r="A130" s="2">
        <v>2</v>
      </c>
      <c r="B130" s="15">
        <v>0.55763888888888891</v>
      </c>
      <c r="C130" s="21" t="s">
        <v>130</v>
      </c>
      <c r="Y130" s="16" t="s">
        <v>177</v>
      </c>
      <c r="Z130" s="16" t="s">
        <v>227</v>
      </c>
      <c r="AA130" s="16" t="s">
        <v>196</v>
      </c>
      <c r="AC130" s="16" t="s">
        <v>185</v>
      </c>
      <c r="AD130" s="16" t="s">
        <v>179</v>
      </c>
      <c r="AE130" s="16" t="s">
        <v>179</v>
      </c>
      <c r="AF130" s="5" t="s">
        <v>216</v>
      </c>
      <c r="AG130" s="5" t="s">
        <v>191</v>
      </c>
      <c r="AH130" s="5" t="s">
        <v>179</v>
      </c>
      <c r="AI130" s="5" t="s">
        <v>196</v>
      </c>
      <c r="AJ130" s="5" t="s">
        <v>213</v>
      </c>
      <c r="AK130" s="7"/>
      <c r="AL130" s="7"/>
    </row>
    <row r="131" spans="1:38" x14ac:dyDescent="0.35">
      <c r="A131" s="2">
        <v>2</v>
      </c>
      <c r="B131" s="15">
        <v>0.5493055555555556</v>
      </c>
      <c r="C131" s="21" t="s">
        <v>130</v>
      </c>
      <c r="Y131" s="16" t="s">
        <v>180</v>
      </c>
      <c r="Z131" s="16" t="s">
        <v>222</v>
      </c>
      <c r="AA131" s="16" t="s">
        <v>187</v>
      </c>
      <c r="AB131" s="16" t="s">
        <v>179</v>
      </c>
      <c r="AC131" s="16" t="s">
        <v>195</v>
      </c>
      <c r="AD131" s="16" t="s">
        <v>179</v>
      </c>
      <c r="AE131" s="16" t="s">
        <v>179</v>
      </c>
      <c r="AF131" s="5" t="s">
        <v>219</v>
      </c>
      <c r="AG131" s="5" t="s">
        <v>186</v>
      </c>
      <c r="AK131" s="7"/>
      <c r="AL131" s="7"/>
    </row>
    <row r="132" spans="1:38" x14ac:dyDescent="0.35">
      <c r="A132" s="2">
        <v>2</v>
      </c>
      <c r="B132" s="15">
        <v>0.54236111111111107</v>
      </c>
      <c r="C132" s="21" t="s">
        <v>130</v>
      </c>
      <c r="Y132" s="16" t="s">
        <v>180</v>
      </c>
      <c r="Z132" s="16" t="s">
        <v>178</v>
      </c>
      <c r="AA132" s="16" t="s">
        <v>188</v>
      </c>
      <c r="AB132" s="16" t="s">
        <v>179</v>
      </c>
      <c r="AC132" s="16" t="s">
        <v>185</v>
      </c>
      <c r="AD132" s="16" t="s">
        <v>179</v>
      </c>
      <c r="AE132" s="16" t="s">
        <v>179</v>
      </c>
      <c r="AF132" s="5" t="s">
        <v>183</v>
      </c>
      <c r="AG132" s="5" t="s">
        <v>213</v>
      </c>
      <c r="AK132" s="7"/>
      <c r="AL132" s="7"/>
    </row>
    <row r="133" spans="1:38" x14ac:dyDescent="0.35">
      <c r="A133" s="2">
        <v>2</v>
      </c>
      <c r="B133" s="15">
        <v>0.52847222222222223</v>
      </c>
      <c r="C133" s="21" t="s">
        <v>130</v>
      </c>
      <c r="Y133" s="16" t="s">
        <v>180</v>
      </c>
      <c r="Z133" s="16" t="s">
        <v>217</v>
      </c>
      <c r="AA133" s="16" t="s">
        <v>184</v>
      </c>
      <c r="AB133" s="16" t="s">
        <v>179</v>
      </c>
      <c r="AC133" s="16" t="s">
        <v>195</v>
      </c>
      <c r="AD133" s="16" t="s">
        <v>179</v>
      </c>
      <c r="AE133" s="16" t="s">
        <v>179</v>
      </c>
      <c r="AF133" s="5" t="s">
        <v>219</v>
      </c>
      <c r="AG133" s="5" t="s">
        <v>224</v>
      </c>
      <c r="AH133" s="5" t="s">
        <v>183</v>
      </c>
      <c r="AK133" s="7"/>
      <c r="AL133" s="7"/>
    </row>
    <row r="134" spans="1:38" x14ac:dyDescent="0.35">
      <c r="A134" s="2">
        <v>2</v>
      </c>
      <c r="B134" s="15">
        <v>0.51875000000000004</v>
      </c>
      <c r="C134" s="21" t="s">
        <v>130</v>
      </c>
      <c r="AF134" s="5" t="s">
        <v>219</v>
      </c>
      <c r="AG134" s="5" t="s">
        <v>186</v>
      </c>
      <c r="AK134" s="7"/>
      <c r="AL134" s="7"/>
    </row>
    <row r="135" spans="1:38" x14ac:dyDescent="0.35">
      <c r="A135" s="2">
        <v>2</v>
      </c>
      <c r="B135" s="15">
        <v>0.51180555555555551</v>
      </c>
      <c r="C135" s="21" t="s">
        <v>130</v>
      </c>
      <c r="Y135" s="16" t="s">
        <v>180</v>
      </c>
      <c r="Z135" s="16" t="s">
        <v>212</v>
      </c>
      <c r="AA135" s="16" t="s">
        <v>188</v>
      </c>
      <c r="AB135" s="16" t="s">
        <v>179</v>
      </c>
      <c r="AC135" s="16" t="s">
        <v>180</v>
      </c>
      <c r="AD135" s="16" t="s">
        <v>179</v>
      </c>
      <c r="AE135" s="16" t="s">
        <v>179</v>
      </c>
      <c r="AF135" s="5" t="s">
        <v>188</v>
      </c>
      <c r="AG135" s="5" t="s">
        <v>224</v>
      </c>
      <c r="AH135" s="5" t="s">
        <v>212</v>
      </c>
      <c r="AK135" s="7"/>
      <c r="AL135" s="7"/>
    </row>
    <row r="136" spans="1:38" x14ac:dyDescent="0.35">
      <c r="A136" s="2">
        <v>2</v>
      </c>
      <c r="B136" s="15">
        <v>0.49652777777777779</v>
      </c>
      <c r="C136" s="21" t="s">
        <v>130</v>
      </c>
      <c r="Y136" s="16" t="s">
        <v>180</v>
      </c>
      <c r="Z136" s="16" t="s">
        <v>199</v>
      </c>
      <c r="AA136" s="16" t="s">
        <v>179</v>
      </c>
      <c r="AB136" s="16" t="s">
        <v>179</v>
      </c>
      <c r="AC136" s="16" t="s">
        <v>185</v>
      </c>
      <c r="AD136" s="16" t="s">
        <v>179</v>
      </c>
      <c r="AE136" s="16" t="s">
        <v>179</v>
      </c>
      <c r="AK136" s="7"/>
      <c r="AL136" s="7"/>
    </row>
    <row r="137" spans="1:38" x14ac:dyDescent="0.35">
      <c r="A137" s="2">
        <v>2</v>
      </c>
      <c r="B137" s="15">
        <v>0.40069444444444446</v>
      </c>
      <c r="C137" s="21" t="s">
        <v>130</v>
      </c>
      <c r="AF137" s="5" t="s">
        <v>192</v>
      </c>
      <c r="AG137" s="5" t="s">
        <v>224</v>
      </c>
      <c r="AK137" s="7"/>
      <c r="AL137" s="7"/>
    </row>
    <row r="138" spans="1:38" x14ac:dyDescent="0.35">
      <c r="A138" s="2">
        <v>2</v>
      </c>
      <c r="B138" s="15">
        <v>0.3659722222222222</v>
      </c>
      <c r="C138" s="21" t="s">
        <v>156</v>
      </c>
      <c r="Y138" s="16" t="s">
        <v>198</v>
      </c>
      <c r="Z138" s="16" t="s">
        <v>200</v>
      </c>
      <c r="AA138" s="16" t="s">
        <v>215</v>
      </c>
      <c r="AB138" s="16" t="s">
        <v>179</v>
      </c>
      <c r="AC138" s="16" t="s">
        <v>195</v>
      </c>
      <c r="AD138" s="16" t="s">
        <v>179</v>
      </c>
      <c r="AE138" s="16" t="s">
        <v>179</v>
      </c>
      <c r="AK138" s="7"/>
      <c r="AL138" s="7"/>
    </row>
    <row r="139" spans="1:38" x14ac:dyDescent="0.35">
      <c r="A139" s="2">
        <v>2</v>
      </c>
      <c r="B139" s="15">
        <v>0.35208333333333336</v>
      </c>
      <c r="C139" s="21" t="s">
        <v>156</v>
      </c>
      <c r="Y139" s="16" t="s">
        <v>180</v>
      </c>
      <c r="Z139" s="16" t="s">
        <v>200</v>
      </c>
      <c r="AA139" s="16" t="s">
        <v>201</v>
      </c>
      <c r="AB139" s="16" t="s">
        <v>150</v>
      </c>
      <c r="AC139" s="16" t="s">
        <v>195</v>
      </c>
      <c r="AD139" s="16" t="s">
        <v>179</v>
      </c>
      <c r="AE139" s="16" t="s">
        <v>133</v>
      </c>
      <c r="AK139" s="7"/>
      <c r="AL139" s="7"/>
    </row>
    <row r="140" spans="1:38" x14ac:dyDescent="0.35">
      <c r="A140" s="2">
        <v>2</v>
      </c>
      <c r="B140" s="15">
        <v>0.31805555555555554</v>
      </c>
      <c r="C140" s="21" t="s">
        <v>130</v>
      </c>
      <c r="Y140" s="16" t="s">
        <v>180</v>
      </c>
      <c r="Z140" s="16" t="s">
        <v>212</v>
      </c>
      <c r="AA140" s="16" t="s">
        <v>188</v>
      </c>
      <c r="AB140" s="16" t="s">
        <v>179</v>
      </c>
      <c r="AC140" s="16" t="s">
        <v>185</v>
      </c>
      <c r="AD140" s="16" t="s">
        <v>179</v>
      </c>
      <c r="AE140" s="16" t="s">
        <v>133</v>
      </c>
      <c r="AF140" s="5" t="s">
        <v>181</v>
      </c>
      <c r="AG140" s="5" t="s">
        <v>191</v>
      </c>
      <c r="AH140" s="5" t="s">
        <v>179</v>
      </c>
      <c r="AI140" s="5" t="s">
        <v>217</v>
      </c>
      <c r="AJ140" s="5" t="s">
        <v>211</v>
      </c>
      <c r="AK140" s="7"/>
      <c r="AL140" s="7"/>
    </row>
    <row r="141" spans="1:38" x14ac:dyDescent="0.35">
      <c r="A141" s="2">
        <v>2</v>
      </c>
      <c r="B141" s="15">
        <v>0.30069444444444443</v>
      </c>
      <c r="C141" s="21" t="s">
        <v>130</v>
      </c>
      <c r="Y141" s="16" t="s">
        <v>177</v>
      </c>
      <c r="Z141" s="16" t="s">
        <v>202</v>
      </c>
      <c r="AA141" s="16" t="s">
        <v>203</v>
      </c>
      <c r="AC141" s="16" t="s">
        <v>195</v>
      </c>
      <c r="AD141" s="16" t="s">
        <v>179</v>
      </c>
      <c r="AE141" s="16" t="s">
        <v>179</v>
      </c>
      <c r="AF141" s="5" t="s">
        <v>204</v>
      </c>
      <c r="AG141" s="5" t="s">
        <v>191</v>
      </c>
      <c r="AH141" s="5" t="s">
        <v>202</v>
      </c>
      <c r="AI141" s="5" t="s">
        <v>207</v>
      </c>
      <c r="AJ141" s="5" t="s">
        <v>182</v>
      </c>
      <c r="AK141" s="7"/>
      <c r="AL141" s="7"/>
    </row>
    <row r="142" spans="1:38" x14ac:dyDescent="0.35">
      <c r="A142" s="2">
        <v>2</v>
      </c>
      <c r="B142" s="15">
        <v>0.29236111111111113</v>
      </c>
      <c r="C142" s="21" t="s">
        <v>130</v>
      </c>
      <c r="Y142" s="16" t="s">
        <v>177</v>
      </c>
      <c r="Z142" s="16" t="s">
        <v>215</v>
      </c>
      <c r="AA142" s="16" t="s">
        <v>179</v>
      </c>
      <c r="AC142" s="16" t="s">
        <v>185</v>
      </c>
      <c r="AD142" s="16" t="s">
        <v>179</v>
      </c>
      <c r="AE142" s="16" t="s">
        <v>179</v>
      </c>
      <c r="AF142" s="5" t="s">
        <v>203</v>
      </c>
      <c r="AG142" s="5" t="s">
        <v>191</v>
      </c>
      <c r="AH142" s="5" t="s">
        <v>202</v>
      </c>
      <c r="AI142" s="5" t="s">
        <v>206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0.28125</v>
      </c>
      <c r="C143" s="21" t="s">
        <v>130</v>
      </c>
      <c r="Y143" s="16" t="s">
        <v>198</v>
      </c>
      <c r="Z143" s="16" t="s">
        <v>218</v>
      </c>
      <c r="AA143" s="16" t="s">
        <v>199</v>
      </c>
      <c r="AC143" s="16" t="s">
        <v>195</v>
      </c>
      <c r="AD143" s="16" t="s">
        <v>179</v>
      </c>
      <c r="AE143" s="16" t="s">
        <v>179</v>
      </c>
      <c r="AF143" s="5" t="s">
        <v>201</v>
      </c>
      <c r="AG143" s="5" t="s">
        <v>191</v>
      </c>
      <c r="AH143" s="5" t="s">
        <v>207</v>
      </c>
      <c r="AI143" s="5" t="s">
        <v>218</v>
      </c>
      <c r="AJ143" s="5" t="s">
        <v>213</v>
      </c>
      <c r="AK143" s="7"/>
      <c r="AL143" s="7"/>
    </row>
    <row r="144" spans="1:38" x14ac:dyDescent="0.35">
      <c r="A144" s="2">
        <v>2</v>
      </c>
      <c r="B144" s="15">
        <v>0.26944444444444443</v>
      </c>
      <c r="C144" s="21" t="s">
        <v>130</v>
      </c>
      <c r="Y144" s="16" t="s">
        <v>180</v>
      </c>
      <c r="Z144" s="16" t="s">
        <v>199</v>
      </c>
      <c r="AA144" s="16" t="s">
        <v>215</v>
      </c>
      <c r="AB144" s="16" t="s">
        <v>150</v>
      </c>
      <c r="AC144" s="16" t="s">
        <v>195</v>
      </c>
      <c r="AD144" s="16" t="s">
        <v>179</v>
      </c>
      <c r="AE144" s="16" t="s">
        <v>150</v>
      </c>
      <c r="AK144" s="7"/>
      <c r="AL144" s="7"/>
    </row>
    <row r="145" spans="1:38" x14ac:dyDescent="0.35">
      <c r="A145" s="2">
        <v>2</v>
      </c>
      <c r="B145" s="15">
        <v>0.24861111111111112</v>
      </c>
      <c r="C145" s="21" t="s">
        <v>130</v>
      </c>
      <c r="Y145" s="16" t="s">
        <v>177</v>
      </c>
      <c r="Z145" s="16" t="s">
        <v>181</v>
      </c>
      <c r="AA145" s="16" t="s">
        <v>179</v>
      </c>
      <c r="AC145" s="16" t="s">
        <v>185</v>
      </c>
      <c r="AD145" s="16" t="s">
        <v>179</v>
      </c>
      <c r="AE145" s="16" t="s">
        <v>179</v>
      </c>
      <c r="AF145" s="5" t="s">
        <v>229</v>
      </c>
      <c r="AG145" s="5" t="s">
        <v>191</v>
      </c>
      <c r="AH145" s="5" t="s">
        <v>179</v>
      </c>
      <c r="AI145" s="5" t="s">
        <v>219</v>
      </c>
      <c r="AJ145" s="5" t="s">
        <v>182</v>
      </c>
      <c r="AK145" s="7"/>
      <c r="AL145" s="7"/>
    </row>
    <row r="146" spans="1:38" x14ac:dyDescent="0.35">
      <c r="A146" s="2">
        <v>2</v>
      </c>
      <c r="B146" s="15">
        <v>0.24097222222222223</v>
      </c>
      <c r="C146" s="21" t="s">
        <v>130</v>
      </c>
      <c r="Y146" s="16" t="s">
        <v>177</v>
      </c>
      <c r="Z146" s="16" t="s">
        <v>219</v>
      </c>
      <c r="AA146" s="16" t="s">
        <v>179</v>
      </c>
      <c r="AC146" s="16" t="s">
        <v>185</v>
      </c>
      <c r="AD146" s="16" t="s">
        <v>179</v>
      </c>
      <c r="AE146" s="16" t="s">
        <v>179</v>
      </c>
      <c r="AF146" s="5" t="s">
        <v>188</v>
      </c>
      <c r="AG146" s="5" t="s">
        <v>197</v>
      </c>
      <c r="AK146" s="7"/>
      <c r="AL146" s="7"/>
    </row>
    <row r="147" spans="1:38" x14ac:dyDescent="0.35">
      <c r="A147" s="2">
        <v>2</v>
      </c>
      <c r="B147" s="15">
        <v>0.2326388888888889</v>
      </c>
      <c r="C147" s="21" t="s">
        <v>130</v>
      </c>
      <c r="Y147" s="16" t="s">
        <v>180</v>
      </c>
      <c r="Z147" s="16" t="s">
        <v>183</v>
      </c>
      <c r="AA147" s="16" t="s">
        <v>203</v>
      </c>
      <c r="AB147" s="16" t="s">
        <v>179</v>
      </c>
      <c r="AC147" s="16" t="s">
        <v>195</v>
      </c>
      <c r="AD147" s="16" t="s">
        <v>179</v>
      </c>
      <c r="AE147" s="16" t="s">
        <v>179</v>
      </c>
      <c r="AF147" s="5" t="s">
        <v>192</v>
      </c>
      <c r="AG147" s="5" t="s">
        <v>182</v>
      </c>
      <c r="AK147" s="7"/>
      <c r="AL147" s="7"/>
    </row>
    <row r="148" spans="1:38" x14ac:dyDescent="0.35">
      <c r="A148" s="2">
        <v>2</v>
      </c>
      <c r="B148" s="15">
        <v>0.22430555555555556</v>
      </c>
      <c r="C148" s="21" t="s">
        <v>130</v>
      </c>
      <c r="Y148" s="16" t="s">
        <v>198</v>
      </c>
      <c r="Z148" s="16" t="s">
        <v>214</v>
      </c>
      <c r="AA148" s="16" t="s">
        <v>203</v>
      </c>
      <c r="AC148" s="16" t="s">
        <v>195</v>
      </c>
      <c r="AD148" s="16" t="s">
        <v>179</v>
      </c>
      <c r="AE148" s="16" t="s">
        <v>179</v>
      </c>
      <c r="AK148" s="7"/>
      <c r="AL148" s="7"/>
    </row>
    <row r="149" spans="1:38" x14ac:dyDescent="0.35">
      <c r="A149" s="2">
        <v>2</v>
      </c>
      <c r="B149" s="15">
        <v>0.22222222222222221</v>
      </c>
      <c r="C149" s="21" t="s">
        <v>130</v>
      </c>
      <c r="Y149" s="16" t="s">
        <v>177</v>
      </c>
      <c r="Z149" s="16" t="s">
        <v>193</v>
      </c>
      <c r="AA149" s="16" t="s">
        <v>179</v>
      </c>
      <c r="AC149" s="16" t="s">
        <v>180</v>
      </c>
      <c r="AD149" s="16" t="s">
        <v>190</v>
      </c>
      <c r="AE149" s="16" t="s">
        <v>179</v>
      </c>
      <c r="AF149" s="5" t="s">
        <v>220</v>
      </c>
      <c r="AG149" s="5" t="s">
        <v>182</v>
      </c>
      <c r="AK149" s="7"/>
      <c r="AL149" s="7"/>
    </row>
    <row r="150" spans="1:38" x14ac:dyDescent="0.35">
      <c r="A150" s="2">
        <v>2</v>
      </c>
      <c r="B150" s="15">
        <v>0.20208333333333334</v>
      </c>
      <c r="C150" s="21" t="s">
        <v>130</v>
      </c>
      <c r="Y150" s="16" t="s">
        <v>180</v>
      </c>
      <c r="Z150" s="16" t="s">
        <v>199</v>
      </c>
      <c r="AA150" s="16" t="s">
        <v>196</v>
      </c>
      <c r="AB150" s="16" t="s">
        <v>179</v>
      </c>
      <c r="AC150" s="16" t="s">
        <v>185</v>
      </c>
      <c r="AD150" s="16" t="s">
        <v>179</v>
      </c>
      <c r="AE150" s="16" t="s">
        <v>179</v>
      </c>
      <c r="AK150" s="7"/>
      <c r="AL150" s="7"/>
    </row>
    <row r="151" spans="1:38" x14ac:dyDescent="0.35">
      <c r="A151" s="2">
        <v>2</v>
      </c>
      <c r="B151" s="15">
        <v>0.19305555555555556</v>
      </c>
      <c r="C151" s="21" t="s">
        <v>130</v>
      </c>
      <c r="Y151" s="16" t="s">
        <v>180</v>
      </c>
      <c r="Z151" s="16" t="s">
        <v>216</v>
      </c>
      <c r="AA151" s="16" t="s">
        <v>199</v>
      </c>
      <c r="AB151" s="16" t="s">
        <v>179</v>
      </c>
      <c r="AC151" s="16" t="s">
        <v>180</v>
      </c>
      <c r="AD151" s="16" t="s">
        <v>179</v>
      </c>
      <c r="AE151" s="16" t="s">
        <v>179</v>
      </c>
      <c r="AF151" s="5" t="s">
        <v>227</v>
      </c>
      <c r="AG151" s="5" t="s">
        <v>191</v>
      </c>
      <c r="AH151" s="5" t="s">
        <v>222</v>
      </c>
      <c r="AI151" s="5" t="s">
        <v>193</v>
      </c>
      <c r="AJ151" s="5" t="s">
        <v>182</v>
      </c>
      <c r="AK151" s="7"/>
      <c r="AL151" s="7"/>
    </row>
    <row r="152" spans="1:38" x14ac:dyDescent="0.35">
      <c r="A152" s="2">
        <v>2</v>
      </c>
      <c r="B152" s="15">
        <v>0.18263888888888888</v>
      </c>
      <c r="C152" s="21" t="s">
        <v>130</v>
      </c>
      <c r="Y152" s="16" t="s">
        <v>177</v>
      </c>
      <c r="Z152" s="16" t="s">
        <v>193</v>
      </c>
      <c r="AA152" s="16" t="s">
        <v>179</v>
      </c>
      <c r="AC152" s="16" t="s">
        <v>195</v>
      </c>
      <c r="AD152" s="16" t="s">
        <v>179</v>
      </c>
      <c r="AE152" s="16" t="s">
        <v>179</v>
      </c>
      <c r="AF152" s="5" t="s">
        <v>196</v>
      </c>
      <c r="AG152" s="5" t="s">
        <v>182</v>
      </c>
      <c r="AK152" s="7"/>
      <c r="AL152" s="7"/>
    </row>
    <row r="153" spans="1:38" x14ac:dyDescent="0.35">
      <c r="A153" s="2">
        <v>2</v>
      </c>
      <c r="B153" s="15">
        <v>0.1736111111111111</v>
      </c>
      <c r="C153" s="21" t="s">
        <v>130</v>
      </c>
      <c r="Y153" s="16" t="s">
        <v>180</v>
      </c>
      <c r="Z153" s="16" t="s">
        <v>218</v>
      </c>
      <c r="AA153" s="16" t="s">
        <v>204</v>
      </c>
      <c r="AB153" s="16" t="s">
        <v>179</v>
      </c>
      <c r="AC153" s="16" t="s">
        <v>185</v>
      </c>
      <c r="AD153" s="16" t="s">
        <v>179</v>
      </c>
      <c r="AE153" s="16" t="s">
        <v>179</v>
      </c>
      <c r="AF153" s="5" t="s">
        <v>221</v>
      </c>
      <c r="AG153" s="5" t="s">
        <v>191</v>
      </c>
      <c r="AH153" s="5" t="s">
        <v>179</v>
      </c>
      <c r="AI153" s="5" t="s">
        <v>218</v>
      </c>
      <c r="AJ153" s="5" t="s">
        <v>213</v>
      </c>
      <c r="AK153" s="7"/>
      <c r="AL153" s="7"/>
    </row>
    <row r="154" spans="1:38" x14ac:dyDescent="0.35">
      <c r="A154" s="2">
        <v>2</v>
      </c>
      <c r="B154" s="15">
        <v>0.16041666666666668</v>
      </c>
      <c r="C154" s="21" t="s">
        <v>130</v>
      </c>
      <c r="Y154" s="16" t="s">
        <v>177</v>
      </c>
      <c r="Z154" s="16" t="s">
        <v>225</v>
      </c>
      <c r="AA154" s="16" t="s">
        <v>179</v>
      </c>
      <c r="AC154" s="16" t="s">
        <v>195</v>
      </c>
      <c r="AD154" s="16" t="s">
        <v>179</v>
      </c>
      <c r="AE154" s="16" t="s">
        <v>179</v>
      </c>
      <c r="AF154" s="5" t="s">
        <v>229</v>
      </c>
      <c r="AG154" s="5" t="s">
        <v>191</v>
      </c>
      <c r="AH154" s="5" t="s">
        <v>225</v>
      </c>
      <c r="AI154" s="5" t="s">
        <v>193</v>
      </c>
      <c r="AJ154" s="5" t="s">
        <v>182</v>
      </c>
      <c r="AK154" s="7"/>
      <c r="AL154" s="7"/>
    </row>
    <row r="155" spans="1:38" x14ac:dyDescent="0.35">
      <c r="A155" s="2">
        <v>2</v>
      </c>
      <c r="B155" s="15">
        <v>0.14583333333333334</v>
      </c>
      <c r="C155" s="21" t="s">
        <v>130</v>
      </c>
      <c r="Y155" s="16" t="s">
        <v>177</v>
      </c>
      <c r="Z155" s="16" t="s">
        <v>218</v>
      </c>
      <c r="AA155" s="16" t="s">
        <v>179</v>
      </c>
      <c r="AC155" s="16" t="s">
        <v>195</v>
      </c>
      <c r="AD155" s="16" t="s">
        <v>179</v>
      </c>
      <c r="AE155" s="16" t="s">
        <v>179</v>
      </c>
      <c r="AF155" s="5" t="s">
        <v>229</v>
      </c>
      <c r="AG155" s="5" t="s">
        <v>224</v>
      </c>
      <c r="AK155" s="7"/>
      <c r="AL155" s="7"/>
    </row>
    <row r="156" spans="1:38" x14ac:dyDescent="0.35">
      <c r="A156" s="2">
        <v>2</v>
      </c>
      <c r="B156" s="15">
        <v>0.14097222222222222</v>
      </c>
      <c r="C156" s="21" t="s">
        <v>130</v>
      </c>
      <c r="Y156" s="16" t="s">
        <v>177</v>
      </c>
      <c r="Z156" s="16" t="s">
        <v>178</v>
      </c>
      <c r="AA156" s="16" t="s">
        <v>218</v>
      </c>
      <c r="AC156" s="16" t="s">
        <v>185</v>
      </c>
      <c r="AD156" s="16" t="s">
        <v>179</v>
      </c>
      <c r="AE156" s="16" t="s">
        <v>179</v>
      </c>
      <c r="AF156" s="5" t="s">
        <v>219</v>
      </c>
      <c r="AG156" s="5" t="s">
        <v>191</v>
      </c>
      <c r="AH156" s="5" t="s">
        <v>179</v>
      </c>
      <c r="AI156" s="5" t="s">
        <v>212</v>
      </c>
      <c r="AJ156" s="5" t="s">
        <v>186</v>
      </c>
      <c r="AK156" s="7"/>
      <c r="AL156" s="7"/>
    </row>
    <row r="157" spans="1:38" x14ac:dyDescent="0.35">
      <c r="A157" s="2">
        <v>2</v>
      </c>
      <c r="B157" s="15">
        <v>0.13194444444444445</v>
      </c>
      <c r="C157" s="21" t="s">
        <v>130</v>
      </c>
      <c r="AF157" s="5" t="s">
        <v>217</v>
      </c>
      <c r="AG157" s="5" t="s">
        <v>191</v>
      </c>
      <c r="AH157" s="5" t="s">
        <v>179</v>
      </c>
      <c r="AI157" s="5" t="s">
        <v>214</v>
      </c>
      <c r="AJ157" s="5" t="s">
        <v>211</v>
      </c>
      <c r="AK157" s="7"/>
      <c r="AL157" s="7"/>
    </row>
    <row r="158" spans="1:38" x14ac:dyDescent="0.35">
      <c r="A158" s="2">
        <v>2</v>
      </c>
      <c r="B158" s="15">
        <v>0.12777777777777777</v>
      </c>
      <c r="C158" s="21" t="s">
        <v>130</v>
      </c>
      <c r="AF158" s="5" t="s">
        <v>214</v>
      </c>
      <c r="AG158" s="5" t="s">
        <v>211</v>
      </c>
      <c r="AH158" s="5" t="s">
        <v>178</v>
      </c>
      <c r="AK158" s="7"/>
      <c r="AL158" s="7"/>
    </row>
    <row r="159" spans="1:38" x14ac:dyDescent="0.35">
      <c r="A159" s="2">
        <v>2</v>
      </c>
      <c r="B159" s="15">
        <v>0.12083333333333333</v>
      </c>
      <c r="C159" s="21" t="s">
        <v>130</v>
      </c>
      <c r="Y159" s="16" t="s">
        <v>177</v>
      </c>
      <c r="Z159" s="16" t="s">
        <v>183</v>
      </c>
      <c r="AA159" s="16" t="s">
        <v>184</v>
      </c>
      <c r="AC159" s="16" t="s">
        <v>195</v>
      </c>
      <c r="AD159" s="16" t="s">
        <v>179</v>
      </c>
      <c r="AE159" s="16" t="s">
        <v>179</v>
      </c>
      <c r="AF159" s="5" t="s">
        <v>214</v>
      </c>
      <c r="AG159" s="5" t="s">
        <v>186</v>
      </c>
      <c r="AK159" s="7"/>
      <c r="AL159" s="7"/>
    </row>
    <row r="160" spans="1:38" x14ac:dyDescent="0.35">
      <c r="A160" s="2">
        <v>2</v>
      </c>
      <c r="B160" s="15">
        <v>0.10972222222222222</v>
      </c>
      <c r="C160" s="21" t="s">
        <v>130</v>
      </c>
      <c r="AF160" s="5" t="s">
        <v>184</v>
      </c>
      <c r="AG160" s="5" t="s">
        <v>191</v>
      </c>
      <c r="AH160" s="5" t="s">
        <v>179</v>
      </c>
      <c r="AI160" s="5" t="s">
        <v>219</v>
      </c>
      <c r="AJ160" s="5" t="s">
        <v>182</v>
      </c>
      <c r="AK160" s="7"/>
      <c r="AL160" s="7"/>
    </row>
    <row r="161" spans="1:38" x14ac:dyDescent="0.35">
      <c r="A161" s="2">
        <v>2</v>
      </c>
      <c r="B161" s="15">
        <v>9.2361111111111116E-2</v>
      </c>
      <c r="C161" s="21" t="s">
        <v>130</v>
      </c>
      <c r="AF161" s="5" t="s">
        <v>192</v>
      </c>
      <c r="AG161" s="5" t="s">
        <v>182</v>
      </c>
      <c r="AK161" s="7"/>
      <c r="AL161" s="7"/>
    </row>
    <row r="162" spans="1:38" x14ac:dyDescent="0.35">
      <c r="A162" s="2">
        <v>2</v>
      </c>
      <c r="B162" s="15">
        <v>8.8888888888888892E-2</v>
      </c>
      <c r="C162" s="21" t="s">
        <v>130</v>
      </c>
      <c r="AF162" s="5" t="s">
        <v>188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8.4027777777777785E-2</v>
      </c>
      <c r="C163" s="21" t="s">
        <v>130</v>
      </c>
      <c r="AF163" s="5" t="s">
        <v>192</v>
      </c>
      <c r="AG163" s="5" t="s">
        <v>191</v>
      </c>
      <c r="AH163" s="5" t="s">
        <v>179</v>
      </c>
      <c r="AI163" s="5" t="s">
        <v>228</v>
      </c>
      <c r="AJ163" s="5" t="s">
        <v>182</v>
      </c>
      <c r="AK163" s="7"/>
      <c r="AL163" s="7"/>
    </row>
    <row r="164" spans="1:38" x14ac:dyDescent="0.35">
      <c r="A164" s="2">
        <v>2</v>
      </c>
      <c r="B164" s="15">
        <v>7.4999999999999997E-2</v>
      </c>
      <c r="C164" s="21" t="s">
        <v>130</v>
      </c>
      <c r="Y164" s="16" t="s">
        <v>198</v>
      </c>
      <c r="Z164" s="16" t="s">
        <v>202</v>
      </c>
      <c r="AA164" s="16" t="s">
        <v>203</v>
      </c>
      <c r="AC164" s="16" t="s">
        <v>195</v>
      </c>
      <c r="AD164" s="16" t="s">
        <v>179</v>
      </c>
      <c r="AE164" s="16" t="s">
        <v>179</v>
      </c>
      <c r="AK164" s="7"/>
      <c r="AL164" s="7"/>
    </row>
    <row r="165" spans="1:38" x14ac:dyDescent="0.35">
      <c r="A165" s="2">
        <v>2</v>
      </c>
      <c r="B165" s="15">
        <v>3.2638888888888891E-2</v>
      </c>
      <c r="C165" s="21" t="s">
        <v>156</v>
      </c>
      <c r="Y165" s="16" t="s">
        <v>180</v>
      </c>
      <c r="Z165" s="16" t="s">
        <v>188</v>
      </c>
      <c r="AA165" s="16" t="s">
        <v>179</v>
      </c>
      <c r="AB165" s="16" t="s">
        <v>150</v>
      </c>
      <c r="AC165" s="16" t="s">
        <v>180</v>
      </c>
      <c r="AD165" s="16" t="s">
        <v>179</v>
      </c>
      <c r="AE165" s="16" t="s">
        <v>133</v>
      </c>
      <c r="AK165" s="7"/>
      <c r="AL165" s="7"/>
    </row>
    <row r="166" spans="1:38" x14ac:dyDescent="0.35">
      <c r="A166" s="2">
        <v>2</v>
      </c>
      <c r="B166" s="15">
        <v>2.7777777777777776E-2</v>
      </c>
      <c r="C166" s="21" t="s">
        <v>130</v>
      </c>
      <c r="Y166" s="16" t="s">
        <v>209</v>
      </c>
      <c r="Z166" s="16" t="s">
        <v>144</v>
      </c>
      <c r="AD166" s="16" t="s">
        <v>225</v>
      </c>
      <c r="AF166" s="5" t="s">
        <v>229</v>
      </c>
      <c r="AG166" s="5" t="s">
        <v>211</v>
      </c>
      <c r="AK166" s="7"/>
      <c r="AL166" s="7"/>
    </row>
    <row r="167" spans="1:38" x14ac:dyDescent="0.35">
      <c r="A167" s="2">
        <v>3</v>
      </c>
      <c r="B167" s="15">
        <v>0.82499999999999996</v>
      </c>
      <c r="C167" s="21" t="s">
        <v>130</v>
      </c>
      <c r="AF167" s="5" t="s">
        <v>188</v>
      </c>
      <c r="AG167" s="5" t="s">
        <v>191</v>
      </c>
      <c r="AH167" s="5" t="s">
        <v>179</v>
      </c>
      <c r="AI167" s="5" t="s">
        <v>181</v>
      </c>
      <c r="AJ167" s="5" t="s">
        <v>182</v>
      </c>
      <c r="AK167" s="7"/>
      <c r="AL167" s="7"/>
    </row>
    <row r="168" spans="1:38" x14ac:dyDescent="0.35">
      <c r="A168" s="2">
        <v>3</v>
      </c>
      <c r="B168" s="15">
        <v>0.8125</v>
      </c>
      <c r="C168" s="21" t="s">
        <v>130</v>
      </c>
      <c r="AF168" s="5" t="s">
        <v>181</v>
      </c>
      <c r="AG168" s="5" t="s">
        <v>182</v>
      </c>
      <c r="AH168" s="5" t="s">
        <v>193</v>
      </c>
      <c r="AK168" s="7"/>
      <c r="AL168" s="7"/>
    </row>
    <row r="169" spans="1:38" x14ac:dyDescent="0.35">
      <c r="A169" s="2">
        <v>3</v>
      </c>
      <c r="B169" s="15">
        <v>0.80763888888888891</v>
      </c>
      <c r="C169" s="21" t="s">
        <v>130</v>
      </c>
      <c r="Y169" s="16" t="s">
        <v>198</v>
      </c>
      <c r="Z169" s="16" t="s">
        <v>193</v>
      </c>
      <c r="AA169" s="16" t="s">
        <v>221</v>
      </c>
      <c r="AC169" s="16" t="s">
        <v>185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2">
        <v>3</v>
      </c>
      <c r="B170" s="15">
        <v>0.80069444444444449</v>
      </c>
      <c r="C170" s="21" t="s">
        <v>130</v>
      </c>
      <c r="Y170" s="16" t="s">
        <v>180</v>
      </c>
      <c r="Z170" s="16" t="s">
        <v>193</v>
      </c>
      <c r="AA170" s="16" t="s">
        <v>188</v>
      </c>
      <c r="AB170" s="16" t="s">
        <v>179</v>
      </c>
      <c r="AC170" s="16" t="s">
        <v>195</v>
      </c>
      <c r="AD170" s="16" t="s">
        <v>179</v>
      </c>
      <c r="AE170" s="16" t="s">
        <v>179</v>
      </c>
      <c r="AF170" s="5" t="s">
        <v>189</v>
      </c>
      <c r="AG170" s="5" t="s">
        <v>186</v>
      </c>
      <c r="AK170" s="7"/>
      <c r="AL170" s="7"/>
    </row>
    <row r="171" spans="1:38" x14ac:dyDescent="0.35">
      <c r="A171" s="2">
        <v>3</v>
      </c>
      <c r="B171" s="15">
        <v>0.77777777777777779</v>
      </c>
      <c r="C171" s="21" t="s">
        <v>130</v>
      </c>
      <c r="Y171" s="16" t="s">
        <v>177</v>
      </c>
      <c r="Z171" s="16" t="s">
        <v>187</v>
      </c>
      <c r="AA171" s="16" t="s">
        <v>179</v>
      </c>
      <c r="AC171" s="16" t="s">
        <v>185</v>
      </c>
      <c r="AD171" s="16" t="s">
        <v>179</v>
      </c>
      <c r="AE171" s="16" t="s">
        <v>179</v>
      </c>
      <c r="AF171" s="5" t="s">
        <v>214</v>
      </c>
      <c r="AG171" s="5" t="s">
        <v>191</v>
      </c>
      <c r="AH171" s="5" t="s">
        <v>179</v>
      </c>
      <c r="AI171" s="5" t="s">
        <v>218</v>
      </c>
      <c r="AJ171" s="5" t="s">
        <v>186</v>
      </c>
      <c r="AK171" s="7"/>
      <c r="AL171" s="7"/>
    </row>
    <row r="172" spans="1:38" x14ac:dyDescent="0.35">
      <c r="A172" s="2">
        <v>3</v>
      </c>
      <c r="B172" s="15">
        <v>0.77152777777777781</v>
      </c>
      <c r="C172" s="21" t="s">
        <v>130</v>
      </c>
      <c r="Y172" s="16" t="s">
        <v>177</v>
      </c>
      <c r="Z172" s="16" t="s">
        <v>214</v>
      </c>
      <c r="AA172" s="16" t="s">
        <v>187</v>
      </c>
      <c r="AC172" s="16" t="s">
        <v>180</v>
      </c>
      <c r="AD172" s="16" t="s">
        <v>179</v>
      </c>
      <c r="AE172" s="16" t="s">
        <v>179</v>
      </c>
      <c r="AF172" s="5" t="s">
        <v>187</v>
      </c>
      <c r="AG172" s="5" t="s">
        <v>191</v>
      </c>
      <c r="AH172" s="5" t="s">
        <v>214</v>
      </c>
      <c r="AI172" s="5" t="s">
        <v>178</v>
      </c>
      <c r="AJ172" s="5" t="s">
        <v>213</v>
      </c>
      <c r="AK172" s="7"/>
      <c r="AL172" s="7"/>
    </row>
    <row r="173" spans="1:38" x14ac:dyDescent="0.35">
      <c r="A173" s="2">
        <v>3</v>
      </c>
      <c r="B173" s="15">
        <v>0.76388888888888884</v>
      </c>
      <c r="C173" s="21" t="s">
        <v>130</v>
      </c>
      <c r="Y173" s="16" t="s">
        <v>180</v>
      </c>
      <c r="Z173" s="16" t="s">
        <v>178</v>
      </c>
      <c r="AA173" s="16" t="s">
        <v>218</v>
      </c>
      <c r="AB173" s="16" t="s">
        <v>179</v>
      </c>
      <c r="AC173" s="16" t="s">
        <v>185</v>
      </c>
      <c r="AD173" s="16" t="s">
        <v>179</v>
      </c>
      <c r="AE173" s="16" t="s">
        <v>179</v>
      </c>
      <c r="AF173" s="5" t="s">
        <v>214</v>
      </c>
      <c r="AG173" s="5" t="s">
        <v>186</v>
      </c>
      <c r="AK173" s="7"/>
      <c r="AL173" s="7"/>
    </row>
    <row r="174" spans="1:38" x14ac:dyDescent="0.35">
      <c r="A174" s="2">
        <v>3</v>
      </c>
      <c r="B174" s="15">
        <v>0.75277777777777777</v>
      </c>
      <c r="C174" s="21" t="s">
        <v>130</v>
      </c>
      <c r="Y174" s="16" t="s">
        <v>177</v>
      </c>
      <c r="Z174" s="16" t="s">
        <v>217</v>
      </c>
      <c r="AA174" s="16" t="s">
        <v>179</v>
      </c>
      <c r="AC174" s="16" t="s">
        <v>185</v>
      </c>
      <c r="AD174" s="16" t="s">
        <v>179</v>
      </c>
      <c r="AE174" s="16" t="s">
        <v>179</v>
      </c>
      <c r="AF174" s="5" t="s">
        <v>203</v>
      </c>
      <c r="AG174" s="5" t="s">
        <v>197</v>
      </c>
      <c r="AK174" s="7"/>
      <c r="AL174" s="7"/>
    </row>
    <row r="175" spans="1:38" x14ac:dyDescent="0.35">
      <c r="A175" s="2">
        <v>3</v>
      </c>
      <c r="B175" s="15">
        <v>0.74444444444444446</v>
      </c>
      <c r="C175" s="21" t="s">
        <v>130</v>
      </c>
      <c r="Y175" s="16" t="s">
        <v>177</v>
      </c>
      <c r="Z175" s="16" t="s">
        <v>207</v>
      </c>
      <c r="AA175" s="16" t="s">
        <v>181</v>
      </c>
      <c r="AC175" s="16" t="s">
        <v>195</v>
      </c>
      <c r="AD175" s="16" t="s">
        <v>179</v>
      </c>
      <c r="AE175" s="16" t="s">
        <v>179</v>
      </c>
      <c r="AF175" s="5" t="s">
        <v>188</v>
      </c>
      <c r="AG175" s="5" t="s">
        <v>211</v>
      </c>
      <c r="AH175" s="5" t="s">
        <v>207</v>
      </c>
      <c r="AK175" s="7"/>
      <c r="AL175" s="7"/>
    </row>
    <row r="176" spans="1:38" x14ac:dyDescent="0.35">
      <c r="A176" s="2">
        <v>3</v>
      </c>
      <c r="B176" s="15">
        <v>0.73750000000000004</v>
      </c>
      <c r="C176" s="21" t="s">
        <v>130</v>
      </c>
      <c r="Y176" s="16" t="s">
        <v>180</v>
      </c>
      <c r="Z176" s="16" t="s">
        <v>205</v>
      </c>
      <c r="AA176" s="16" t="s">
        <v>204</v>
      </c>
      <c r="AB176" s="16" t="s">
        <v>179</v>
      </c>
      <c r="AC176" s="16" t="s">
        <v>185</v>
      </c>
      <c r="AD176" s="16" t="s">
        <v>179</v>
      </c>
      <c r="AE176" s="16" t="s">
        <v>179</v>
      </c>
      <c r="AF176" s="5" t="s">
        <v>205</v>
      </c>
      <c r="AG176" s="5" t="s">
        <v>191</v>
      </c>
      <c r="AH176" s="5" t="s">
        <v>204</v>
      </c>
      <c r="AI176" s="5" t="s">
        <v>202</v>
      </c>
      <c r="AJ176" s="5" t="s">
        <v>213</v>
      </c>
      <c r="AK176" s="7"/>
      <c r="AL176" s="7"/>
    </row>
    <row r="177" spans="1:38" x14ac:dyDescent="0.35">
      <c r="A177" s="2">
        <v>3</v>
      </c>
      <c r="B177" s="15">
        <v>0.72430555555555554</v>
      </c>
      <c r="C177" s="21" t="s">
        <v>130</v>
      </c>
      <c r="AF177" s="5" t="s">
        <v>200</v>
      </c>
      <c r="AG177" s="5" t="s">
        <v>224</v>
      </c>
      <c r="AH177" s="5" t="s">
        <v>215</v>
      </c>
      <c r="AK177" s="7"/>
      <c r="AL177" s="7"/>
    </row>
    <row r="178" spans="1:38" x14ac:dyDescent="0.35">
      <c r="A178" s="2">
        <v>3</v>
      </c>
      <c r="B178" s="15">
        <v>0.71875</v>
      </c>
      <c r="C178" s="21" t="s">
        <v>130</v>
      </c>
      <c r="Y178" s="16" t="s">
        <v>180</v>
      </c>
      <c r="Z178" s="16" t="s">
        <v>207</v>
      </c>
      <c r="AA178" s="16" t="s">
        <v>205</v>
      </c>
      <c r="AB178" s="16" t="s">
        <v>179</v>
      </c>
      <c r="AC178" s="16" t="s">
        <v>185</v>
      </c>
      <c r="AD178" s="16" t="s">
        <v>179</v>
      </c>
      <c r="AE178" s="16" t="s">
        <v>179</v>
      </c>
      <c r="AF178" s="5" t="s">
        <v>207</v>
      </c>
      <c r="AG178" s="5" t="s">
        <v>182</v>
      </c>
      <c r="AK178" s="7"/>
      <c r="AL178" s="7"/>
    </row>
    <row r="179" spans="1:38" x14ac:dyDescent="0.35">
      <c r="A179" s="2">
        <v>3</v>
      </c>
      <c r="B179" s="15">
        <v>0.70694444444444449</v>
      </c>
      <c r="C179" s="21" t="s">
        <v>130</v>
      </c>
      <c r="AF179" s="5" t="s">
        <v>188</v>
      </c>
      <c r="AG179" s="5" t="s">
        <v>191</v>
      </c>
      <c r="AH179" s="5" t="s">
        <v>228</v>
      </c>
      <c r="AI179" s="5" t="s">
        <v>188</v>
      </c>
      <c r="AJ179" s="5" t="s">
        <v>182</v>
      </c>
      <c r="AK179" s="7"/>
      <c r="AL179" s="7"/>
    </row>
    <row r="180" spans="1:38" x14ac:dyDescent="0.35">
      <c r="A180" s="2">
        <v>3</v>
      </c>
      <c r="B180" s="15">
        <v>0.6875</v>
      </c>
      <c r="C180" s="21" t="s">
        <v>130</v>
      </c>
      <c r="Y180" s="16" t="s">
        <v>180</v>
      </c>
      <c r="Z180" s="16" t="s">
        <v>205</v>
      </c>
      <c r="AA180" s="16" t="s">
        <v>184</v>
      </c>
      <c r="AB180" s="16" t="s">
        <v>179</v>
      </c>
      <c r="AC180" s="16" t="s">
        <v>185</v>
      </c>
      <c r="AD180" s="16" t="s">
        <v>179</v>
      </c>
      <c r="AE180" s="16" t="s">
        <v>133</v>
      </c>
      <c r="AK180" s="7"/>
      <c r="AL180" s="7"/>
    </row>
    <row r="181" spans="1:38" x14ac:dyDescent="0.35">
      <c r="A181" s="2">
        <v>3</v>
      </c>
      <c r="B181" s="15">
        <v>0.61805555555555558</v>
      </c>
      <c r="C181" s="21" t="s">
        <v>176</v>
      </c>
      <c r="Y181" s="16" t="s">
        <v>180</v>
      </c>
      <c r="Z181" s="16" t="s">
        <v>212</v>
      </c>
      <c r="AK181" s="7"/>
      <c r="AL181" s="7"/>
    </row>
    <row r="182" spans="1:38" x14ac:dyDescent="0.35">
      <c r="A182" s="2">
        <v>3</v>
      </c>
      <c r="B182" s="15">
        <v>0.60972222222222228</v>
      </c>
      <c r="C182" s="21" t="s">
        <v>176</v>
      </c>
      <c r="Y182" s="16" t="s">
        <v>180</v>
      </c>
      <c r="Z182" s="16" t="s">
        <v>187</v>
      </c>
      <c r="AA182" s="16" t="s">
        <v>179</v>
      </c>
      <c r="AB182" s="16" t="s">
        <v>179</v>
      </c>
      <c r="AC182" s="16" t="s">
        <v>180</v>
      </c>
      <c r="AD182" s="16" t="s">
        <v>179</v>
      </c>
      <c r="AE182" s="16" t="s">
        <v>179</v>
      </c>
      <c r="AK182" s="7"/>
      <c r="AL182" s="7"/>
    </row>
    <row r="183" spans="1:38" x14ac:dyDescent="0.35">
      <c r="A183" s="2">
        <v>3</v>
      </c>
      <c r="B183" s="15">
        <v>0.59375</v>
      </c>
      <c r="C183" s="21" t="s">
        <v>156</v>
      </c>
      <c r="Y183" s="16" t="s">
        <v>180</v>
      </c>
      <c r="Z183" s="16" t="s">
        <v>214</v>
      </c>
      <c r="AA183" s="16" t="s">
        <v>190</v>
      </c>
      <c r="AB183" s="16" t="s">
        <v>150</v>
      </c>
      <c r="AC183" s="16" t="s">
        <v>185</v>
      </c>
      <c r="AD183" s="16" t="s">
        <v>179</v>
      </c>
      <c r="AE183" s="16" t="s">
        <v>133</v>
      </c>
      <c r="AK183" s="7"/>
      <c r="AL183" s="7"/>
    </row>
    <row r="184" spans="1:38" x14ac:dyDescent="0.35">
      <c r="A184" s="2">
        <v>3</v>
      </c>
      <c r="B184" s="15">
        <v>0.56944444444444442</v>
      </c>
      <c r="C184" s="21" t="s">
        <v>130</v>
      </c>
      <c r="Y184" s="16" t="s">
        <v>180</v>
      </c>
      <c r="Z184" s="16" t="s">
        <v>228</v>
      </c>
      <c r="AA184" s="16" t="s">
        <v>196</v>
      </c>
      <c r="AB184" s="16" t="s">
        <v>179</v>
      </c>
      <c r="AC184" s="16" t="s">
        <v>195</v>
      </c>
      <c r="AD184" s="16" t="s">
        <v>179</v>
      </c>
      <c r="AE184" s="16" t="s">
        <v>179</v>
      </c>
      <c r="AF184" s="5" t="s">
        <v>229</v>
      </c>
      <c r="AG184" s="5" t="s">
        <v>191</v>
      </c>
      <c r="AH184" s="5" t="s">
        <v>179</v>
      </c>
      <c r="AI184" s="5" t="s">
        <v>223</v>
      </c>
      <c r="AJ184" s="5" t="s">
        <v>186</v>
      </c>
      <c r="AK184" s="7"/>
      <c r="AL184" s="7"/>
    </row>
    <row r="185" spans="1:38" x14ac:dyDescent="0.35">
      <c r="A185" s="2">
        <v>3</v>
      </c>
      <c r="B185" s="15">
        <v>0.50902777777777775</v>
      </c>
      <c r="C185" s="21" t="s">
        <v>176</v>
      </c>
      <c r="Y185" s="16" t="s">
        <v>180</v>
      </c>
      <c r="Z185" s="16" t="s">
        <v>189</v>
      </c>
      <c r="AA185" s="16" t="s">
        <v>179</v>
      </c>
      <c r="AB185" s="16" t="s">
        <v>179</v>
      </c>
      <c r="AC185" s="16" t="s">
        <v>180</v>
      </c>
      <c r="AD185" s="16" t="s">
        <v>179</v>
      </c>
      <c r="AE185" s="16" t="s">
        <v>179</v>
      </c>
    </row>
    <row r="186" spans="1:38" x14ac:dyDescent="0.35">
      <c r="A186" s="2">
        <v>3</v>
      </c>
      <c r="B186" s="15">
        <v>0.50347222222222221</v>
      </c>
      <c r="C186" s="21" t="s">
        <v>156</v>
      </c>
      <c r="Y186" s="16" t="s">
        <v>180</v>
      </c>
      <c r="Z186" s="16" t="s">
        <v>206</v>
      </c>
      <c r="AA186" s="16" t="s">
        <v>221</v>
      </c>
      <c r="AB186" s="16" t="s">
        <v>150</v>
      </c>
      <c r="AC186" s="16" t="s">
        <v>185</v>
      </c>
      <c r="AD186" s="16" t="s">
        <v>179</v>
      </c>
      <c r="AE186" s="16" t="s">
        <v>133</v>
      </c>
    </row>
    <row r="187" spans="1:38" x14ac:dyDescent="0.35">
      <c r="A187" s="2">
        <v>3</v>
      </c>
      <c r="B187" s="15">
        <v>0.4513888888888889</v>
      </c>
      <c r="C187" s="21" t="s">
        <v>130</v>
      </c>
      <c r="Y187" s="16" t="s">
        <v>177</v>
      </c>
      <c r="Z187" s="16" t="s">
        <v>183</v>
      </c>
      <c r="AA187" s="16" t="s">
        <v>212</v>
      </c>
      <c r="AC187" s="16" t="s">
        <v>195</v>
      </c>
      <c r="AD187" s="16" t="s">
        <v>179</v>
      </c>
      <c r="AE187" s="16" t="s">
        <v>179</v>
      </c>
      <c r="AF187" s="5" t="s">
        <v>187</v>
      </c>
      <c r="AG187" s="5" t="s">
        <v>186</v>
      </c>
      <c r="AH187" s="5" t="s">
        <v>183</v>
      </c>
    </row>
    <row r="188" spans="1:38" x14ac:dyDescent="0.35">
      <c r="A188" s="2">
        <v>3</v>
      </c>
      <c r="B188" s="15">
        <v>0.43263888888888891</v>
      </c>
      <c r="C188" s="21" t="s">
        <v>130</v>
      </c>
      <c r="AF188" s="5" t="s">
        <v>203</v>
      </c>
      <c r="AG188" s="5" t="s">
        <v>191</v>
      </c>
      <c r="AH188" s="5" t="s">
        <v>215</v>
      </c>
      <c r="AI188" s="5" t="s">
        <v>204</v>
      </c>
      <c r="AJ188" s="5" t="s">
        <v>211</v>
      </c>
    </row>
    <row r="189" spans="1:38" x14ac:dyDescent="0.35">
      <c r="A189" s="2">
        <v>3</v>
      </c>
      <c r="B189" s="15">
        <v>0.42569444444444443</v>
      </c>
      <c r="C189" s="21" t="s">
        <v>130</v>
      </c>
      <c r="Y189" s="16" t="s">
        <v>180</v>
      </c>
      <c r="Z189" s="16" t="s">
        <v>206</v>
      </c>
      <c r="AA189" s="16" t="s">
        <v>218</v>
      </c>
      <c r="AB189" s="16" t="s">
        <v>150</v>
      </c>
      <c r="AC189" s="16" t="s">
        <v>185</v>
      </c>
      <c r="AD189" s="16" t="s">
        <v>179</v>
      </c>
      <c r="AE189" s="16" t="s">
        <v>179</v>
      </c>
      <c r="AF189" s="5" t="s">
        <v>200</v>
      </c>
      <c r="AG189" s="5" t="s">
        <v>191</v>
      </c>
      <c r="AH189" s="5" t="s">
        <v>179</v>
      </c>
      <c r="AI189" s="5" t="s">
        <v>207</v>
      </c>
      <c r="AJ189" s="5" t="s">
        <v>186</v>
      </c>
    </row>
    <row r="190" spans="1:38" x14ac:dyDescent="0.35">
      <c r="A190" s="2">
        <v>3</v>
      </c>
      <c r="B190" s="15">
        <v>0.39374999999999999</v>
      </c>
      <c r="C190" s="21" t="s">
        <v>130</v>
      </c>
      <c r="Y190" s="16" t="s">
        <v>177</v>
      </c>
      <c r="Z190" s="16" t="s">
        <v>181</v>
      </c>
      <c r="AA190" s="16" t="s">
        <v>179</v>
      </c>
      <c r="AC190" s="16" t="s">
        <v>185</v>
      </c>
      <c r="AD190" s="16" t="s">
        <v>179</v>
      </c>
      <c r="AE190" s="16" t="s">
        <v>179</v>
      </c>
      <c r="AF190" s="5" t="s">
        <v>187</v>
      </c>
      <c r="AG190" s="5" t="s">
        <v>191</v>
      </c>
      <c r="AH190" s="5" t="s">
        <v>179</v>
      </c>
      <c r="AI190" s="5" t="s">
        <v>219</v>
      </c>
      <c r="AJ190" s="5" t="s">
        <v>182</v>
      </c>
    </row>
    <row r="191" spans="1:38" x14ac:dyDescent="0.35">
      <c r="A191" s="2">
        <v>3</v>
      </c>
      <c r="B191" s="15">
        <v>0.3840277777777778</v>
      </c>
      <c r="C191" s="21" t="s">
        <v>130</v>
      </c>
      <c r="Y191" s="16" t="s">
        <v>209</v>
      </c>
      <c r="Z191" s="16" t="s">
        <v>131</v>
      </c>
      <c r="AD191" s="16" t="s">
        <v>178</v>
      </c>
    </row>
    <row r="192" spans="1:38" x14ac:dyDescent="0.35">
      <c r="A192" s="2">
        <v>3</v>
      </c>
      <c r="B192" s="15">
        <v>0.37361111111111112</v>
      </c>
      <c r="C192" s="21" t="s">
        <v>130</v>
      </c>
      <c r="Y192" s="16" t="s">
        <v>177</v>
      </c>
      <c r="Z192" s="16" t="s">
        <v>214</v>
      </c>
      <c r="AA192" s="16" t="s">
        <v>187</v>
      </c>
      <c r="AC192" s="16" t="s">
        <v>180</v>
      </c>
      <c r="AD192" s="16" t="s">
        <v>179</v>
      </c>
      <c r="AE192" s="16" t="s">
        <v>179</v>
      </c>
      <c r="AF192" s="5" t="s">
        <v>181</v>
      </c>
      <c r="AG192" s="5" t="s">
        <v>186</v>
      </c>
    </row>
    <row r="193" spans="1:36" x14ac:dyDescent="0.35">
      <c r="A193" s="2">
        <v>3</v>
      </c>
      <c r="B193" s="15">
        <v>0.36041666666666666</v>
      </c>
      <c r="C193" s="21" t="s">
        <v>130</v>
      </c>
      <c r="Y193" s="16" t="s">
        <v>177</v>
      </c>
      <c r="Z193" s="16" t="s">
        <v>216</v>
      </c>
      <c r="AA193" s="16" t="s">
        <v>179</v>
      </c>
      <c r="AC193" s="16" t="s">
        <v>185</v>
      </c>
      <c r="AD193" s="16" t="s">
        <v>179</v>
      </c>
      <c r="AE193" s="16" t="s">
        <v>179</v>
      </c>
      <c r="AF193" s="5" t="s">
        <v>199</v>
      </c>
      <c r="AG193" s="5" t="s">
        <v>213</v>
      </c>
      <c r="AH193" s="5" t="s">
        <v>222</v>
      </c>
    </row>
    <row r="194" spans="1:36" x14ac:dyDescent="0.35">
      <c r="A194" s="2">
        <v>3</v>
      </c>
      <c r="B194" s="15">
        <v>0.34652777777777777</v>
      </c>
      <c r="C194" s="21" t="s">
        <v>130</v>
      </c>
      <c r="Y194" s="16" t="s">
        <v>177</v>
      </c>
      <c r="Z194" s="16" t="s">
        <v>194</v>
      </c>
      <c r="AA194" s="16" t="s">
        <v>179</v>
      </c>
      <c r="AC194" s="16" t="s">
        <v>185</v>
      </c>
      <c r="AD194" s="16" t="s">
        <v>179</v>
      </c>
      <c r="AE194" s="16" t="s">
        <v>179</v>
      </c>
      <c r="AF194" s="5" t="s">
        <v>194</v>
      </c>
      <c r="AG194" s="5" t="s">
        <v>213</v>
      </c>
    </row>
    <row r="195" spans="1:36" x14ac:dyDescent="0.35">
      <c r="A195" s="2">
        <v>3</v>
      </c>
      <c r="B195" s="15">
        <v>0.34236111111111112</v>
      </c>
      <c r="C195" s="21" t="s">
        <v>130</v>
      </c>
      <c r="Y195" s="16" t="s">
        <v>180</v>
      </c>
      <c r="Z195" s="16" t="s">
        <v>222</v>
      </c>
      <c r="AA195" s="16" t="s">
        <v>203</v>
      </c>
      <c r="AB195" s="16" t="s">
        <v>150</v>
      </c>
      <c r="AC195" s="16" t="s">
        <v>195</v>
      </c>
      <c r="AD195" s="16" t="s">
        <v>179</v>
      </c>
      <c r="AE195" s="16" t="s">
        <v>179</v>
      </c>
      <c r="AF195" s="5" t="s">
        <v>203</v>
      </c>
      <c r="AG195" s="5" t="s">
        <v>191</v>
      </c>
      <c r="AH195" s="5" t="s">
        <v>222</v>
      </c>
      <c r="AI195" s="5" t="s">
        <v>193</v>
      </c>
      <c r="AJ195" s="5" t="s">
        <v>197</v>
      </c>
    </row>
    <row r="196" spans="1:36" x14ac:dyDescent="0.35">
      <c r="A196" s="2">
        <v>3</v>
      </c>
      <c r="B196" s="15">
        <v>0.33402777777777776</v>
      </c>
      <c r="C196" s="21" t="s">
        <v>130</v>
      </c>
      <c r="AF196" s="5" t="s">
        <v>199</v>
      </c>
      <c r="AG196" s="5" t="s">
        <v>191</v>
      </c>
      <c r="AH196" s="5" t="s">
        <v>179</v>
      </c>
      <c r="AI196" s="5" t="s">
        <v>203</v>
      </c>
      <c r="AJ196" s="5" t="s">
        <v>182</v>
      </c>
    </row>
    <row r="197" spans="1:36" x14ac:dyDescent="0.35">
      <c r="A197" s="2">
        <v>3</v>
      </c>
      <c r="B197" s="15">
        <v>0.31319444444444444</v>
      </c>
      <c r="C197" s="21" t="s">
        <v>130</v>
      </c>
      <c r="AF197" s="5" t="s">
        <v>201</v>
      </c>
      <c r="AG197" s="5" t="s">
        <v>182</v>
      </c>
      <c r="AH197" s="5" t="s">
        <v>227</v>
      </c>
    </row>
    <row r="198" spans="1:36" x14ac:dyDescent="0.35">
      <c r="A198" s="2">
        <v>3</v>
      </c>
      <c r="B198" s="15">
        <v>0.2951388888888889</v>
      </c>
      <c r="C198" s="21" t="s">
        <v>130</v>
      </c>
      <c r="Y198" s="16" t="s">
        <v>177</v>
      </c>
      <c r="Z198" s="16" t="s">
        <v>221</v>
      </c>
      <c r="AA198" s="16" t="s">
        <v>179</v>
      </c>
      <c r="AC198" s="16" t="s">
        <v>185</v>
      </c>
      <c r="AD198" s="16" t="s">
        <v>179</v>
      </c>
      <c r="AE198" s="16" t="s">
        <v>179</v>
      </c>
      <c r="AF198" s="5" t="s">
        <v>200</v>
      </c>
      <c r="AG198" s="5" t="s">
        <v>182</v>
      </c>
    </row>
    <row r="199" spans="1:36" x14ac:dyDescent="0.35">
      <c r="A199" s="2">
        <v>3</v>
      </c>
      <c r="B199" s="15">
        <v>0.28541666666666665</v>
      </c>
      <c r="C199" s="21" t="s">
        <v>130</v>
      </c>
      <c r="Y199" s="16" t="s">
        <v>177</v>
      </c>
      <c r="Z199" s="16" t="s">
        <v>215</v>
      </c>
      <c r="AA199" s="16" t="s">
        <v>200</v>
      </c>
      <c r="AC199" s="16" t="s">
        <v>185</v>
      </c>
      <c r="AD199" s="16" t="s">
        <v>215</v>
      </c>
      <c r="AE199" s="16" t="s">
        <v>133</v>
      </c>
      <c r="AF199" s="5" t="s">
        <v>204</v>
      </c>
      <c r="AG199" s="5" t="s">
        <v>211</v>
      </c>
      <c r="AH199" s="5" t="s">
        <v>215</v>
      </c>
    </row>
    <row r="200" spans="1:36" x14ac:dyDescent="0.35">
      <c r="A200" s="2">
        <v>3</v>
      </c>
      <c r="B200" s="15">
        <v>0.26319444444444445</v>
      </c>
      <c r="C200" s="21" t="s">
        <v>130</v>
      </c>
      <c r="Y200" s="16" t="s">
        <v>177</v>
      </c>
      <c r="Z200" s="16" t="s">
        <v>206</v>
      </c>
      <c r="AA200" s="16" t="s">
        <v>179</v>
      </c>
      <c r="AC200" s="16" t="s">
        <v>195</v>
      </c>
      <c r="AD200" s="16" t="s">
        <v>179</v>
      </c>
      <c r="AE200" s="16" t="s">
        <v>179</v>
      </c>
      <c r="AF200" s="5" t="s">
        <v>206</v>
      </c>
      <c r="AG200" s="5" t="s">
        <v>213</v>
      </c>
    </row>
    <row r="201" spans="1:36" x14ac:dyDescent="0.35">
      <c r="A201" s="2">
        <v>3</v>
      </c>
      <c r="B201" s="15">
        <v>0.25555555555555554</v>
      </c>
      <c r="C201" s="21" t="s">
        <v>130</v>
      </c>
      <c r="Y201" s="16" t="s">
        <v>177</v>
      </c>
      <c r="Z201" s="16" t="s">
        <v>214</v>
      </c>
      <c r="AA201" s="16" t="s">
        <v>219</v>
      </c>
      <c r="AC201" s="16" t="s">
        <v>195</v>
      </c>
      <c r="AD201" s="16" t="s">
        <v>179</v>
      </c>
      <c r="AE201" s="16" t="s">
        <v>179</v>
      </c>
      <c r="AF201" s="5" t="s">
        <v>188</v>
      </c>
      <c r="AG201" s="5" t="s">
        <v>213</v>
      </c>
    </row>
    <row r="202" spans="1:36" x14ac:dyDescent="0.35">
      <c r="A202" s="2">
        <v>3</v>
      </c>
      <c r="B202" s="15">
        <v>0.24166666666666667</v>
      </c>
      <c r="C202" s="21" t="s">
        <v>130</v>
      </c>
      <c r="Y202" s="16" t="s">
        <v>180</v>
      </c>
      <c r="Z202" s="16" t="s">
        <v>207</v>
      </c>
      <c r="AA202" s="16" t="s">
        <v>194</v>
      </c>
      <c r="AB202" s="16" t="s">
        <v>179</v>
      </c>
      <c r="AC202" s="16" t="s">
        <v>185</v>
      </c>
      <c r="AD202" s="16" t="s">
        <v>179</v>
      </c>
      <c r="AE202" s="16" t="s">
        <v>179</v>
      </c>
      <c r="AF202" s="5" t="s">
        <v>207</v>
      </c>
      <c r="AG202" s="5" t="s">
        <v>191</v>
      </c>
      <c r="AH202" s="5" t="s">
        <v>179</v>
      </c>
      <c r="AI202" s="5" t="s">
        <v>204</v>
      </c>
      <c r="AJ202" s="5" t="s">
        <v>186</v>
      </c>
    </row>
    <row r="203" spans="1:36" x14ac:dyDescent="0.35">
      <c r="A203" s="2">
        <v>3</v>
      </c>
      <c r="B203" s="15">
        <v>0.21180555555555555</v>
      </c>
      <c r="C203" s="21" t="s">
        <v>130</v>
      </c>
      <c r="Y203" s="16" t="s">
        <v>177</v>
      </c>
      <c r="Z203" s="16" t="s">
        <v>225</v>
      </c>
      <c r="AA203" s="16" t="s">
        <v>203</v>
      </c>
      <c r="AC203" s="16" t="s">
        <v>185</v>
      </c>
      <c r="AD203" s="16" t="s">
        <v>179</v>
      </c>
      <c r="AE203" s="16" t="s">
        <v>179</v>
      </c>
      <c r="AF203" s="5" t="s">
        <v>203</v>
      </c>
      <c r="AG203" s="5" t="s">
        <v>182</v>
      </c>
    </row>
    <row r="204" spans="1:36" x14ac:dyDescent="0.35">
      <c r="A204" s="2">
        <v>3</v>
      </c>
      <c r="B204" s="15">
        <v>0.17152777777777778</v>
      </c>
      <c r="C204" s="21" t="s">
        <v>130</v>
      </c>
      <c r="Y204" s="16" t="s">
        <v>180</v>
      </c>
      <c r="Z204" s="16" t="s">
        <v>220</v>
      </c>
      <c r="AA204" s="16" t="s">
        <v>184</v>
      </c>
      <c r="AB204" s="16" t="s">
        <v>179</v>
      </c>
      <c r="AC204" s="16" t="s">
        <v>185</v>
      </c>
      <c r="AD204" s="16" t="s">
        <v>179</v>
      </c>
      <c r="AE204" s="16" t="s">
        <v>179</v>
      </c>
      <c r="AF204" s="5" t="s">
        <v>223</v>
      </c>
      <c r="AG204" s="5" t="s">
        <v>182</v>
      </c>
    </row>
    <row r="205" spans="1:36" x14ac:dyDescent="0.35">
      <c r="A205" s="2">
        <v>3</v>
      </c>
      <c r="B205" s="15">
        <v>0.16041666666666668</v>
      </c>
      <c r="C205" s="21" t="s">
        <v>130</v>
      </c>
      <c r="Y205" s="16" t="s">
        <v>180</v>
      </c>
      <c r="Z205" s="16" t="s">
        <v>212</v>
      </c>
      <c r="AA205" s="16" t="s">
        <v>218</v>
      </c>
      <c r="AB205" s="16" t="s">
        <v>179</v>
      </c>
      <c r="AC205" s="16" t="s">
        <v>180</v>
      </c>
      <c r="AD205" s="16" t="s">
        <v>179</v>
      </c>
      <c r="AE205" s="16" t="s">
        <v>179</v>
      </c>
    </row>
    <row r="206" spans="1:36" x14ac:dyDescent="0.35">
      <c r="A206" s="2">
        <v>3</v>
      </c>
      <c r="B206" s="15">
        <v>0.15138888888888888</v>
      </c>
      <c r="C206" s="21" t="s">
        <v>130</v>
      </c>
      <c r="Y206" s="16" t="s">
        <v>177</v>
      </c>
      <c r="Z206" s="16" t="s">
        <v>181</v>
      </c>
      <c r="AA206" s="16" t="s">
        <v>179</v>
      </c>
      <c r="AC206" s="16" t="s">
        <v>185</v>
      </c>
      <c r="AD206" s="16" t="s">
        <v>179</v>
      </c>
      <c r="AE206" s="16" t="s">
        <v>179</v>
      </c>
      <c r="AF206" s="5" t="s">
        <v>178</v>
      </c>
      <c r="AG206" s="5" t="s">
        <v>191</v>
      </c>
      <c r="AH206" s="5" t="s">
        <v>179</v>
      </c>
      <c r="AI206" s="5" t="s">
        <v>219</v>
      </c>
      <c r="AJ206" s="5" t="s">
        <v>182</v>
      </c>
    </row>
    <row r="207" spans="1:36" x14ac:dyDescent="0.35">
      <c r="A207" s="2">
        <v>3</v>
      </c>
      <c r="B207" s="15">
        <v>0.13541666666666666</v>
      </c>
      <c r="C207" s="21" t="s">
        <v>130</v>
      </c>
      <c r="Y207" s="16" t="s">
        <v>177</v>
      </c>
      <c r="Z207" s="16" t="s">
        <v>217</v>
      </c>
      <c r="AA207" s="16" t="s">
        <v>179</v>
      </c>
      <c r="AC207" s="16" t="s">
        <v>185</v>
      </c>
      <c r="AD207" s="16" t="s">
        <v>179</v>
      </c>
      <c r="AE207" s="16" t="s">
        <v>179</v>
      </c>
      <c r="AF207" s="5" t="s">
        <v>187</v>
      </c>
      <c r="AG207" s="5" t="s">
        <v>191</v>
      </c>
      <c r="AH207" s="5" t="s">
        <v>214</v>
      </c>
      <c r="AI207" s="5" t="s">
        <v>178</v>
      </c>
      <c r="AJ207" s="5" t="s">
        <v>186</v>
      </c>
    </row>
    <row r="208" spans="1:36" x14ac:dyDescent="0.35">
      <c r="A208" s="2">
        <v>3</v>
      </c>
      <c r="B208" s="15">
        <v>0.12569444444444444</v>
      </c>
      <c r="C208" s="21" t="s">
        <v>130</v>
      </c>
      <c r="Y208" s="16" t="s">
        <v>177</v>
      </c>
      <c r="Z208" s="16" t="s">
        <v>212</v>
      </c>
      <c r="AA208" s="16" t="s">
        <v>188</v>
      </c>
      <c r="AB208" s="16" t="s">
        <v>179</v>
      </c>
      <c r="AC208" s="16" t="s">
        <v>180</v>
      </c>
      <c r="AD208" s="16" t="s">
        <v>179</v>
      </c>
      <c r="AE208" s="16" t="s">
        <v>179</v>
      </c>
    </row>
    <row r="209" spans="1:36" x14ac:dyDescent="0.35">
      <c r="A209" s="2">
        <v>3</v>
      </c>
      <c r="B209" s="15">
        <v>0.11458333333333333</v>
      </c>
      <c r="C209" s="21" t="s">
        <v>130</v>
      </c>
      <c r="Y209" s="16" t="s">
        <v>177</v>
      </c>
      <c r="Z209" s="16" t="s">
        <v>204</v>
      </c>
      <c r="AA209" s="16" t="s">
        <v>179</v>
      </c>
      <c r="AC209" s="16" t="s">
        <v>195</v>
      </c>
      <c r="AD209" s="16" t="s">
        <v>228</v>
      </c>
      <c r="AE209" s="16" t="s">
        <v>179</v>
      </c>
    </row>
    <row r="210" spans="1:36" x14ac:dyDescent="0.35">
      <c r="A210" s="2">
        <v>3</v>
      </c>
      <c r="B210" s="15">
        <v>8.1250000000000003E-2</v>
      </c>
      <c r="C210" s="21" t="s">
        <v>130</v>
      </c>
      <c r="Y210" s="16" t="s">
        <v>198</v>
      </c>
      <c r="Z210" s="16" t="s">
        <v>193</v>
      </c>
      <c r="AA210" s="16" t="s">
        <v>221</v>
      </c>
      <c r="AC210" s="16" t="s">
        <v>195</v>
      </c>
      <c r="AD210" s="16" t="s">
        <v>179</v>
      </c>
      <c r="AE210" s="16" t="s">
        <v>179</v>
      </c>
      <c r="AF210" s="5" t="s">
        <v>221</v>
      </c>
      <c r="AG210" s="5" t="s">
        <v>191</v>
      </c>
      <c r="AH210" s="5" t="s">
        <v>179</v>
      </c>
      <c r="AI210" s="5" t="s">
        <v>201</v>
      </c>
      <c r="AJ210" s="5" t="s">
        <v>197</v>
      </c>
    </row>
    <row r="211" spans="1:36" x14ac:dyDescent="0.35">
      <c r="A211" s="2">
        <v>3</v>
      </c>
      <c r="B211" s="15">
        <v>6.25E-2</v>
      </c>
      <c r="C211" s="21" t="s">
        <v>130</v>
      </c>
      <c r="Y211" s="16" t="s">
        <v>177</v>
      </c>
      <c r="Z211" s="16" t="s">
        <v>214</v>
      </c>
      <c r="AA211" s="16" t="s">
        <v>187</v>
      </c>
      <c r="AC211" s="16" t="s">
        <v>180</v>
      </c>
      <c r="AD211" s="16" t="s">
        <v>179</v>
      </c>
      <c r="AE211" s="16" t="s">
        <v>179</v>
      </c>
      <c r="AF211" s="5" t="s">
        <v>187</v>
      </c>
      <c r="AG211" s="5" t="s">
        <v>191</v>
      </c>
      <c r="AH211" s="5" t="s">
        <v>179</v>
      </c>
      <c r="AI211" s="5" t="s">
        <v>178</v>
      </c>
      <c r="AJ211" s="5" t="s">
        <v>182</v>
      </c>
    </row>
    <row r="212" spans="1:36" x14ac:dyDescent="0.35">
      <c r="A212" s="2">
        <v>3</v>
      </c>
      <c r="B212" s="15">
        <v>5.5555555555555552E-2</v>
      </c>
      <c r="C212" s="21" t="s">
        <v>130</v>
      </c>
      <c r="Y212" s="16" t="s">
        <v>177</v>
      </c>
      <c r="Z212" s="16" t="s">
        <v>214</v>
      </c>
      <c r="AA212" s="16" t="s">
        <v>187</v>
      </c>
      <c r="AC212" s="16" t="s">
        <v>195</v>
      </c>
      <c r="AD212" s="16" t="s">
        <v>179</v>
      </c>
      <c r="AE212" s="16" t="s">
        <v>179</v>
      </c>
      <c r="AF212" s="5" t="s">
        <v>187</v>
      </c>
      <c r="AG212" s="5" t="s">
        <v>186</v>
      </c>
    </row>
    <row r="213" spans="1:36" x14ac:dyDescent="0.35">
      <c r="A213" s="2">
        <v>3</v>
      </c>
      <c r="B213" s="15">
        <v>5.0694444444444445E-2</v>
      </c>
      <c r="C213" s="21" t="s">
        <v>130</v>
      </c>
      <c r="Y213" s="16" t="s">
        <v>180</v>
      </c>
      <c r="Z213" s="16" t="s">
        <v>212</v>
      </c>
      <c r="AA213" s="16" t="s">
        <v>188</v>
      </c>
      <c r="AB213" s="16" t="s">
        <v>179</v>
      </c>
      <c r="AC213" s="16" t="s">
        <v>185</v>
      </c>
      <c r="AD213" s="16" t="s">
        <v>179</v>
      </c>
      <c r="AE213" s="16" t="s">
        <v>179</v>
      </c>
      <c r="AF213" s="5" t="s">
        <v>221</v>
      </c>
      <c r="AG213" s="5" t="s">
        <v>191</v>
      </c>
      <c r="AH213" s="5" t="s">
        <v>179</v>
      </c>
      <c r="AI213" s="5" t="s">
        <v>201</v>
      </c>
      <c r="AJ213" s="5" t="s">
        <v>213</v>
      </c>
    </row>
    <row r="214" spans="1:36" x14ac:dyDescent="0.35">
      <c r="A214" s="2">
        <v>3</v>
      </c>
      <c r="B214" s="15">
        <v>3.3333333333333333E-2</v>
      </c>
      <c r="C214" s="21" t="s">
        <v>130</v>
      </c>
      <c r="Y214" s="16" t="s">
        <v>177</v>
      </c>
      <c r="Z214" s="16" t="s">
        <v>201</v>
      </c>
      <c r="AA214" s="16" t="s">
        <v>204</v>
      </c>
      <c r="AC214" s="16" t="s">
        <v>185</v>
      </c>
      <c r="AD214" s="16" t="s">
        <v>179</v>
      </c>
      <c r="AE214" s="16" t="s">
        <v>179</v>
      </c>
      <c r="AF214" s="5" t="s">
        <v>203</v>
      </c>
      <c r="AG214" s="5" t="s">
        <v>197</v>
      </c>
      <c r="AH214" s="5" t="s">
        <v>222</v>
      </c>
    </row>
    <row r="215" spans="1:36" x14ac:dyDescent="0.35">
      <c r="A215" s="2">
        <v>3</v>
      </c>
      <c r="B215" s="15">
        <v>2.6388888888888889E-2</v>
      </c>
      <c r="C215" s="21" t="s">
        <v>130</v>
      </c>
      <c r="Y215" s="16" t="s">
        <v>180</v>
      </c>
      <c r="Z215" s="16" t="s">
        <v>212</v>
      </c>
      <c r="AA215" s="16" t="s">
        <v>188</v>
      </c>
      <c r="AB215" s="16" t="s">
        <v>179</v>
      </c>
      <c r="AC215" s="16" t="s">
        <v>185</v>
      </c>
      <c r="AD215" s="16" t="s">
        <v>179</v>
      </c>
      <c r="AE215" s="16" t="s">
        <v>179</v>
      </c>
      <c r="AF215" s="5" t="s">
        <v>187</v>
      </c>
      <c r="AG215" s="5" t="s">
        <v>186</v>
      </c>
    </row>
    <row r="216" spans="1:36" x14ac:dyDescent="0.35">
      <c r="A216" s="2">
        <v>4</v>
      </c>
      <c r="B216" s="15">
        <v>0.82638888888888884</v>
      </c>
      <c r="C216" s="21" t="s">
        <v>156</v>
      </c>
      <c r="Y216" s="16" t="s">
        <v>198</v>
      </c>
      <c r="Z216" s="16" t="s">
        <v>188</v>
      </c>
      <c r="AA216" s="16" t="s">
        <v>212</v>
      </c>
      <c r="AB216" s="16" t="s">
        <v>179</v>
      </c>
      <c r="AC216" s="16" t="s">
        <v>185</v>
      </c>
      <c r="AD216" s="16" t="s">
        <v>179</v>
      </c>
      <c r="AE216" s="16" t="s">
        <v>179</v>
      </c>
    </row>
    <row r="217" spans="1:36" x14ac:dyDescent="0.35">
      <c r="A217" s="2">
        <v>4</v>
      </c>
      <c r="B217" s="15">
        <v>0.81944444444444442</v>
      </c>
      <c r="C217" s="21" t="s">
        <v>156</v>
      </c>
      <c r="Y217" s="16" t="s">
        <v>180</v>
      </c>
      <c r="Z217" s="16" t="s">
        <v>217</v>
      </c>
      <c r="AA217" s="16" t="s">
        <v>179</v>
      </c>
      <c r="AB217" s="16" t="s">
        <v>150</v>
      </c>
      <c r="AC217" s="16" t="s">
        <v>195</v>
      </c>
      <c r="AD217" s="16" t="s">
        <v>179</v>
      </c>
      <c r="AE217" s="16" t="s">
        <v>179</v>
      </c>
    </row>
    <row r="218" spans="1:36" x14ac:dyDescent="0.35">
      <c r="A218" s="2">
        <v>4</v>
      </c>
      <c r="B218" s="15">
        <v>0.80208333333333337</v>
      </c>
      <c r="C218" s="21" t="s">
        <v>156</v>
      </c>
      <c r="Y218" s="16" t="s">
        <v>180</v>
      </c>
      <c r="Z218" s="16" t="s">
        <v>214</v>
      </c>
      <c r="AA218" s="16" t="s">
        <v>187</v>
      </c>
      <c r="AB218" s="16" t="s">
        <v>150</v>
      </c>
      <c r="AC218" s="16" t="s">
        <v>195</v>
      </c>
      <c r="AD218" s="16" t="s">
        <v>179</v>
      </c>
      <c r="AE218" s="16" t="s">
        <v>133</v>
      </c>
    </row>
    <row r="219" spans="1:36" x14ac:dyDescent="0.35">
      <c r="A219" s="2">
        <v>4</v>
      </c>
      <c r="B219" s="15">
        <v>0.78055555555555556</v>
      </c>
      <c r="C219" s="21" t="s">
        <v>156</v>
      </c>
      <c r="Y219" s="16" t="s">
        <v>180</v>
      </c>
      <c r="Z219" s="16" t="s">
        <v>214</v>
      </c>
      <c r="AA219" s="16" t="s">
        <v>179</v>
      </c>
      <c r="AB219" s="16" t="s">
        <v>150</v>
      </c>
      <c r="AC219" s="16" t="s">
        <v>185</v>
      </c>
      <c r="AD219" s="16" t="s">
        <v>179</v>
      </c>
      <c r="AE219" s="16" t="s">
        <v>150</v>
      </c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29" sqref="N2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230</v>
      </c>
      <c r="C2" s="8" t="s">
        <v>131</v>
      </c>
      <c r="D2" s="8" t="s">
        <v>180</v>
      </c>
      <c r="E2" s="8">
        <v>11.183333333333</v>
      </c>
      <c r="F2" s="8" t="s">
        <v>269</v>
      </c>
      <c r="G2" s="19" t="s">
        <v>270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0.43499999999999994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0.13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0.39999999999999997</v>
      </c>
    </row>
    <row r="3" spans="1:126" x14ac:dyDescent="0.35">
      <c r="A3" s="8">
        <v>38</v>
      </c>
      <c r="B3" s="8" t="s">
        <v>231</v>
      </c>
      <c r="C3" s="8" t="s">
        <v>131</v>
      </c>
      <c r="D3" s="8" t="s">
        <v>185</v>
      </c>
      <c r="E3" s="8">
        <v>14.283333333332999</v>
      </c>
      <c r="F3" s="8" t="s">
        <v>269</v>
      </c>
      <c r="G3" s="19" t="s">
        <v>270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10</v>
      </c>
      <c r="AD3" s="11">
        <f>COUNTIFS(Tracking!Z:Z,A3&amp;C3,Tracking!C:C,"5v5",Tracking!Y:Y,"C")</f>
        <v>8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2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4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3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1.8800000000000001</v>
      </c>
      <c r="CK3" s="2">
        <f t="shared" si="2"/>
        <v>0.63500000000000001</v>
      </c>
      <c r="CL3" s="2">
        <f t="shared" si="3"/>
        <v>0.52500000000000002</v>
      </c>
      <c r="CM3" s="2">
        <f t="shared" ref="CM3" si="8">(0.025*(AY3-AZ3))+(0.035*BA3)-(0.015*BB3)-(0.015*BC3)+(0.015*(AY3-(BD3+BC3)))</f>
        <v>0.04</v>
      </c>
      <c r="CN3" s="2">
        <f t="shared" si="4"/>
        <v>7.0000000000000007E-2</v>
      </c>
      <c r="CO3" s="2">
        <f t="shared" si="5"/>
        <v>1.4999999999999999E-2</v>
      </c>
      <c r="CP3" s="2">
        <f>(0.055*BM3)+(0.055*BN3)+(0.035*BO3)+(0.035*BQ3)+(0.055*BH3)+(0.035*BI3)+(0.035*BG3)+0.25</f>
        <v>0.59499999999999997</v>
      </c>
      <c r="CQ3" s="2">
        <f t="shared" si="7"/>
        <v>1.2850000000000001</v>
      </c>
    </row>
    <row r="4" spans="1:126" x14ac:dyDescent="0.35">
      <c r="A4" s="8">
        <v>21</v>
      </c>
      <c r="B4" s="8" t="s">
        <v>232</v>
      </c>
      <c r="C4" s="8" t="s">
        <v>131</v>
      </c>
      <c r="D4" s="8" t="s">
        <v>180</v>
      </c>
      <c r="E4" s="8">
        <v>9.4499999999999993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6</v>
      </c>
      <c r="BF4" s="10">
        <f>COUNTIFS(Tracking!Z:Z,A4&amp;C4,Tracking!C:C,"5v4",Tracking!Y:Y,"C")</f>
        <v>3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0.36499999999999999</v>
      </c>
      <c r="CK4" s="2">
        <f t="shared" si="2"/>
        <v>0.13</v>
      </c>
      <c r="CL4" s="2">
        <f t="shared" si="3"/>
        <v>4.4999999999999998E-2</v>
      </c>
      <c r="CM4" s="2">
        <f>(0.015*(AY4-AZ4))+(0.035*BA4)-(0.015*BB4)-(0.025*BC4)+(0.015*(AY4-(BD4+BC4)))</f>
        <v>1.4999999999999999E-2</v>
      </c>
      <c r="CN4" s="2">
        <f t="shared" si="4"/>
        <v>0.05</v>
      </c>
      <c r="CO4" s="2">
        <f t="shared" si="5"/>
        <v>0</v>
      </c>
      <c r="CP4" s="2">
        <f t="shared" si="6"/>
        <v>0.125</v>
      </c>
      <c r="CQ4" s="2">
        <f t="shared" si="7"/>
        <v>0.24</v>
      </c>
    </row>
    <row r="5" spans="1:126" x14ac:dyDescent="0.35">
      <c r="A5" s="8">
        <v>51</v>
      </c>
      <c r="B5" s="8" t="s">
        <v>233</v>
      </c>
      <c r="C5" s="8" t="s">
        <v>131</v>
      </c>
      <c r="D5" s="8" t="s">
        <v>177</v>
      </c>
      <c r="E5" s="8">
        <v>7.3</v>
      </c>
      <c r="F5" s="8" t="s">
        <v>269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0.27500000000000002</v>
      </c>
      <c r="CK5" s="2">
        <f t="shared" si="2"/>
        <v>0.17499999999999999</v>
      </c>
      <c r="CL5" s="2">
        <f t="shared" si="3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8.5000000000000006E-2</v>
      </c>
      <c r="CO5" s="2">
        <f t="shared" si="5"/>
        <v>0</v>
      </c>
      <c r="CP5" s="2">
        <f t="shared" si="6"/>
        <v>0</v>
      </c>
      <c r="CQ5" s="2">
        <f t="shared" si="7"/>
        <v>0.27500000000000002</v>
      </c>
    </row>
    <row r="6" spans="1:126" x14ac:dyDescent="0.35">
      <c r="A6" s="8">
        <v>14</v>
      </c>
      <c r="B6" s="8" t="s">
        <v>234</v>
      </c>
      <c r="C6" s="8" t="s">
        <v>131</v>
      </c>
      <c r="D6" s="8" t="s">
        <v>180</v>
      </c>
      <c r="E6" s="8">
        <v>8.1999999999999993</v>
      </c>
      <c r="F6" s="8" t="s">
        <v>269</v>
      </c>
      <c r="G6" s="19" t="s">
        <v>270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0.125</v>
      </c>
      <c r="CK6" s="2">
        <f t="shared" si="2"/>
        <v>0</v>
      </c>
      <c r="CL6" s="2">
        <f t="shared" si="3"/>
        <v>0</v>
      </c>
      <c r="CM6" s="2">
        <f t="shared" si="9"/>
        <v>0</v>
      </c>
      <c r="CN6" s="2">
        <f t="shared" si="4"/>
        <v>0.11000000000000001</v>
      </c>
      <c r="CO6" s="2">
        <f t="shared" si="5"/>
        <v>1.4999999999999999E-2</v>
      </c>
      <c r="CP6" s="2">
        <f t="shared" si="6"/>
        <v>0</v>
      </c>
      <c r="CQ6" s="2">
        <f t="shared" si="7"/>
        <v>0.125</v>
      </c>
    </row>
    <row r="7" spans="1:126" x14ac:dyDescent="0.35">
      <c r="A7" s="8">
        <v>10</v>
      </c>
      <c r="B7" s="8" t="s">
        <v>235</v>
      </c>
      <c r="C7" s="8" t="s">
        <v>131</v>
      </c>
      <c r="D7" s="8" t="s">
        <v>195</v>
      </c>
      <c r="E7" s="8">
        <v>8.5500000000000007</v>
      </c>
      <c r="F7" s="8" t="s">
        <v>269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0.41499999999999992</v>
      </c>
      <c r="CK7" s="2">
        <f t="shared" si="2"/>
        <v>0.21999999999999997</v>
      </c>
      <c r="CL7" s="2">
        <f t="shared" si="3"/>
        <v>0.1</v>
      </c>
      <c r="CM7" s="2">
        <f t="shared" si="9"/>
        <v>0</v>
      </c>
      <c r="CN7" s="2">
        <f t="shared" si="4"/>
        <v>9.5000000000000001E-2</v>
      </c>
      <c r="CO7" s="2">
        <f t="shared" si="5"/>
        <v>0</v>
      </c>
      <c r="CP7" s="2">
        <f t="shared" si="6"/>
        <v>0</v>
      </c>
      <c r="CQ7" s="2">
        <f t="shared" si="7"/>
        <v>0.41499999999999992</v>
      </c>
    </row>
    <row r="8" spans="1:126" x14ac:dyDescent="0.35">
      <c r="A8" s="8">
        <v>43</v>
      </c>
      <c r="B8" s="8" t="s">
        <v>236</v>
      </c>
      <c r="C8" s="8" t="s">
        <v>131</v>
      </c>
      <c r="D8" s="8" t="s">
        <v>177</v>
      </c>
      <c r="E8" s="8">
        <v>15.216666666667001</v>
      </c>
      <c r="F8" s="8" t="s">
        <v>269</v>
      </c>
      <c r="G8" s="19" t="s">
        <v>270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5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4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0.90500000000000003</v>
      </c>
      <c r="CK8" s="2">
        <f t="shared" si="2"/>
        <v>0.38999999999999996</v>
      </c>
      <c r="CL8" s="2">
        <f t="shared" si="3"/>
        <v>0</v>
      </c>
      <c r="CM8" s="2">
        <f t="shared" si="9"/>
        <v>0.105</v>
      </c>
      <c r="CN8" s="2">
        <f t="shared" si="4"/>
        <v>-2.0000000000000004E-2</v>
      </c>
      <c r="CO8" s="2">
        <f t="shared" si="5"/>
        <v>1.4999999999999999E-2</v>
      </c>
      <c r="CP8" s="2">
        <f>(0.055*BM8)+(0.055*BN8)+(0.035*BO8)+(0.035*BQ8)+(0.055*BH8)+(0.035*BI8)+(0.035*BG8)+0.25</f>
        <v>0.41500000000000004</v>
      </c>
      <c r="CQ8" s="2">
        <f t="shared" si="7"/>
        <v>0.48999999999999994</v>
      </c>
    </row>
    <row r="9" spans="1:126" x14ac:dyDescent="0.35">
      <c r="A9" s="8">
        <v>17</v>
      </c>
      <c r="B9" s="8" t="s">
        <v>237</v>
      </c>
      <c r="C9" s="8" t="s">
        <v>131</v>
      </c>
      <c r="D9" s="8" t="s">
        <v>180</v>
      </c>
      <c r="E9" s="8">
        <v>7.3</v>
      </c>
      <c r="F9" s="8" t="s">
        <v>269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0.58500000000000008</v>
      </c>
      <c r="CK9" s="2">
        <f t="shared" si="2"/>
        <v>0.34</v>
      </c>
      <c r="CL9" s="2">
        <f t="shared" si="3"/>
        <v>0.09</v>
      </c>
      <c r="CM9" s="2">
        <f t="shared" si="9"/>
        <v>0</v>
      </c>
      <c r="CN9" s="2">
        <f t="shared" si="4"/>
        <v>3.5000000000000003E-2</v>
      </c>
      <c r="CO9" s="2">
        <f t="shared" si="5"/>
        <v>0.12</v>
      </c>
      <c r="CP9" s="2">
        <f t="shared" si="6"/>
        <v>0</v>
      </c>
      <c r="CQ9" s="2">
        <f t="shared" si="7"/>
        <v>0.58500000000000008</v>
      </c>
    </row>
    <row r="10" spans="1:126" x14ac:dyDescent="0.35">
      <c r="A10" s="8">
        <v>78</v>
      </c>
      <c r="B10" s="8" t="s">
        <v>238</v>
      </c>
      <c r="C10" s="8" t="s">
        <v>131</v>
      </c>
      <c r="D10" s="8" t="s">
        <v>177</v>
      </c>
      <c r="E10" s="8">
        <v>14.716666666667001</v>
      </c>
      <c r="F10" s="8" t="s">
        <v>269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0.35000000000000003</v>
      </c>
      <c r="CK10" s="2">
        <f t="shared" si="2"/>
        <v>0.12000000000000001</v>
      </c>
      <c r="CL10" s="2">
        <f t="shared" si="3"/>
        <v>0.14499999999999999</v>
      </c>
      <c r="CM10" s="2">
        <f t="shared" si="9"/>
        <v>0.06</v>
      </c>
      <c r="CN10" s="2">
        <f t="shared" si="4"/>
        <v>2.5000000000000001E-2</v>
      </c>
      <c r="CO10" s="2">
        <f t="shared" si="5"/>
        <v>0</v>
      </c>
      <c r="CP10" s="2">
        <f t="shared" si="6"/>
        <v>0</v>
      </c>
      <c r="CQ10" s="2">
        <f t="shared" si="7"/>
        <v>0.35000000000000003</v>
      </c>
    </row>
    <row r="11" spans="1:126" x14ac:dyDescent="0.35">
      <c r="A11" s="8">
        <v>81</v>
      </c>
      <c r="B11" s="8" t="s">
        <v>239</v>
      </c>
      <c r="C11" s="8" t="s">
        <v>131</v>
      </c>
      <c r="D11" s="8" t="s">
        <v>177</v>
      </c>
      <c r="E11" s="8">
        <v>15.033333333332999</v>
      </c>
      <c r="F11" s="8" t="s">
        <v>269</v>
      </c>
      <c r="G11" s="19" t="s">
        <v>270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0.53500000000000003</v>
      </c>
      <c r="CK11" s="2">
        <f t="shared" si="2"/>
        <v>0.29499999999999998</v>
      </c>
      <c r="CL11" s="2">
        <f t="shared" si="3"/>
        <v>0</v>
      </c>
      <c r="CM11" s="2">
        <f t="shared" si="9"/>
        <v>9.5000000000000001E-2</v>
      </c>
      <c r="CN11" s="2">
        <f t="shared" si="4"/>
        <v>0.14500000000000002</v>
      </c>
      <c r="CO11" s="2">
        <f t="shared" si="5"/>
        <v>0</v>
      </c>
      <c r="CP11" s="2">
        <f t="shared" si="6"/>
        <v>0</v>
      </c>
      <c r="CQ11" s="2">
        <f t="shared" si="7"/>
        <v>0.53500000000000003</v>
      </c>
    </row>
    <row r="12" spans="1:126" x14ac:dyDescent="0.35">
      <c r="A12" s="8">
        <v>93</v>
      </c>
      <c r="B12" s="8" t="s">
        <v>240</v>
      </c>
      <c r="C12" s="8" t="s">
        <v>131</v>
      </c>
      <c r="D12" s="8" t="s">
        <v>180</v>
      </c>
      <c r="E12" s="8">
        <v>10.066666666667</v>
      </c>
      <c r="F12" s="8" t="s">
        <v>269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0.57000000000000006</v>
      </c>
      <c r="CK12" s="2">
        <f t="shared" si="2"/>
        <v>0.35000000000000003</v>
      </c>
      <c r="CL12" s="2">
        <f t="shared" si="3"/>
        <v>0.13500000000000001</v>
      </c>
      <c r="CM12" s="2">
        <f t="shared" si="9"/>
        <v>0</v>
      </c>
      <c r="CN12" s="2">
        <f t="shared" si="4"/>
        <v>2.5000000000000001E-2</v>
      </c>
      <c r="CO12" s="2">
        <f t="shared" si="5"/>
        <v>0.06</v>
      </c>
      <c r="CP12" s="2">
        <f t="shared" si="6"/>
        <v>0</v>
      </c>
      <c r="CQ12" s="2">
        <f t="shared" si="7"/>
        <v>0.57000000000000006</v>
      </c>
    </row>
    <row r="13" spans="1:126" x14ac:dyDescent="0.35">
      <c r="A13" s="8">
        <v>90</v>
      </c>
      <c r="B13" s="8" t="s">
        <v>241</v>
      </c>
      <c r="C13" s="8" t="s">
        <v>131</v>
      </c>
      <c r="D13" s="8" t="s">
        <v>177</v>
      </c>
      <c r="E13" s="8">
        <v>18.966666666666999</v>
      </c>
      <c r="F13" s="8" t="s">
        <v>269</v>
      </c>
      <c r="G13" s="19" t="s">
        <v>270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12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3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0.35000000000000003</v>
      </c>
      <c r="CK13" s="2">
        <f t="shared" si="2"/>
        <v>7.0000000000000007E-2</v>
      </c>
      <c r="CL13" s="2">
        <f t="shared" si="3"/>
        <v>0</v>
      </c>
      <c r="CM13" s="2">
        <f t="shared" si="9"/>
        <v>0.28000000000000003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0.35000000000000003</v>
      </c>
    </row>
    <row r="14" spans="1:126" x14ac:dyDescent="0.35">
      <c r="A14" s="8">
        <v>59</v>
      </c>
      <c r="B14" s="8" t="s">
        <v>242</v>
      </c>
      <c r="C14" s="8" t="s">
        <v>131</v>
      </c>
      <c r="D14" s="8" t="s">
        <v>180</v>
      </c>
      <c r="E14" s="8">
        <v>13.466666666667001</v>
      </c>
      <c r="F14" s="8" t="s">
        <v>269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4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7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3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1.0350000000000001</v>
      </c>
      <c r="CK14" s="2">
        <f t="shared" si="2"/>
        <v>0.315</v>
      </c>
      <c r="CL14" s="2">
        <f t="shared" si="3"/>
        <v>4.4999999999999998E-2</v>
      </c>
      <c r="CM14" s="2">
        <f t="shared" si="9"/>
        <v>0.03</v>
      </c>
      <c r="CN14" s="2">
        <f t="shared" si="4"/>
        <v>0.11000000000000001</v>
      </c>
      <c r="CO14" s="2">
        <f t="shared" si="5"/>
        <v>1.4999999999999999E-2</v>
      </c>
      <c r="CP14" s="2">
        <f>(0.055*BM14)+(0.055*BN14)+(0.035*BO14)+(0.035*BQ14)+(0.055*BH14)+(0.035*BI14)+(0.035*BG14)+0.15+0.15</f>
        <v>0.52</v>
      </c>
      <c r="CQ14" s="2">
        <f t="shared" si="7"/>
        <v>0.51500000000000001</v>
      </c>
    </row>
    <row r="15" spans="1:126" x14ac:dyDescent="0.35">
      <c r="A15" s="8">
        <v>20</v>
      </c>
      <c r="B15" s="8" t="s">
        <v>243</v>
      </c>
      <c r="C15" s="8" t="s">
        <v>131</v>
      </c>
      <c r="D15" s="8" t="s">
        <v>185</v>
      </c>
      <c r="E15" s="8">
        <v>13.283333333332999</v>
      </c>
      <c r="F15" s="8" t="s">
        <v>269</v>
      </c>
      <c r="G15" s="19" t="s">
        <v>270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9.9999999999999964E-2</v>
      </c>
      <c r="CK15" s="2">
        <f t="shared" si="2"/>
        <v>0.245</v>
      </c>
      <c r="CL15" s="2">
        <f t="shared" si="3"/>
        <v>-9.0000000000000011E-2</v>
      </c>
      <c r="CM15" s="2">
        <f t="shared" si="9"/>
        <v>0</v>
      </c>
      <c r="CN15" s="2">
        <f t="shared" si="4"/>
        <v>-7.0000000000000007E-2</v>
      </c>
      <c r="CO15" s="2">
        <f t="shared" si="5"/>
        <v>1.4999999999999999E-2</v>
      </c>
      <c r="CP15" s="2">
        <f t="shared" si="6"/>
        <v>0</v>
      </c>
      <c r="CQ15" s="2">
        <f t="shared" si="7"/>
        <v>9.9999999999999964E-2</v>
      </c>
    </row>
    <row r="16" spans="1:126" x14ac:dyDescent="0.35">
      <c r="A16" s="8">
        <v>86</v>
      </c>
      <c r="B16" s="8" t="s">
        <v>244</v>
      </c>
      <c r="C16" s="8" t="s">
        <v>131</v>
      </c>
      <c r="D16" s="8" t="s">
        <v>195</v>
      </c>
      <c r="E16" s="8">
        <v>9.4166666666666998</v>
      </c>
      <c r="F16" s="8" t="s">
        <v>269</v>
      </c>
      <c r="G16" s="19" t="s">
        <v>270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9</v>
      </c>
      <c r="BL16" s="10">
        <f>COUNTIFS(Tracking!G:G,A16,Tracking!D:D,C16,Tracking!C:C,"5v4")</f>
        <v>5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2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1.28</v>
      </c>
      <c r="CK16" s="2">
        <f t="shared" si="2"/>
        <v>0.51</v>
      </c>
      <c r="CL16" s="2">
        <f t="shared" si="3"/>
        <v>0.18</v>
      </c>
      <c r="CM16" s="2">
        <f t="shared" si="9"/>
        <v>0</v>
      </c>
      <c r="CN16" s="2">
        <f t="shared" si="4"/>
        <v>6.0000000000000005E-2</v>
      </c>
      <c r="CO16" s="2">
        <f t="shared" si="5"/>
        <v>1.4999999999999999E-2</v>
      </c>
      <c r="CP16" s="2">
        <f>(0.055*BM16)+(0.055*BN16)+(0.035*BO16)+(0.035*BQ16)+(0.055*BH16)+(0.035*BI16)+(0.035*BG16)+0.15+0.15</f>
        <v>0.51500000000000001</v>
      </c>
      <c r="CQ16" s="2">
        <f t="shared" si="7"/>
        <v>0.76500000000000001</v>
      </c>
    </row>
    <row r="17" spans="1:95" x14ac:dyDescent="0.35">
      <c r="A17" s="8">
        <v>27</v>
      </c>
      <c r="B17" s="8" t="s">
        <v>245</v>
      </c>
      <c r="C17" s="8" t="s">
        <v>131</v>
      </c>
      <c r="D17" s="8" t="s">
        <v>177</v>
      </c>
      <c r="E17" s="8">
        <v>15.15</v>
      </c>
      <c r="F17" s="8" t="s">
        <v>269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4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0.76500000000000001</v>
      </c>
      <c r="CK17" s="2">
        <f t="shared" si="2"/>
        <v>0.125</v>
      </c>
      <c r="CL17" s="2">
        <f t="shared" si="3"/>
        <v>4.4999999999999998E-2</v>
      </c>
      <c r="CM17" s="2">
        <f t="shared" si="9"/>
        <v>0.15</v>
      </c>
      <c r="CN17" s="2">
        <f t="shared" si="4"/>
        <v>0.39</v>
      </c>
      <c r="CO17" s="2">
        <f t="shared" si="5"/>
        <v>0</v>
      </c>
      <c r="CP17" s="2">
        <f t="shared" si="6"/>
        <v>5.5E-2</v>
      </c>
      <c r="CQ17" s="2">
        <f t="shared" si="7"/>
        <v>0.71</v>
      </c>
    </row>
    <row r="18" spans="1:95" x14ac:dyDescent="0.35">
      <c r="A18" s="8">
        <v>37</v>
      </c>
      <c r="B18" s="8" t="s">
        <v>246</v>
      </c>
      <c r="C18" s="8" t="s">
        <v>131</v>
      </c>
      <c r="D18" s="8" t="s">
        <v>180</v>
      </c>
      <c r="E18" s="8">
        <v>14.066666666667</v>
      </c>
      <c r="F18" s="8" t="s">
        <v>269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0.76500000000000012</v>
      </c>
      <c r="CK18" s="2">
        <f t="shared" si="2"/>
        <v>0.30500000000000005</v>
      </c>
      <c r="CL18" s="2">
        <f t="shared" si="3"/>
        <v>0.14500000000000002</v>
      </c>
      <c r="CM18" s="2">
        <f t="shared" si="9"/>
        <v>0.08</v>
      </c>
      <c r="CN18" s="2">
        <f t="shared" si="4"/>
        <v>0.20500000000000002</v>
      </c>
      <c r="CO18" s="2">
        <f t="shared" si="5"/>
        <v>0.03</v>
      </c>
      <c r="CP18" s="2">
        <f t="shared" si="6"/>
        <v>0</v>
      </c>
      <c r="CQ18" s="2">
        <f t="shared" si="7"/>
        <v>0.76500000000000012</v>
      </c>
    </row>
    <row r="19" spans="1:95" x14ac:dyDescent="0.35">
      <c r="A19" s="8">
        <v>28</v>
      </c>
      <c r="B19" s="8" t="s">
        <v>247</v>
      </c>
      <c r="C19" s="8" t="s">
        <v>131</v>
      </c>
      <c r="D19" s="8" t="s">
        <v>180</v>
      </c>
      <c r="E19" s="8">
        <v>10.016666666667</v>
      </c>
      <c r="F19" s="8" t="s">
        <v>269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0.24000000000000002</v>
      </c>
      <c r="CK19" s="2">
        <f t="shared" si="2"/>
        <v>7.4999999999999997E-2</v>
      </c>
      <c r="CL19" s="2">
        <f t="shared" si="3"/>
        <v>0</v>
      </c>
      <c r="CM19" s="2">
        <f t="shared" si="9"/>
        <v>0</v>
      </c>
      <c r="CN19" s="2">
        <f t="shared" si="4"/>
        <v>8.5000000000000006E-2</v>
      </c>
      <c r="CO19" s="2">
        <f t="shared" si="5"/>
        <v>4.4999999999999998E-2</v>
      </c>
      <c r="CP19" s="2">
        <f t="shared" si="6"/>
        <v>3.5000000000000003E-2</v>
      </c>
      <c r="CQ19" s="2">
        <f t="shared" si="7"/>
        <v>0.20500000000000002</v>
      </c>
    </row>
    <row r="20" spans="1:95" x14ac:dyDescent="0.35">
      <c r="A20" s="8">
        <v>15</v>
      </c>
      <c r="B20" s="8" t="s">
        <v>248</v>
      </c>
      <c r="C20" s="8" t="s">
        <v>144</v>
      </c>
      <c r="D20" s="8" t="s">
        <v>180</v>
      </c>
      <c r="E20" s="8">
        <v>10.383333333333001</v>
      </c>
      <c r="F20" s="8" t="s">
        <v>269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0.34499999999999997</v>
      </c>
      <c r="CK20" s="2">
        <f t="shared" si="2"/>
        <v>0.22500000000000001</v>
      </c>
      <c r="CL20" s="2">
        <f t="shared" si="3"/>
        <v>3.5000000000000003E-2</v>
      </c>
      <c r="CM20" s="2">
        <f t="shared" si="9"/>
        <v>-0.04</v>
      </c>
      <c r="CN20" s="2">
        <f t="shared" si="4"/>
        <v>0</v>
      </c>
      <c r="CO20" s="2">
        <f t="shared" si="5"/>
        <v>0.09</v>
      </c>
      <c r="CP20" s="2">
        <f t="shared" si="6"/>
        <v>3.5000000000000003E-2</v>
      </c>
      <c r="CQ20" s="2">
        <f t="shared" si="7"/>
        <v>0.31</v>
      </c>
    </row>
    <row r="21" spans="1:95" x14ac:dyDescent="0.35">
      <c r="A21" s="8">
        <v>45</v>
      </c>
      <c r="B21" s="8" t="s">
        <v>249</v>
      </c>
      <c r="C21" s="8" t="s">
        <v>144</v>
      </c>
      <c r="D21" s="8" t="s">
        <v>177</v>
      </c>
      <c r="E21" s="8">
        <v>13.55</v>
      </c>
      <c r="F21" s="8" t="s">
        <v>269</v>
      </c>
      <c r="G21" s="19" t="s">
        <v>270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0.54500000000000004</v>
      </c>
      <c r="CK21" s="2">
        <f t="shared" si="2"/>
        <v>0.26</v>
      </c>
      <c r="CL21" s="2">
        <f t="shared" si="3"/>
        <v>0</v>
      </c>
      <c r="CM21" s="2">
        <f t="shared" si="9"/>
        <v>0.105</v>
      </c>
      <c r="CN21" s="2">
        <f t="shared" si="4"/>
        <v>0.13</v>
      </c>
      <c r="CO21" s="2">
        <f t="shared" si="5"/>
        <v>1.4999999999999999E-2</v>
      </c>
      <c r="CP21" s="2">
        <f t="shared" si="6"/>
        <v>3.5000000000000003E-2</v>
      </c>
      <c r="CQ21" s="2">
        <f t="shared" si="7"/>
        <v>0.51</v>
      </c>
    </row>
    <row r="22" spans="1:95" x14ac:dyDescent="0.35">
      <c r="A22" s="8">
        <v>85</v>
      </c>
      <c r="B22" s="8" t="s">
        <v>250</v>
      </c>
      <c r="C22" s="8" t="s">
        <v>144</v>
      </c>
      <c r="D22" s="8" t="s">
        <v>185</v>
      </c>
      <c r="E22" s="8">
        <v>9.6</v>
      </c>
      <c r="F22" s="8" t="s">
        <v>269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0.8600000000000001</v>
      </c>
      <c r="CK22" s="2">
        <f t="shared" si="2"/>
        <v>0.53</v>
      </c>
      <c r="CL22" s="2">
        <f t="shared" si="3"/>
        <v>0.245</v>
      </c>
      <c r="CM22" s="2">
        <f t="shared" si="9"/>
        <v>0.03</v>
      </c>
      <c r="CN22" s="2">
        <f t="shared" si="4"/>
        <v>2.5000000000000001E-2</v>
      </c>
      <c r="CO22" s="2">
        <f t="shared" si="5"/>
        <v>0.03</v>
      </c>
      <c r="CP22" s="2">
        <f t="shared" si="6"/>
        <v>0</v>
      </c>
      <c r="CQ22" s="2">
        <f t="shared" si="7"/>
        <v>0.8600000000000001</v>
      </c>
    </row>
    <row r="23" spans="1:95" x14ac:dyDescent="0.35">
      <c r="A23" s="8">
        <v>72</v>
      </c>
      <c r="B23" s="8" t="s">
        <v>251</v>
      </c>
      <c r="C23" s="8" t="s">
        <v>144</v>
      </c>
      <c r="D23" s="8" t="s">
        <v>177</v>
      </c>
      <c r="E23" s="8">
        <v>10.933333333333</v>
      </c>
      <c r="F23" s="8" t="s">
        <v>269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6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0.36499999999999999</v>
      </c>
      <c r="CK23" s="2">
        <f t="shared" si="2"/>
        <v>0.23500000000000001</v>
      </c>
      <c r="CL23" s="2">
        <f t="shared" si="3"/>
        <v>0</v>
      </c>
      <c r="CM23" s="2">
        <f t="shared" si="9"/>
        <v>0.105</v>
      </c>
      <c r="CN23" s="2">
        <f t="shared" si="4"/>
        <v>2.4999999999999994E-2</v>
      </c>
      <c r="CO23" s="2">
        <f t="shared" si="5"/>
        <v>0</v>
      </c>
      <c r="CP23" s="2">
        <f t="shared" si="6"/>
        <v>0</v>
      </c>
      <c r="CQ23" s="2">
        <f t="shared" si="7"/>
        <v>0.36499999999999999</v>
      </c>
    </row>
    <row r="24" spans="1:95" x14ac:dyDescent="0.35">
      <c r="A24" s="8">
        <v>13</v>
      </c>
      <c r="B24" s="8" t="s">
        <v>252</v>
      </c>
      <c r="C24" s="8" t="s">
        <v>144</v>
      </c>
      <c r="D24" s="8" t="s">
        <v>195</v>
      </c>
      <c r="E24" s="8">
        <v>13.333333333333</v>
      </c>
      <c r="F24" s="8" t="s">
        <v>269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0.625</v>
      </c>
      <c r="CK24" s="2">
        <f t="shared" si="2"/>
        <v>0</v>
      </c>
      <c r="CL24" s="2">
        <f t="shared" si="3"/>
        <v>0.09</v>
      </c>
      <c r="CM24" s="2">
        <f t="shared" si="9"/>
        <v>0</v>
      </c>
      <c r="CN24" s="2">
        <f t="shared" si="4"/>
        <v>-3.5000000000000003E-2</v>
      </c>
      <c r="CO24" s="2">
        <f t="shared" si="5"/>
        <v>0</v>
      </c>
      <c r="CP24" s="2">
        <f>(0.055*BM24)+(0.055*BN24)+(0.035*BO24)+(0.035*BQ24)+(0.055*BH24)+(0.035*BI24)+(0.035*BG24)+0.15+0.15</f>
        <v>0.57000000000000006</v>
      </c>
      <c r="CQ24" s="2">
        <f t="shared" si="7"/>
        <v>5.4999999999999993E-2</v>
      </c>
    </row>
    <row r="25" spans="1:95" x14ac:dyDescent="0.35">
      <c r="A25" s="8">
        <v>93</v>
      </c>
      <c r="B25" s="8" t="s">
        <v>253</v>
      </c>
      <c r="C25" s="8" t="s">
        <v>144</v>
      </c>
      <c r="D25" s="8" t="s">
        <v>195</v>
      </c>
      <c r="E25" s="8">
        <v>10.033333333332999</v>
      </c>
      <c r="F25" s="8" t="s">
        <v>269</v>
      </c>
      <c r="G25" s="19" t="s">
        <v>270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5</v>
      </c>
      <c r="BL25" s="10">
        <f>COUNTIFS(Tracking!G:G,A25,Tracking!D:D,C25,Tracking!C:C,"5v4")</f>
        <v>3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3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1.1200000000000001</v>
      </c>
      <c r="CK25" s="2">
        <f t="shared" si="2"/>
        <v>0.52500000000000002</v>
      </c>
      <c r="CL25" s="2">
        <f t="shared" si="3"/>
        <v>9.0000000000000011E-2</v>
      </c>
      <c r="CM25" s="2">
        <f t="shared" si="9"/>
        <v>0</v>
      </c>
      <c r="CN25" s="2">
        <f t="shared" si="4"/>
        <v>7.0000000000000007E-2</v>
      </c>
      <c r="CO25" s="2">
        <f t="shared" si="5"/>
        <v>0.03</v>
      </c>
      <c r="CP25" s="2">
        <f>(0.055*BM25)+(0.055*BN25)+(0.035*BO25)+(0.035*BQ25)+(0.055*BH25)+(0.035*BI25)+(0.035*BG25)+0.15</f>
        <v>0.40500000000000003</v>
      </c>
      <c r="CQ25" s="2">
        <f t="shared" si="7"/>
        <v>0.71500000000000008</v>
      </c>
    </row>
    <row r="26" spans="1:95" x14ac:dyDescent="0.35">
      <c r="A26" s="8">
        <v>71</v>
      </c>
      <c r="B26" s="8" t="s">
        <v>254</v>
      </c>
      <c r="C26" s="8" t="s">
        <v>144</v>
      </c>
      <c r="D26" s="8" t="s">
        <v>180</v>
      </c>
      <c r="E26" s="8">
        <v>9.7333333333333005</v>
      </c>
      <c r="F26" s="8" t="s">
        <v>269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0.28000000000000003</v>
      </c>
      <c r="CK26" s="2">
        <f t="shared" si="2"/>
        <v>5.5E-2</v>
      </c>
      <c r="CL26" s="2">
        <f t="shared" si="3"/>
        <v>0</v>
      </c>
      <c r="CM26" s="2">
        <f t="shared" si="9"/>
        <v>0</v>
      </c>
      <c r="CN26" s="2">
        <f t="shared" si="4"/>
        <v>0.11000000000000001</v>
      </c>
      <c r="CO26" s="2">
        <f t="shared" si="5"/>
        <v>0.06</v>
      </c>
      <c r="CP26" s="2">
        <f t="shared" si="6"/>
        <v>5.5E-2</v>
      </c>
      <c r="CQ26" s="2">
        <f t="shared" si="7"/>
        <v>0.22500000000000001</v>
      </c>
    </row>
    <row r="27" spans="1:95" x14ac:dyDescent="0.35">
      <c r="A27" s="8">
        <v>47</v>
      </c>
      <c r="B27" s="8" t="s">
        <v>255</v>
      </c>
      <c r="C27" s="8" t="s">
        <v>144</v>
      </c>
      <c r="D27" s="8" t="s">
        <v>177</v>
      </c>
      <c r="E27" s="8">
        <v>11.716666666667001</v>
      </c>
      <c r="F27" s="8" t="s">
        <v>269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0.19</v>
      </c>
      <c r="CK27" s="2">
        <f t="shared" si="2"/>
        <v>0.125</v>
      </c>
      <c r="CL27" s="2">
        <f t="shared" si="3"/>
        <v>0</v>
      </c>
      <c r="CM27" s="2">
        <f t="shared" si="9"/>
        <v>-2.0000000000000004E-2</v>
      </c>
      <c r="CN27" s="2">
        <f t="shared" si="4"/>
        <v>8.5000000000000006E-2</v>
      </c>
      <c r="CO27" s="2">
        <f t="shared" si="5"/>
        <v>0</v>
      </c>
      <c r="CP27" s="2">
        <f t="shared" si="6"/>
        <v>0</v>
      </c>
      <c r="CQ27" s="2">
        <f t="shared" si="7"/>
        <v>0.19</v>
      </c>
    </row>
    <row r="28" spans="1:95" x14ac:dyDescent="0.35">
      <c r="A28" s="8">
        <v>17</v>
      </c>
      <c r="B28" s="8" t="s">
        <v>256</v>
      </c>
      <c r="C28" s="8" t="s">
        <v>144</v>
      </c>
      <c r="D28" s="8" t="s">
        <v>195</v>
      </c>
      <c r="E28" s="8">
        <v>11.266666666667</v>
      </c>
      <c r="F28" s="8" t="s">
        <v>269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0.39499999999999996</v>
      </c>
      <c r="CK28" s="2">
        <f t="shared" si="2"/>
        <v>0.21999999999999997</v>
      </c>
      <c r="CL28" s="2">
        <f t="shared" si="3"/>
        <v>0.1</v>
      </c>
      <c r="CM28" s="2">
        <f t="shared" si="9"/>
        <v>0</v>
      </c>
      <c r="CN28" s="2">
        <f t="shared" si="4"/>
        <v>0</v>
      </c>
      <c r="CO28" s="2">
        <f t="shared" si="5"/>
        <v>7.4999999999999997E-2</v>
      </c>
      <c r="CP28" s="2">
        <f t="shared" si="6"/>
        <v>0</v>
      </c>
      <c r="CQ28" s="2">
        <f t="shared" si="7"/>
        <v>0.39499999999999996</v>
      </c>
    </row>
    <row r="29" spans="1:95" x14ac:dyDescent="0.35">
      <c r="A29" s="8">
        <v>20</v>
      </c>
      <c r="B29" s="8" t="s">
        <v>257</v>
      </c>
      <c r="C29" s="8" t="s">
        <v>144</v>
      </c>
      <c r="D29" s="8" t="s">
        <v>185</v>
      </c>
      <c r="E29" s="8">
        <v>14.666666666667</v>
      </c>
      <c r="F29" s="8" t="s">
        <v>269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6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6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1.73</v>
      </c>
      <c r="CK29" s="2">
        <f t="shared" si="2"/>
        <v>0.15</v>
      </c>
      <c r="CL29" s="2">
        <f t="shared" si="3"/>
        <v>0.18</v>
      </c>
      <c r="CM29" s="2">
        <f t="shared" si="9"/>
        <v>0</v>
      </c>
      <c r="CN29" s="2">
        <f t="shared" si="4"/>
        <v>0.15500000000000003</v>
      </c>
      <c r="CO29" s="2">
        <f t="shared" si="5"/>
        <v>7.4999999999999997E-2</v>
      </c>
      <c r="CP29" s="2">
        <f>(0.055*BM29)+(0.055*BN29)+(0.035*BO29)+(0.035*BQ29)+(0.055*BH29)+(0.035*BI29)+(0.035*BG29)+0.25+0.25+0.25</f>
        <v>1.17</v>
      </c>
      <c r="CQ29" s="2">
        <f t="shared" si="7"/>
        <v>0.55999999999999994</v>
      </c>
    </row>
    <row r="30" spans="1:95" x14ac:dyDescent="0.35">
      <c r="A30" s="8">
        <v>21</v>
      </c>
      <c r="B30" s="8" t="s">
        <v>258</v>
      </c>
      <c r="C30" s="8" t="s">
        <v>144</v>
      </c>
      <c r="D30" s="8" t="s">
        <v>177</v>
      </c>
      <c r="E30" s="8">
        <v>17.083333333333002</v>
      </c>
      <c r="F30" s="8" t="s">
        <v>269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</v>
      </c>
      <c r="CK30" s="2">
        <f t="shared" si="2"/>
        <v>0.26500000000000001</v>
      </c>
      <c r="CL30" s="2">
        <f t="shared" si="3"/>
        <v>0</v>
      </c>
      <c r="CM30" s="2">
        <f t="shared" si="9"/>
        <v>0.155</v>
      </c>
      <c r="CN30" s="2">
        <f t="shared" si="4"/>
        <v>8.5000000000000006E-2</v>
      </c>
      <c r="CO30" s="2">
        <f t="shared" si="5"/>
        <v>1.4999999999999999E-2</v>
      </c>
      <c r="CP30" s="2">
        <f t="shared" si="6"/>
        <v>0</v>
      </c>
      <c r="CQ30" s="2">
        <f t="shared" si="7"/>
        <v>0.52</v>
      </c>
    </row>
    <row r="31" spans="1:95" x14ac:dyDescent="0.35">
      <c r="A31" s="8">
        <v>77</v>
      </c>
      <c r="B31" s="8" t="s">
        <v>259</v>
      </c>
      <c r="C31" s="8" t="s">
        <v>144</v>
      </c>
      <c r="D31" s="8" t="s">
        <v>180</v>
      </c>
      <c r="E31" s="8">
        <v>9.2166666666667005</v>
      </c>
      <c r="F31" s="8" t="s">
        <v>269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0.30500000000000005</v>
      </c>
      <c r="CK31" s="2">
        <f t="shared" si="2"/>
        <v>0.12000000000000001</v>
      </c>
      <c r="CL31" s="2">
        <f t="shared" si="3"/>
        <v>0.09</v>
      </c>
      <c r="CM31" s="2">
        <f t="shared" si="9"/>
        <v>0</v>
      </c>
      <c r="CN31" s="2">
        <f t="shared" si="4"/>
        <v>3.5000000000000003E-2</v>
      </c>
      <c r="CO31" s="2">
        <f t="shared" si="5"/>
        <v>0.06</v>
      </c>
      <c r="CP31" s="2">
        <f t="shared" si="6"/>
        <v>0</v>
      </c>
      <c r="CQ31" s="2">
        <f t="shared" si="7"/>
        <v>0.30500000000000005</v>
      </c>
    </row>
    <row r="32" spans="1:95" x14ac:dyDescent="0.35">
      <c r="A32" s="8">
        <v>48</v>
      </c>
      <c r="B32" s="8" t="s">
        <v>260</v>
      </c>
      <c r="C32" s="8" t="s">
        <v>144</v>
      </c>
      <c r="D32" s="8" t="s">
        <v>177</v>
      </c>
      <c r="E32" s="8">
        <v>18.583333333333002</v>
      </c>
      <c r="F32" s="8" t="s">
        <v>269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8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7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3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1.0150000000000001</v>
      </c>
      <c r="CK32" s="2">
        <f t="shared" si="2"/>
        <v>0.51</v>
      </c>
      <c r="CL32" s="2">
        <f t="shared" si="3"/>
        <v>0</v>
      </c>
      <c r="CM32" s="2">
        <f t="shared" si="9"/>
        <v>9.5000000000000001E-2</v>
      </c>
      <c r="CN32" s="2">
        <f t="shared" si="4"/>
        <v>5.0000000000000044E-3</v>
      </c>
      <c r="CO32" s="2">
        <f t="shared" si="5"/>
        <v>0</v>
      </c>
      <c r="CP32" s="2">
        <f>(0.055*BM32)+(0.055*BN32)+(0.035*BO32)+(0.035*BQ32)+(0.055*BH32)+(0.035*BI32)+(0.035*BG32)+0.15</f>
        <v>0.40500000000000003</v>
      </c>
      <c r="CQ32" s="2">
        <f t="shared" si="7"/>
        <v>0.61</v>
      </c>
    </row>
    <row r="33" spans="1:95" x14ac:dyDescent="0.35">
      <c r="A33" s="8">
        <v>8</v>
      </c>
      <c r="B33" s="8" t="s">
        <v>261</v>
      </c>
      <c r="C33" s="8" t="s">
        <v>144</v>
      </c>
      <c r="D33" s="8" t="s">
        <v>177</v>
      </c>
      <c r="E33" s="8">
        <v>14.316666666667</v>
      </c>
      <c r="F33" s="8" t="s">
        <v>269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7.0000000000000007E-2</v>
      </c>
      <c r="CK33" s="2">
        <f t="shared" si="2"/>
        <v>5.5E-2</v>
      </c>
      <c r="CL33" s="2">
        <f t="shared" si="3"/>
        <v>-4.4999999999999998E-2</v>
      </c>
      <c r="CM33" s="2">
        <f t="shared" si="9"/>
        <v>-0.05</v>
      </c>
      <c r="CN33" s="2">
        <f t="shared" si="4"/>
        <v>0.11000000000000001</v>
      </c>
      <c r="CO33" s="2">
        <f t="shared" si="5"/>
        <v>0</v>
      </c>
      <c r="CP33" s="2">
        <f t="shared" si="6"/>
        <v>0</v>
      </c>
      <c r="CQ33" s="2">
        <f t="shared" si="7"/>
        <v>7.0000000000000007E-2</v>
      </c>
    </row>
    <row r="34" spans="1:95" x14ac:dyDescent="0.35">
      <c r="A34" s="8">
        <v>14</v>
      </c>
      <c r="B34" s="8" t="s">
        <v>262</v>
      </c>
      <c r="C34" s="8" t="s">
        <v>144</v>
      </c>
      <c r="D34" s="8" t="s">
        <v>180</v>
      </c>
      <c r="E34" s="8">
        <v>15.016666666667</v>
      </c>
      <c r="F34" s="8" t="s">
        <v>269</v>
      </c>
      <c r="G34" s="19" t="s">
        <v>270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6</v>
      </c>
      <c r="BF34" s="10">
        <f>COUNTIFS(Tracking!Z:Z,A34&amp;C34,Tracking!C:C,"5v4",Tracking!Y:Y,"C")</f>
        <v>4</v>
      </c>
      <c r="BG34" s="10">
        <f>COUNTIFS(Tracking!Z:Z,A34&amp;C34,Tracking!C:C,"5v4",Tracking!AB:AB,"Y")</f>
        <v>4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0.56500000000000006</v>
      </c>
      <c r="CK34" s="2">
        <f t="shared" si="2"/>
        <v>5.5E-2</v>
      </c>
      <c r="CL34" s="2">
        <f t="shared" si="3"/>
        <v>0</v>
      </c>
      <c r="CM34" s="2">
        <f t="shared" si="9"/>
        <v>0</v>
      </c>
      <c r="CN34" s="2">
        <f t="shared" si="4"/>
        <v>4.0000000000000008E-2</v>
      </c>
      <c r="CO34" s="2">
        <f t="shared" si="5"/>
        <v>0.03</v>
      </c>
      <c r="CP34" s="2">
        <f>(0.055*BM34)+(0.055*BN34)+(0.035*BO34)+(0.035*BQ34)+(0.055*BH34)+(0.035*BI34)+(0.035*BG34)+0.15+0.15</f>
        <v>0.44000000000000006</v>
      </c>
      <c r="CQ34" s="2">
        <f t="shared" si="7"/>
        <v>0.125</v>
      </c>
    </row>
    <row r="35" spans="1:95" x14ac:dyDescent="0.35">
      <c r="A35" s="8">
        <v>91</v>
      </c>
      <c r="B35" s="8" t="s">
        <v>263</v>
      </c>
      <c r="C35" s="8" t="s">
        <v>144</v>
      </c>
      <c r="D35" s="8" t="s">
        <v>180</v>
      </c>
      <c r="E35" s="8">
        <v>7.7166666666666996</v>
      </c>
      <c r="F35" s="8" t="s">
        <v>269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0.72500000000000009</v>
      </c>
      <c r="CK35" s="2">
        <f t="shared" si="2"/>
        <v>0.55000000000000004</v>
      </c>
      <c r="CL35" s="2">
        <f t="shared" si="3"/>
        <v>4.4999999999999998E-2</v>
      </c>
      <c r="CM35" s="2">
        <f t="shared" si="9"/>
        <v>0</v>
      </c>
      <c r="CN35" s="2">
        <f t="shared" si="4"/>
        <v>9.5000000000000001E-2</v>
      </c>
      <c r="CO35" s="2">
        <f t="shared" si="5"/>
        <v>0</v>
      </c>
      <c r="CP35" s="2">
        <f t="shared" si="6"/>
        <v>3.5000000000000003E-2</v>
      </c>
      <c r="CQ35" s="2">
        <f t="shared" si="7"/>
        <v>0.69000000000000006</v>
      </c>
    </row>
    <row r="36" spans="1:95" x14ac:dyDescent="0.35">
      <c r="A36" s="8">
        <v>24</v>
      </c>
      <c r="B36" s="8" t="s">
        <v>264</v>
      </c>
      <c r="C36" s="8" t="s">
        <v>144</v>
      </c>
      <c r="D36" s="8" t="s">
        <v>180</v>
      </c>
      <c r="E36" s="8">
        <v>10.15</v>
      </c>
      <c r="F36" s="8" t="s">
        <v>269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0.52</v>
      </c>
      <c r="CK36" s="2">
        <f t="shared" si="2"/>
        <v>0.21000000000000002</v>
      </c>
      <c r="CL36" s="2">
        <f t="shared" si="3"/>
        <v>4.4999999999999998E-2</v>
      </c>
      <c r="CM36" s="2">
        <f t="shared" si="9"/>
        <v>0.13</v>
      </c>
      <c r="CN36" s="2">
        <f t="shared" si="4"/>
        <v>0.13500000000000001</v>
      </c>
      <c r="CO36" s="2">
        <f t="shared" si="5"/>
        <v>0</v>
      </c>
      <c r="CP36" s="2">
        <f t="shared" si="6"/>
        <v>0</v>
      </c>
      <c r="CQ36" s="2">
        <f t="shared" si="7"/>
        <v>0.52</v>
      </c>
    </row>
    <row r="37" spans="1:95" x14ac:dyDescent="0.35">
      <c r="A37" s="8">
        <v>76</v>
      </c>
      <c r="B37" s="8" t="s">
        <v>265</v>
      </c>
      <c r="C37" s="8" t="s">
        <v>144</v>
      </c>
      <c r="D37" s="8" t="s">
        <v>195</v>
      </c>
      <c r="E37" s="8">
        <v>8.3666666666666991</v>
      </c>
      <c r="F37" s="8" t="s">
        <v>269</v>
      </c>
      <c r="G37" s="19" t="s">
        <v>270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</v>
      </c>
      <c r="CK37" s="2">
        <f t="shared" si="2"/>
        <v>0.22500000000000001</v>
      </c>
      <c r="CL37" s="2">
        <f t="shared" si="3"/>
        <v>0.14499999999999999</v>
      </c>
      <c r="CM37" s="2">
        <f t="shared" si="9"/>
        <v>0</v>
      </c>
      <c r="CN37" s="2">
        <f t="shared" si="4"/>
        <v>6.0000000000000005E-2</v>
      </c>
      <c r="CO37" s="2">
        <f t="shared" si="5"/>
        <v>0.09</v>
      </c>
      <c r="CP37" s="2">
        <f t="shared" si="6"/>
        <v>0</v>
      </c>
      <c r="CQ37" s="2">
        <f t="shared" si="7"/>
        <v>0.52</v>
      </c>
    </row>
    <row r="38" spans="1:95" x14ac:dyDescent="0.35">
      <c r="A38" s="8">
        <v>75</v>
      </c>
      <c r="B38" s="8" t="s">
        <v>266</v>
      </c>
      <c r="C38" s="8" t="s">
        <v>144</v>
      </c>
      <c r="D38" s="8" t="s">
        <v>267</v>
      </c>
      <c r="E38" s="8">
        <v>43.133299999999998</v>
      </c>
      <c r="F38" s="8" t="s">
        <v>269</v>
      </c>
      <c r="G38" s="19" t="s">
        <v>270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268</v>
      </c>
      <c r="C39" s="8" t="s">
        <v>131</v>
      </c>
      <c r="D39" s="8" t="s">
        <v>267</v>
      </c>
      <c r="E39" s="8">
        <v>43.133299999999998</v>
      </c>
      <c r="F39" s="8" t="s">
        <v>269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2026-04-21T22:39:02Z</dcterms:modified>
</cp:coreProperties>
</file>