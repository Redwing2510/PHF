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13_ncr:1_{22C0D531-4A19-4D25-91DF-1663827B6904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5" i="2" l="1"/>
  <c r="CK34" i="2"/>
  <c r="CK31" i="2"/>
  <c r="CK27" i="2"/>
  <c r="CK24" i="2"/>
  <c r="CK23" i="2"/>
  <c r="CK22" i="2"/>
  <c r="CK13" i="2"/>
  <c r="CK8" i="2"/>
  <c r="CK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K36" i="2"/>
  <c r="CK33" i="2"/>
  <c r="CK30" i="2"/>
  <c r="CK20" i="2"/>
  <c r="CK26" i="2"/>
  <c r="CP7" i="2"/>
  <c r="CP12" i="2"/>
  <c r="CK7" i="2"/>
  <c r="CP4" i="2"/>
  <c r="CK37" i="2"/>
  <c r="CK10" i="2"/>
  <c r="CP3" i="2"/>
  <c r="CK16" i="2"/>
  <c r="CP10" i="2"/>
  <c r="CK6" i="2"/>
  <c r="CK21" i="2"/>
  <c r="CK2" i="2"/>
  <c r="CP6" i="2"/>
  <c r="CK15" i="2"/>
  <c r="CK18" i="2"/>
  <c r="CP5" i="2"/>
  <c r="CK32" i="2"/>
  <c r="CK29" i="2"/>
  <c r="CP8" i="2"/>
  <c r="CK4" i="2"/>
  <c r="CK12" i="2"/>
  <c r="CK14" i="2"/>
  <c r="CK3" i="2"/>
  <c r="CK17" i="2"/>
  <c r="CK9" i="2"/>
  <c r="CP9" i="2"/>
  <c r="CK11" i="2"/>
  <c r="CP11" i="2"/>
  <c r="CK28" i="2"/>
  <c r="CK25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<sst xmlns="http://schemas.openxmlformats.org/spreadsheetml/2006/main" count="2501" uniqueCount="281">
  <si>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</si>
  <si>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</si>
  <si>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</si>
  <si>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</si>
  <si>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</si>
  <si>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</si>
  <si>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</si>
  <si>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</si>
  <si>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</si>
  <si>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</si>
  <si>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</si>
  <si>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</si>
  <si>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</si>
  <si>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</si>
  <si>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</si>
  <si>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</si>
  <si>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</si>
  <si>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</si>
  <si>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</si>
  <si>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</si>
  <si>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</si>
  <si>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</si>
  <si>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</si>
  <si>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</si>
  <si>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</si>
  <si>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</si>
  <si>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</si>
  <si>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</si>
  <si>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</si>
  <si>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</si>
  <si>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</si>
  <si>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</si>
  <si>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</si>
  <si>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</si>
  <si>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</si>
  <si>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</si>
  <si>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</si>
  <si>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</si>
  <si>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</si>
  <si>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</si>
  <si>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</si>
  <si>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</si>
  <si>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</si>
  <si>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</si>
  <si>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</si>
  <si>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</si>
  <si>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</si>
  <si>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</si>
  <si>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</si>
  <si>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</si>
  <si>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</si>
  <si>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</si>
  <si>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</si>
  <si>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</si>
  <si>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</si>
  <si>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</si>
  <si>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</si>
  <si>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</si>
  <si>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</si>
  <si>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</si>
  <si>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</si>
  <si>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</si>
  <si>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</si>
  <si>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</si>
  <si>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</si>
  <si>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</si>
  <si>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</si>
  <si>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</si>
  <si>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</si>
  <si>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</si>
  <si>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</si>
  <si>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</si>
  <si>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</si>
  <si>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</si>
  <si>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</si>
  <si>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</si>
  <si>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</si>
  <si>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</si>
  <si>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</si>
  <si>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</si>
  <si>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</si>
  <si>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</si>
  <si>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</si>
  <si>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</si>
  <si>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</si>
  <si>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</si>
  <si>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</si>
  <si>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</si>
  <si>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</si>
  <si>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</si>
  <si>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</si>
  <si>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</si>
  <si>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</si>
  <si>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</si>
  <si>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</si>
  <si>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</si>
  <si>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</si>
  <si>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</si>
  <si>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</si>
  <si>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</si>
  <si>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</si>
  <si>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</si>
  <si>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</si>
  <si>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</si>
  <si>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</si>
  <si>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</si>
  <si>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</si>
  <si>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</si>
  <si>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</si>
  <si>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</si>
  <si>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</si>
  <si>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</si>
  <si>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</si>
  <si>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</si>
  <si>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</si>
  <si>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</si>
  <si>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</si>
  <si>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</si>
  <si>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</si>
  <si>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</si>
  <si>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</si>
  <si>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</si>
  <si>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</si>
  <si>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</si>
  <si>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</si>
  <si>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</si>
  <si>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</si>
  <si>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</si>
  <si>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</si>
  <si>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</si>
  <si>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</si>
  <si>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</si>
  <si>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</si>
  <si>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b</t>
  </si>
  <si>
    <t>y</t>
  </si>
  <si>
    <t>r</t>
  </si>
  <si>
    <t>nz</t>
  </si>
  <si>
    <t>nz recovery</t>
  </si>
  <si>
    <t>6/14/205</t>
  </si>
  <si>
    <t>EDM</t>
  </si>
  <si>
    <t>w</t>
  </si>
  <si>
    <t>dl</t>
  </si>
  <si>
    <t>dz</t>
  </si>
  <si>
    <t>dz counter</t>
  </si>
  <si>
    <t>W</t>
  </si>
  <si>
    <t>opl</t>
  </si>
  <si>
    <t>ol</t>
  </si>
  <si>
    <t>Y</t>
  </si>
  <si>
    <t>f</t>
  </si>
  <si>
    <t>oz</t>
  </si>
  <si>
    <t>or</t>
  </si>
  <si>
    <t>nl</t>
  </si>
  <si>
    <t>dz exit</t>
  </si>
  <si>
    <t>T</t>
  </si>
  <si>
    <t>s</t>
  </si>
  <si>
    <t>o</t>
  </si>
  <si>
    <t>nf</t>
  </si>
  <si>
    <t>nz faceoff</t>
  </si>
  <si>
    <t>oz faceoff</t>
  </si>
  <si>
    <t>opr</t>
  </si>
  <si>
    <t>t</t>
  </si>
  <si>
    <t>orrr</t>
  </si>
  <si>
    <t>oc</t>
  </si>
  <si>
    <t>3 on 2</t>
  </si>
  <si>
    <t>orrl</t>
  </si>
  <si>
    <t>nr</t>
  </si>
  <si>
    <t>nz turnover</t>
  </si>
  <si>
    <t>oelc</t>
  </si>
  <si>
    <t>nc</t>
  </si>
  <si>
    <t>nz reload</t>
  </si>
  <si>
    <t>5v4</t>
  </si>
  <si>
    <t>O</t>
  </si>
  <si>
    <t>oelpr</t>
  </si>
  <si>
    <t>a</t>
  </si>
  <si>
    <t>R</t>
  </si>
  <si>
    <t>dr</t>
  </si>
  <si>
    <t>nsl</t>
  </si>
  <si>
    <t>oelpl</t>
  </si>
  <si>
    <t>opc</t>
  </si>
  <si>
    <t>nz regroup</t>
  </si>
  <si>
    <t>oell</t>
  </si>
  <si>
    <t>dc</t>
  </si>
  <si>
    <t>controlled breakout</t>
  </si>
  <si>
    <t>S</t>
  </si>
  <si>
    <t>4v5</t>
  </si>
  <si>
    <t>13;44</t>
  </si>
  <si>
    <t>6v5</t>
  </si>
  <si>
    <t>72FLA</t>
  </si>
  <si>
    <t>EXC</t>
  </si>
  <si>
    <t>N</t>
  </si>
  <si>
    <t>5FLA</t>
  </si>
  <si>
    <t>CLE</t>
  </si>
  <si>
    <t>C</t>
  </si>
  <si>
    <t>17FLA</t>
  </si>
  <si>
    <t>2EDM</t>
  </si>
  <si>
    <t>L</t>
  </si>
  <si>
    <t>28EDM</t>
  </si>
  <si>
    <t>42FLA</t>
  </si>
  <si>
    <t>16FLA</t>
  </si>
  <si>
    <t>PEX</t>
  </si>
  <si>
    <t>D</t>
  </si>
  <si>
    <t>96EDM</t>
  </si>
  <si>
    <t>92EDM</t>
  </si>
  <si>
    <t>MEX</t>
  </si>
  <si>
    <t>30EDM</t>
  </si>
  <si>
    <t>90EDM</t>
  </si>
  <si>
    <t>88FLA</t>
  </si>
  <si>
    <t>15FLA</t>
  </si>
  <si>
    <t>51EDM</t>
  </si>
  <si>
    <t>FEX</t>
  </si>
  <si>
    <t>63FLA</t>
  </si>
  <si>
    <t>53EDM</t>
  </si>
  <si>
    <t>3FLA</t>
  </si>
  <si>
    <t>77FLA</t>
  </si>
  <si>
    <t>13FLA</t>
  </si>
  <si>
    <t>27EDM</t>
  </si>
  <si>
    <t>93EDM</t>
  </si>
  <si>
    <t>97EDM</t>
  </si>
  <si>
    <t>12FLA</t>
  </si>
  <si>
    <t>CEX</t>
  </si>
  <si>
    <t>33EDM</t>
  </si>
  <si>
    <t>13EDM</t>
  </si>
  <si>
    <t>19FLA</t>
  </si>
  <si>
    <t>10FLA</t>
  </si>
  <si>
    <t>F</t>
  </si>
  <si>
    <t>X</t>
  </si>
  <si>
    <t>27FLA</t>
  </si>
  <si>
    <t>25EDM</t>
  </si>
  <si>
    <t>91EDM</t>
  </si>
  <si>
    <t>9FLA</t>
  </si>
  <si>
    <t>7FLA</t>
  </si>
  <si>
    <t>BOT</t>
  </si>
  <si>
    <t>21EDM</t>
  </si>
  <si>
    <t>23FLA</t>
  </si>
  <si>
    <t>14EDM</t>
  </si>
  <si>
    <t>n</t>
  </si>
  <si>
    <t>92FLA</t>
  </si>
  <si>
    <t>29EDM</t>
  </si>
  <si>
    <t>PX</t>
  </si>
  <si>
    <t>19EDM</t>
  </si>
  <si>
    <t>EMX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</si>
  <si>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</si>
  <si>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</si>
  <si>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</si>
  <si>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</si>
  <si>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</si>
  <si>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</si>
  <si>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</si>
  <si>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</si>
  <si>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</si>
  <si>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Jeff Skinner</t>
  </si>
  <si>
    <t>Leon Draisaitl</t>
  </si>
  <si>
    <t>Mattias Ekholm</t>
  </si>
  <si>
    <t>Mattias Janmark</t>
  </si>
  <si>
    <t>Ryan Nugent-Hopkins</t>
  </si>
  <si>
    <t>Trent Frederic</t>
  </si>
  <si>
    <t>Troy Stecher</t>
  </si>
  <si>
    <t>Vasily Podkolzin</t>
  </si>
  <si>
    <t>Viktor Arvidsson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</si>
  <si>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</si>
  <si>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</si>
  <si>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</si>
  <si>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</si>
  <si>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</si>
  <si>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</si>
  <si>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</si>
  <si>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</si>
  <si>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</si>
  <si>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</si>
  <si>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</si>
  <si>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</si>
  <si>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</si>
  <si>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</si>
  <si>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</si>
  <si>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</si>
  <si>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</si>
  <si>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</si>
  <si>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</si>
  <si>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</si>
  <si>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Calvin Pickard</t>
  </si>
  <si>
    <t>EDM vs. FLA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</si>
</sst>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F97" sqref="AF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17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30415</v>
      </c>
      <c r="X2" s="1" t="s">
        <v>138</v>
      </c>
      <c r="AK2" s="7"/>
      <c r="AL2" s="7"/>
    </row>
    <row r="3" spans="1:40" x14ac:dyDescent="0.35">
      <c r="A3" s="2">
        <v>1</v>
      </c>
      <c r="B3" s="15">
        <v>0.81388888888888888</v>
      </c>
      <c r="C3" s="21" t="s">
        <v>131</v>
      </c>
      <c r="D3" s="1" t="s">
        <v>139</v>
      </c>
      <c r="E3" s="1">
        <v>28</v>
      </c>
      <c r="F3" s="1" t="s">
        <v>140</v>
      </c>
      <c r="G3" s="1">
        <v>2</v>
      </c>
      <c r="J3" s="1" t="s">
        <v>141</v>
      </c>
      <c r="M3" s="1" t="s">
        <v>134</v>
      </c>
      <c r="N3" s="1" t="s">
        <v>134</v>
      </c>
      <c r="P3" s="1" t="s">
        <v>135</v>
      </c>
      <c r="Q3" s="1" t="s">
        <v>142</v>
      </c>
      <c r="R3" s="1" t="s">
        <v>143</v>
      </c>
      <c r="U3" s="1">
        <v>0</v>
      </c>
      <c r="V3" s="1">
        <v>72</v>
      </c>
      <c r="W3" s="1">
        <v>30415</v>
      </c>
      <c r="X3" s="1" t="s">
        <v>138</v>
      </c>
      <c r="AK3" s="7"/>
      <c r="AL3" s="7"/>
    </row>
    <row r="4" spans="1:40" x14ac:dyDescent="0.35">
      <c r="A4" s="7">
        <v>1</v>
      </c>
      <c r="B4" s="15">
        <v>0.73402777777777772</v>
      </c>
      <c r="C4" s="21" t="s">
        <v>131</v>
      </c>
      <c r="D4" s="1" t="s">
        <v>132</v>
      </c>
      <c r="E4" s="1">
        <v>5</v>
      </c>
      <c r="F4" s="1" t="s">
        <v>144</v>
      </c>
      <c r="G4" s="1">
        <v>23</v>
      </c>
      <c r="H4" s="1">
        <v>12</v>
      </c>
      <c r="J4" s="1" t="s">
        <v>145</v>
      </c>
      <c r="K4" s="1" t="s">
        <v>146</v>
      </c>
      <c r="N4" s="1" t="s">
        <v>147</v>
      </c>
      <c r="P4" s="1" t="s">
        <v>148</v>
      </c>
      <c r="Q4" s="1" t="s">
        <v>149</v>
      </c>
      <c r="U4" s="1">
        <v>0</v>
      </c>
      <c r="V4" s="1">
        <v>30</v>
      </c>
      <c r="W4" s="1">
        <v>30415</v>
      </c>
      <c r="X4" s="1" t="s">
        <v>138</v>
      </c>
      <c r="AK4" s="7"/>
      <c r="AL4" s="7"/>
    </row>
    <row r="5" spans="1:40" x14ac:dyDescent="0.35">
      <c r="A5" s="7">
        <v>1</v>
      </c>
      <c r="B5" s="14">
        <v>0.66041666666666665</v>
      </c>
      <c r="C5" s="21" t="s">
        <v>131</v>
      </c>
      <c r="D5" s="1" t="s">
        <v>132</v>
      </c>
      <c r="E5" s="1">
        <v>15</v>
      </c>
      <c r="F5" s="1" t="s">
        <v>140</v>
      </c>
      <c r="G5" s="1">
        <v>63</v>
      </c>
      <c r="J5" s="1" t="s">
        <v>150</v>
      </c>
      <c r="N5" s="1" t="s">
        <v>134</v>
      </c>
      <c r="P5" s="1" t="s">
        <v>148</v>
      </c>
      <c r="Q5" s="1" t="s">
        <v>149</v>
      </c>
      <c r="U5" s="1">
        <v>0</v>
      </c>
      <c r="V5" s="1">
        <v>30</v>
      </c>
      <c r="W5" s="1">
        <v>30415</v>
      </c>
      <c r="X5" s="1" t="s">
        <v>138</v>
      </c>
      <c r="AK5" s="7"/>
      <c r="AL5" s="7"/>
    </row>
    <row r="6" spans="1:40" x14ac:dyDescent="0.35">
      <c r="A6" s="2">
        <v>1</v>
      </c>
      <c r="B6" s="15">
        <v>0.62361111111111112</v>
      </c>
      <c r="C6" s="21" t="s">
        <v>131</v>
      </c>
      <c r="D6" s="1" t="s">
        <v>139</v>
      </c>
      <c r="E6" s="1">
        <v>28</v>
      </c>
      <c r="F6" s="1" t="s">
        <v>144</v>
      </c>
      <c r="G6" s="1">
        <v>97</v>
      </c>
      <c r="J6" s="1" t="s">
        <v>150</v>
      </c>
      <c r="M6" s="1" t="s">
        <v>134</v>
      </c>
      <c r="N6" s="1" t="s">
        <v>134</v>
      </c>
      <c r="P6" s="1" t="s">
        <v>148</v>
      </c>
      <c r="Q6" s="1" t="s">
        <v>149</v>
      </c>
      <c r="U6" s="1">
        <v>0</v>
      </c>
      <c r="V6" s="1">
        <v>72</v>
      </c>
      <c r="W6" s="1">
        <v>30415</v>
      </c>
      <c r="X6" s="1" t="s">
        <v>138</v>
      </c>
      <c r="AK6" s="7"/>
      <c r="AL6" s="7"/>
    </row>
    <row r="7" spans="1:40" x14ac:dyDescent="0.35">
      <c r="A7" s="2">
        <v>1</v>
      </c>
      <c r="B7" s="15">
        <v>0.62222222222222223</v>
      </c>
      <c r="C7" s="21" t="s">
        <v>131</v>
      </c>
      <c r="D7" s="1" t="s">
        <v>139</v>
      </c>
      <c r="E7" s="1">
        <v>97</v>
      </c>
      <c r="F7" s="1" t="s">
        <v>135</v>
      </c>
      <c r="M7" s="1" t="s">
        <v>134</v>
      </c>
      <c r="N7" s="1" t="s">
        <v>134</v>
      </c>
      <c r="P7" s="1" t="s">
        <v>148</v>
      </c>
      <c r="Q7" s="1" t="s">
        <v>149</v>
      </c>
      <c r="U7" s="1">
        <v>0</v>
      </c>
      <c r="V7" s="1">
        <v>72</v>
      </c>
      <c r="W7" s="1">
        <v>30415</v>
      </c>
      <c r="X7" s="1" t="s">
        <v>138</v>
      </c>
      <c r="AK7" s="7"/>
      <c r="AL7" s="7"/>
    </row>
    <row r="8" spans="1:40" x14ac:dyDescent="0.35">
      <c r="A8" s="7">
        <v>1</v>
      </c>
      <c r="B8" s="15">
        <v>0.52430555555555558</v>
      </c>
      <c r="C8" s="21" t="s">
        <v>131</v>
      </c>
      <c r="D8" s="1" t="s">
        <v>132</v>
      </c>
      <c r="E8" s="1">
        <v>63</v>
      </c>
      <c r="F8" s="1" t="s">
        <v>140</v>
      </c>
      <c r="G8" s="1">
        <v>15</v>
      </c>
      <c r="H8" s="1">
        <v>63</v>
      </c>
      <c r="I8" s="1">
        <v>27</v>
      </c>
      <c r="J8" s="1" t="s">
        <v>151</v>
      </c>
      <c r="K8" s="1" t="s">
        <v>151</v>
      </c>
      <c r="L8" s="1" t="s">
        <v>141</v>
      </c>
      <c r="M8" s="1" t="s">
        <v>134</v>
      </c>
      <c r="N8" s="1" t="s">
        <v>134</v>
      </c>
      <c r="P8" s="1" t="s">
        <v>135</v>
      </c>
      <c r="Q8" s="1" t="s">
        <v>142</v>
      </c>
      <c r="R8" s="1" t="s">
        <v>152</v>
      </c>
      <c r="U8" s="1">
        <v>0</v>
      </c>
      <c r="V8" s="1">
        <v>30</v>
      </c>
      <c r="W8" s="1">
        <v>30415</v>
      </c>
      <c r="X8" s="1" t="s">
        <v>138</v>
      </c>
      <c r="AK8" s="7"/>
      <c r="AL8" s="7"/>
    </row>
    <row r="9" spans="1:40" x14ac:dyDescent="0.35">
      <c r="A9" s="2">
        <v>1</v>
      </c>
      <c r="B9" s="15">
        <v>0.50347222222222221</v>
      </c>
      <c r="C9" s="21" t="s">
        <v>131</v>
      </c>
      <c r="D9" s="1" t="s">
        <v>132</v>
      </c>
      <c r="E9" s="1">
        <v>23</v>
      </c>
      <c r="F9" s="1" t="s">
        <v>153</v>
      </c>
      <c r="G9" s="1">
        <v>13</v>
      </c>
      <c r="H9" s="1">
        <v>5</v>
      </c>
      <c r="J9" s="1" t="s">
        <v>154</v>
      </c>
      <c r="K9" s="1" t="s">
        <v>150</v>
      </c>
      <c r="P9" s="1" t="s">
        <v>148</v>
      </c>
      <c r="Q9" s="1" t="s">
        <v>149</v>
      </c>
      <c r="U9" s="1">
        <v>0</v>
      </c>
      <c r="V9" s="1">
        <v>30</v>
      </c>
      <c r="W9" s="1">
        <v>30415</v>
      </c>
      <c r="X9" s="1" t="s">
        <v>138</v>
      </c>
      <c r="AK9" s="7"/>
      <c r="AL9" s="7"/>
    </row>
    <row r="10" spans="1:40" x14ac:dyDescent="0.35">
      <c r="A10" s="2">
        <v>1</v>
      </c>
      <c r="B10" s="15">
        <v>0.46875</v>
      </c>
      <c r="C10" s="21" t="s">
        <v>131</v>
      </c>
      <c r="D10" s="1" t="s">
        <v>139</v>
      </c>
      <c r="E10" s="1">
        <v>25</v>
      </c>
      <c r="F10" s="1" t="s">
        <v>155</v>
      </c>
      <c r="G10" s="1">
        <v>90</v>
      </c>
      <c r="J10" s="1" t="s">
        <v>145</v>
      </c>
      <c r="N10" s="1" t="s">
        <v>134</v>
      </c>
      <c r="P10" s="1" t="s">
        <v>148</v>
      </c>
      <c r="Q10" s="1" t="s">
        <v>149</v>
      </c>
      <c r="U10" s="1">
        <v>0</v>
      </c>
      <c r="V10" s="1">
        <v>72</v>
      </c>
      <c r="W10" s="1">
        <v>30415</v>
      </c>
      <c r="X10" s="1" t="s">
        <v>138</v>
      </c>
      <c r="AK10" s="7"/>
      <c r="AL10" s="7"/>
    </row>
    <row r="11" spans="1:40" x14ac:dyDescent="0.35">
      <c r="A11" s="2">
        <v>1</v>
      </c>
      <c r="B11" s="15">
        <v>0.44930555555555557</v>
      </c>
      <c r="C11" s="21" t="s">
        <v>131</v>
      </c>
      <c r="D11" s="1" t="s">
        <v>132</v>
      </c>
      <c r="E11" s="1">
        <v>63</v>
      </c>
      <c r="F11" s="1" t="s">
        <v>140</v>
      </c>
      <c r="G11" s="1">
        <v>15</v>
      </c>
      <c r="J11" s="1" t="s">
        <v>156</v>
      </c>
      <c r="M11" s="1" t="s">
        <v>134</v>
      </c>
      <c r="N11" s="1" t="s">
        <v>134</v>
      </c>
      <c r="P11" s="1" t="s">
        <v>135</v>
      </c>
      <c r="Q11" s="1" t="s">
        <v>136</v>
      </c>
      <c r="R11" s="1" t="s">
        <v>157</v>
      </c>
      <c r="T11" s="1" t="s">
        <v>134</v>
      </c>
      <c r="U11" s="1">
        <v>0</v>
      </c>
      <c r="V11" s="1">
        <v>30</v>
      </c>
      <c r="W11" s="1">
        <v>30415</v>
      </c>
      <c r="X11" s="1" t="s">
        <v>138</v>
      </c>
      <c r="AK11" s="7"/>
      <c r="AL11" s="7"/>
    </row>
    <row r="12" spans="1:40" x14ac:dyDescent="0.35">
      <c r="A12" s="2">
        <v>1</v>
      </c>
      <c r="B12" s="15">
        <v>0.40555555555555556</v>
      </c>
      <c r="C12" s="21" t="s">
        <v>131</v>
      </c>
      <c r="D12" s="1" t="s">
        <v>132</v>
      </c>
      <c r="E12" s="1">
        <v>3</v>
      </c>
      <c r="F12" s="1" t="s">
        <v>140</v>
      </c>
      <c r="G12" s="1">
        <v>77</v>
      </c>
      <c r="J12" s="1" t="s">
        <v>146</v>
      </c>
      <c r="N12" s="1" t="s">
        <v>134</v>
      </c>
      <c r="O12" s="1" t="s">
        <v>134</v>
      </c>
      <c r="Q12" s="1" t="s">
        <v>149</v>
      </c>
      <c r="R12" s="1" t="s">
        <v>158</v>
      </c>
      <c r="U12" s="1">
        <v>-1</v>
      </c>
      <c r="V12" s="1">
        <v>30</v>
      </c>
      <c r="W12" s="1">
        <v>30415</v>
      </c>
      <c r="X12" s="1" t="s">
        <v>138</v>
      </c>
      <c r="AK12" s="7"/>
      <c r="AL12" s="7"/>
    </row>
    <row r="13" spans="1:40" x14ac:dyDescent="0.35">
      <c r="A13" s="7">
        <v>1</v>
      </c>
      <c r="B13" s="15">
        <v>0.35902777777777778</v>
      </c>
      <c r="C13" s="21" t="s">
        <v>131</v>
      </c>
      <c r="D13" s="1" t="s">
        <v>132</v>
      </c>
      <c r="E13" s="1">
        <v>3</v>
      </c>
      <c r="F13" s="1" t="s">
        <v>140</v>
      </c>
      <c r="G13" s="1">
        <v>15</v>
      </c>
      <c r="J13" s="1" t="s">
        <v>159</v>
      </c>
      <c r="N13" s="1" t="s">
        <v>134</v>
      </c>
      <c r="O13" s="1" t="s">
        <v>134</v>
      </c>
      <c r="P13" s="1" t="s">
        <v>148</v>
      </c>
      <c r="Q13" s="1" t="s">
        <v>149</v>
      </c>
      <c r="U13" s="1">
        <v>-1</v>
      </c>
      <c r="V13" s="1">
        <v>30</v>
      </c>
      <c r="W13" s="1">
        <v>30415</v>
      </c>
      <c r="X13" s="1" t="s">
        <v>138</v>
      </c>
      <c r="AK13" s="7"/>
      <c r="AL13" s="7"/>
    </row>
    <row r="14" spans="1:40" x14ac:dyDescent="0.35">
      <c r="A14" s="2">
        <v>1</v>
      </c>
      <c r="B14" s="15">
        <v>0.34166666666666667</v>
      </c>
      <c r="C14" s="21" t="s">
        <v>131</v>
      </c>
      <c r="D14" s="1" t="s">
        <v>132</v>
      </c>
      <c r="E14" s="1">
        <v>27</v>
      </c>
      <c r="F14" s="1" t="s">
        <v>160</v>
      </c>
      <c r="G14" s="1">
        <v>63</v>
      </c>
      <c r="H14" s="1">
        <v>9</v>
      </c>
      <c r="J14" s="1" t="s">
        <v>161</v>
      </c>
      <c r="K14" s="1" t="s">
        <v>162</v>
      </c>
      <c r="M14" s="1" t="s">
        <v>134</v>
      </c>
      <c r="P14" s="1" t="s">
        <v>135</v>
      </c>
      <c r="Q14" s="1" t="s">
        <v>142</v>
      </c>
      <c r="R14" s="1" t="s">
        <v>152</v>
      </c>
      <c r="S14" s="1" t="s">
        <v>163</v>
      </c>
      <c r="U14" s="1">
        <v>-1</v>
      </c>
      <c r="V14" s="1">
        <v>30</v>
      </c>
      <c r="W14" s="1">
        <v>30415</v>
      </c>
      <c r="X14" s="1" t="s">
        <v>138</v>
      </c>
      <c r="AK14" s="7"/>
      <c r="AL14" s="7"/>
    </row>
    <row r="15" spans="1:40" x14ac:dyDescent="0.35">
      <c r="A15" s="2">
        <v>1</v>
      </c>
      <c r="B15" s="15">
        <v>0.2951388888888889</v>
      </c>
      <c r="C15" s="21" t="s">
        <v>131</v>
      </c>
      <c r="D15" s="1" t="s">
        <v>132</v>
      </c>
      <c r="E15" s="1">
        <v>13</v>
      </c>
      <c r="F15" s="1" t="s">
        <v>160</v>
      </c>
      <c r="G15" s="1">
        <v>16</v>
      </c>
      <c r="H15" s="1">
        <v>42</v>
      </c>
      <c r="I15" s="1">
        <v>16</v>
      </c>
      <c r="J15" s="1" t="s">
        <v>164</v>
      </c>
      <c r="K15" s="1" t="s">
        <v>146</v>
      </c>
      <c r="L15" s="1" t="s">
        <v>145</v>
      </c>
      <c r="M15" s="1" t="s">
        <v>134</v>
      </c>
      <c r="P15" s="1" t="s">
        <v>148</v>
      </c>
      <c r="Q15" s="1" t="s">
        <v>149</v>
      </c>
      <c r="U15" s="1">
        <v>-1</v>
      </c>
      <c r="V15" s="1">
        <v>30</v>
      </c>
      <c r="W15" s="1">
        <v>30415</v>
      </c>
      <c r="X15" s="1" t="s">
        <v>138</v>
      </c>
      <c r="AK15" s="7"/>
      <c r="AL15" s="7"/>
    </row>
    <row r="16" spans="1:40" x14ac:dyDescent="0.35">
      <c r="A16" s="2">
        <v>1</v>
      </c>
      <c r="B16" s="15">
        <v>0.28680555555555554</v>
      </c>
      <c r="C16" s="21" t="s">
        <v>131</v>
      </c>
      <c r="D16" s="1" t="s">
        <v>132</v>
      </c>
      <c r="E16" s="1">
        <v>13</v>
      </c>
      <c r="F16" s="1" t="s">
        <v>140</v>
      </c>
      <c r="G16" s="1">
        <v>16</v>
      </c>
      <c r="H16" s="1">
        <v>13</v>
      </c>
      <c r="I16" s="1">
        <v>5</v>
      </c>
      <c r="J16" s="1" t="s">
        <v>162</v>
      </c>
      <c r="K16" s="1" t="s">
        <v>162</v>
      </c>
      <c r="L16" s="1" t="s">
        <v>165</v>
      </c>
      <c r="P16" s="1" t="s">
        <v>135</v>
      </c>
      <c r="Q16" s="1" t="s">
        <v>136</v>
      </c>
      <c r="R16" s="1" t="s">
        <v>166</v>
      </c>
      <c r="U16" s="1">
        <v>-1</v>
      </c>
      <c r="V16" s="1">
        <v>30</v>
      </c>
      <c r="W16" s="1">
        <v>30415</v>
      </c>
      <c r="X16" s="1" t="s">
        <v>138</v>
      </c>
      <c r="AK16" s="7"/>
      <c r="AL16" s="7"/>
    </row>
    <row r="17" spans="1:38" x14ac:dyDescent="0.35">
      <c r="A17" s="2">
        <v>1</v>
      </c>
      <c r="B17" s="15">
        <v>0.28125</v>
      </c>
      <c r="C17" s="21" t="s">
        <v>131</v>
      </c>
      <c r="D17" s="1" t="s">
        <v>132</v>
      </c>
      <c r="E17" s="1">
        <v>23</v>
      </c>
      <c r="F17" s="1" t="s">
        <v>155</v>
      </c>
      <c r="G17" s="1">
        <v>13</v>
      </c>
      <c r="H17" s="1">
        <v>77</v>
      </c>
      <c r="J17" s="1" t="s">
        <v>167</v>
      </c>
      <c r="K17" s="1" t="s">
        <v>150</v>
      </c>
      <c r="M17" s="1" t="s">
        <v>134</v>
      </c>
      <c r="N17" s="1" t="s">
        <v>134</v>
      </c>
      <c r="P17" s="1" t="s">
        <v>148</v>
      </c>
      <c r="Q17" s="1" t="s">
        <v>149</v>
      </c>
      <c r="U17" s="1">
        <v>-1</v>
      </c>
      <c r="V17" s="1">
        <v>30</v>
      </c>
      <c r="W17" s="1">
        <v>30415</v>
      </c>
      <c r="X17" s="1" t="s">
        <v>138</v>
      </c>
      <c r="AK17" s="7"/>
      <c r="AL17" s="7"/>
    </row>
    <row r="18" spans="1:38" x14ac:dyDescent="0.35">
      <c r="A18" s="2">
        <v>1</v>
      </c>
      <c r="B18" s="15">
        <v>0.27569444444444446</v>
      </c>
      <c r="C18" s="21" t="s">
        <v>131</v>
      </c>
      <c r="D18" s="1" t="s">
        <v>139</v>
      </c>
      <c r="E18" s="1">
        <v>29</v>
      </c>
      <c r="F18" s="1" t="s">
        <v>140</v>
      </c>
      <c r="N18" s="1" t="s">
        <v>134</v>
      </c>
      <c r="P18" s="1" t="s">
        <v>135</v>
      </c>
      <c r="Q18" s="1" t="s">
        <v>142</v>
      </c>
      <c r="R18" s="1" t="s">
        <v>152</v>
      </c>
      <c r="U18" s="1">
        <v>-1</v>
      </c>
      <c r="V18" s="1">
        <v>72</v>
      </c>
      <c r="W18" s="1">
        <v>30415</v>
      </c>
      <c r="X18" s="1" t="s">
        <v>138</v>
      </c>
      <c r="AK18" s="7"/>
      <c r="AL18" s="7"/>
    </row>
    <row r="19" spans="1:38" x14ac:dyDescent="0.35">
      <c r="A19" s="7">
        <v>1</v>
      </c>
      <c r="B19" s="15">
        <v>0.2076388888888889</v>
      </c>
      <c r="C19" s="21" t="s">
        <v>131</v>
      </c>
      <c r="D19" s="1" t="s">
        <v>132</v>
      </c>
      <c r="E19" s="1">
        <v>9</v>
      </c>
      <c r="F19" s="1" t="s">
        <v>140</v>
      </c>
      <c r="G19" s="1">
        <v>5</v>
      </c>
      <c r="H19" s="1">
        <v>19</v>
      </c>
      <c r="I19" s="1">
        <v>77</v>
      </c>
      <c r="J19" s="1" t="s">
        <v>168</v>
      </c>
      <c r="K19" s="1" t="s">
        <v>151</v>
      </c>
      <c r="L19" s="1" t="s">
        <v>151</v>
      </c>
      <c r="M19" s="1" t="s">
        <v>134</v>
      </c>
      <c r="P19" s="1" t="s">
        <v>135</v>
      </c>
      <c r="Q19" s="1" t="s">
        <v>136</v>
      </c>
      <c r="R19" s="1" t="s">
        <v>169</v>
      </c>
      <c r="U19" s="1">
        <v>-1</v>
      </c>
      <c r="V19" s="1">
        <v>30</v>
      </c>
      <c r="W19" s="1">
        <v>30415</v>
      </c>
      <c r="X19" s="1" t="s">
        <v>138</v>
      </c>
      <c r="AK19" s="7"/>
      <c r="AL19" s="7"/>
    </row>
    <row r="20" spans="1:38" x14ac:dyDescent="0.35">
      <c r="A20" s="2">
        <v>1</v>
      </c>
      <c r="B20" s="15">
        <v>7.8472222222222221E-2</v>
      </c>
      <c r="C20" s="21" t="s">
        <v>131</v>
      </c>
      <c r="D20" s="1" t="s">
        <v>132</v>
      </c>
      <c r="E20" s="1">
        <v>9</v>
      </c>
      <c r="F20" s="1" t="s">
        <v>140</v>
      </c>
      <c r="G20" s="1">
        <v>19</v>
      </c>
      <c r="H20" s="1">
        <v>9</v>
      </c>
      <c r="J20" s="1" t="s">
        <v>154</v>
      </c>
      <c r="K20" s="1" t="s">
        <v>165</v>
      </c>
      <c r="M20" s="1" t="s">
        <v>134</v>
      </c>
      <c r="N20" s="1" t="s">
        <v>134</v>
      </c>
      <c r="P20" s="1" t="s">
        <v>135</v>
      </c>
      <c r="Q20" s="1" t="s">
        <v>136</v>
      </c>
      <c r="R20" s="1" t="s">
        <v>166</v>
      </c>
      <c r="T20" s="1" t="s">
        <v>134</v>
      </c>
      <c r="U20" s="1">
        <v>-1</v>
      </c>
      <c r="V20" s="1">
        <v>30</v>
      </c>
      <c r="W20" s="1">
        <v>30415</v>
      </c>
      <c r="X20" s="1" t="s">
        <v>138</v>
      </c>
      <c r="AK20" s="7"/>
      <c r="AL20" s="7"/>
    </row>
    <row r="21" spans="1:38" x14ac:dyDescent="0.35">
      <c r="A21" s="7">
        <v>1</v>
      </c>
      <c r="B21" s="15">
        <v>6.8750000000000006E-2</v>
      </c>
      <c r="C21" s="21" t="s">
        <v>170</v>
      </c>
      <c r="D21" s="1" t="s">
        <v>132</v>
      </c>
      <c r="E21" s="1">
        <v>3</v>
      </c>
      <c r="F21" s="1" t="s">
        <v>171</v>
      </c>
      <c r="G21" s="1">
        <v>19</v>
      </c>
      <c r="J21" s="1" t="s">
        <v>146</v>
      </c>
      <c r="Q21" s="1" t="s">
        <v>149</v>
      </c>
      <c r="R21" s="1" t="s">
        <v>158</v>
      </c>
      <c r="U21" s="1">
        <v>-2</v>
      </c>
      <c r="V21" s="1">
        <v>30</v>
      </c>
      <c r="W21" s="1">
        <v>30415</v>
      </c>
      <c r="X21" s="1" t="s">
        <v>138</v>
      </c>
      <c r="AK21" s="7"/>
      <c r="AL21" s="7"/>
    </row>
    <row r="22" spans="1:38" x14ac:dyDescent="0.35">
      <c r="A22" s="7">
        <v>1</v>
      </c>
      <c r="B22" s="15">
        <v>1.6666666666666666E-2</v>
      </c>
      <c r="C22" s="21" t="s">
        <v>170</v>
      </c>
      <c r="D22" s="1" t="s">
        <v>132</v>
      </c>
      <c r="E22" s="1">
        <v>88</v>
      </c>
      <c r="F22" s="1" t="s">
        <v>140</v>
      </c>
      <c r="G22" s="1">
        <v>17</v>
      </c>
      <c r="H22" s="1">
        <v>23</v>
      </c>
      <c r="J22" s="1" t="s">
        <v>150</v>
      </c>
      <c r="K22" s="1" t="s">
        <v>172</v>
      </c>
      <c r="N22" s="1" t="s">
        <v>134</v>
      </c>
      <c r="O22" s="1" t="s">
        <v>134</v>
      </c>
      <c r="U22" s="1">
        <v>-2</v>
      </c>
      <c r="V22" s="1">
        <v>30</v>
      </c>
      <c r="W22" s="1">
        <v>30415</v>
      </c>
      <c r="X22" s="1" t="s">
        <v>138</v>
      </c>
      <c r="AK22" s="7"/>
      <c r="AL22" s="7"/>
    </row>
    <row r="23" spans="1:38" x14ac:dyDescent="0.35">
      <c r="A23" s="2">
        <v>1</v>
      </c>
      <c r="B23" s="15">
        <v>0</v>
      </c>
      <c r="C23" s="21" t="s">
        <v>170</v>
      </c>
      <c r="D23" s="1" t="s">
        <v>132</v>
      </c>
      <c r="E23" s="1">
        <v>17</v>
      </c>
      <c r="F23" s="1" t="s">
        <v>173</v>
      </c>
      <c r="G23" s="1">
        <v>9</v>
      </c>
      <c r="J23" s="1" t="s">
        <v>146</v>
      </c>
      <c r="M23" s="1" t="s">
        <v>134</v>
      </c>
      <c r="N23" s="1" t="s">
        <v>134</v>
      </c>
      <c r="U23" s="1">
        <v>-2</v>
      </c>
      <c r="V23" s="1">
        <v>30</v>
      </c>
      <c r="W23" s="1">
        <v>30415</v>
      </c>
      <c r="X23" s="1" t="s">
        <v>138</v>
      </c>
      <c r="AK23" s="7"/>
      <c r="AL23" s="7"/>
    </row>
    <row r="24" spans="1:38" x14ac:dyDescent="0.35">
      <c r="A24" s="7">
        <v>2</v>
      </c>
      <c r="B24" s="15">
        <v>0.8</v>
      </c>
      <c r="C24" s="21" t="s">
        <v>131</v>
      </c>
      <c r="D24" s="1" t="s">
        <v>132</v>
      </c>
      <c r="E24" s="1">
        <v>19</v>
      </c>
      <c r="F24" s="1" t="s">
        <v>144</v>
      </c>
      <c r="M24" s="1" t="s">
        <v>134</v>
      </c>
      <c r="N24" s="1" t="s">
        <v>134</v>
      </c>
      <c r="P24" s="1" t="s">
        <v>148</v>
      </c>
      <c r="Q24" s="1" t="s">
        <v>149</v>
      </c>
      <c r="U24" s="1">
        <v>-2</v>
      </c>
      <c r="V24" s="1">
        <v>30</v>
      </c>
      <c r="W24" s="1">
        <v>30415</v>
      </c>
      <c r="X24" s="1" t="s">
        <v>138</v>
      </c>
      <c r="AK24" s="7"/>
      <c r="AL24" s="7"/>
    </row>
    <row r="25" spans="1:38" x14ac:dyDescent="0.35">
      <c r="A25" s="2">
        <v>2</v>
      </c>
      <c r="B25" s="15">
        <v>0.76944444444444449</v>
      </c>
      <c r="C25" s="21" t="s">
        <v>131</v>
      </c>
      <c r="D25" s="1" t="s">
        <v>139</v>
      </c>
      <c r="E25" s="1">
        <v>29</v>
      </c>
      <c r="F25" s="1" t="s">
        <v>140</v>
      </c>
      <c r="N25" s="1" t="s">
        <v>134</v>
      </c>
      <c r="P25" s="1" t="s">
        <v>148</v>
      </c>
      <c r="Q25" s="1" t="s">
        <v>149</v>
      </c>
      <c r="U25" s="1">
        <v>-2</v>
      </c>
      <c r="V25" s="1">
        <v>72</v>
      </c>
      <c r="W25" s="1">
        <v>30415</v>
      </c>
      <c r="X25" s="1" t="s">
        <v>138</v>
      </c>
      <c r="AK25" s="7"/>
      <c r="AL25" s="7"/>
    </row>
    <row r="26" spans="1:38" x14ac:dyDescent="0.35">
      <c r="A26" s="7">
        <v>2</v>
      </c>
      <c r="B26" s="15">
        <v>0.75347222222222221</v>
      </c>
      <c r="C26" s="21" t="s">
        <v>131</v>
      </c>
      <c r="D26" s="1" t="s">
        <v>132</v>
      </c>
      <c r="E26" s="1">
        <v>63</v>
      </c>
      <c r="F26" s="1" t="s">
        <v>140</v>
      </c>
      <c r="N26" s="1" t="s">
        <v>134</v>
      </c>
      <c r="P26" s="1" t="s">
        <v>135</v>
      </c>
      <c r="Q26" s="1" t="s">
        <v>136</v>
      </c>
      <c r="R26" s="1" t="s">
        <v>166</v>
      </c>
      <c r="U26" s="1">
        <v>-2</v>
      </c>
      <c r="V26" s="1">
        <v>30</v>
      </c>
      <c r="W26" s="1">
        <v>30415</v>
      </c>
      <c r="X26" s="1" t="s">
        <v>138</v>
      </c>
      <c r="AK26" s="7"/>
      <c r="AL26" s="7"/>
    </row>
    <row r="27" spans="1:38" x14ac:dyDescent="0.35">
      <c r="A27" s="2">
        <v>2</v>
      </c>
      <c r="B27" s="15">
        <v>0.71458333333333335</v>
      </c>
      <c r="C27" s="21" t="s">
        <v>131</v>
      </c>
      <c r="D27" s="1" t="s">
        <v>132</v>
      </c>
      <c r="E27" s="1">
        <v>16</v>
      </c>
      <c r="F27" s="1" t="s">
        <v>133</v>
      </c>
      <c r="G27" s="1">
        <v>88</v>
      </c>
      <c r="J27" s="1" t="s">
        <v>165</v>
      </c>
      <c r="N27" s="1" t="s">
        <v>134</v>
      </c>
      <c r="P27" s="1" t="s">
        <v>135</v>
      </c>
      <c r="Q27" s="1" t="s">
        <v>136</v>
      </c>
      <c r="R27" s="1" t="s">
        <v>169</v>
      </c>
      <c r="U27" s="1">
        <v>-2</v>
      </c>
      <c r="V27" s="1">
        <v>30</v>
      </c>
      <c r="W27" s="1">
        <v>30415</v>
      </c>
      <c r="X27" s="1" t="s">
        <v>138</v>
      </c>
      <c r="AK27" s="7"/>
      <c r="AL27" s="7"/>
    </row>
    <row r="28" spans="1:38" x14ac:dyDescent="0.35">
      <c r="A28" s="7">
        <v>2</v>
      </c>
      <c r="B28" s="14">
        <v>0.64236111111111116</v>
      </c>
      <c r="C28" s="21" t="s">
        <v>170</v>
      </c>
      <c r="D28" s="1" t="s">
        <v>139</v>
      </c>
      <c r="E28" s="1">
        <v>93</v>
      </c>
      <c r="F28" s="1" t="s">
        <v>140</v>
      </c>
      <c r="G28" s="1">
        <v>2</v>
      </c>
      <c r="H28" s="1">
        <v>97</v>
      </c>
      <c r="I28" s="1">
        <v>93</v>
      </c>
      <c r="J28" s="1" t="s">
        <v>162</v>
      </c>
      <c r="K28" s="1" t="s">
        <v>150</v>
      </c>
      <c r="L28" s="1" t="s">
        <v>145</v>
      </c>
      <c r="N28" s="1" t="s">
        <v>147</v>
      </c>
      <c r="U28" s="1">
        <v>-2</v>
      </c>
      <c r="V28" s="1">
        <v>72</v>
      </c>
      <c r="W28" s="1">
        <v>30415</v>
      </c>
      <c r="X28" s="1" t="s">
        <v>138</v>
      </c>
      <c r="AK28" s="7"/>
      <c r="AL28" s="7"/>
    </row>
    <row r="29" spans="1:38" x14ac:dyDescent="0.35">
      <c r="A29" s="7">
        <v>2</v>
      </c>
      <c r="B29" s="14">
        <v>0.64166666666666672</v>
      </c>
      <c r="C29" s="21" t="s">
        <v>170</v>
      </c>
      <c r="D29" s="1" t="s">
        <v>139</v>
      </c>
      <c r="E29" s="1">
        <v>90</v>
      </c>
      <c r="F29" s="1" t="s">
        <v>174</v>
      </c>
      <c r="M29" s="1" t="s">
        <v>134</v>
      </c>
      <c r="N29" s="1" t="s">
        <v>134</v>
      </c>
      <c r="U29" s="1">
        <v>-2</v>
      </c>
      <c r="V29" s="1">
        <v>72</v>
      </c>
      <c r="W29" s="1">
        <v>30415</v>
      </c>
      <c r="X29" s="1" t="s">
        <v>138</v>
      </c>
      <c r="AK29" s="7"/>
      <c r="AL29" s="7"/>
    </row>
    <row r="30" spans="1:38" x14ac:dyDescent="0.35">
      <c r="A30" s="2">
        <v>2</v>
      </c>
      <c r="B30" s="15">
        <v>0.62569444444444444</v>
      </c>
      <c r="C30" s="21" t="s">
        <v>170</v>
      </c>
      <c r="D30" s="1" t="s">
        <v>139</v>
      </c>
      <c r="E30" s="1">
        <v>2</v>
      </c>
      <c r="F30" s="1" t="s">
        <v>155</v>
      </c>
      <c r="G30" s="1">
        <v>29</v>
      </c>
      <c r="H30" s="1">
        <v>97</v>
      </c>
      <c r="J30" s="1" t="s">
        <v>150</v>
      </c>
      <c r="K30" s="1" t="s">
        <v>150</v>
      </c>
      <c r="N30" s="1" t="s">
        <v>134</v>
      </c>
      <c r="U30" s="1">
        <v>-2</v>
      </c>
      <c r="V30" s="1">
        <v>72</v>
      </c>
      <c r="W30" s="1">
        <v>30415</v>
      </c>
      <c r="X30" s="1" t="s">
        <v>138</v>
      </c>
      <c r="AK30" s="7"/>
      <c r="AL30" s="7"/>
    </row>
    <row r="31" spans="1:38" x14ac:dyDescent="0.35">
      <c r="A31" s="7">
        <v>2</v>
      </c>
      <c r="B31" s="14">
        <v>0.49791666666666667</v>
      </c>
      <c r="C31" s="21" t="s">
        <v>170</v>
      </c>
      <c r="D31" s="1" t="s">
        <v>139</v>
      </c>
      <c r="E31" s="1">
        <v>90</v>
      </c>
      <c r="F31" s="1" t="s">
        <v>160</v>
      </c>
      <c r="G31" s="1">
        <v>2</v>
      </c>
      <c r="H31" s="1">
        <v>29</v>
      </c>
      <c r="J31" s="1" t="s">
        <v>154</v>
      </c>
      <c r="K31" s="1" t="s">
        <v>159</v>
      </c>
      <c r="U31" s="1">
        <v>-2</v>
      </c>
      <c r="V31" s="1">
        <v>72</v>
      </c>
      <c r="W31" s="1">
        <v>30415</v>
      </c>
      <c r="X31" s="1" t="s">
        <v>138</v>
      </c>
      <c r="AK31" s="7"/>
      <c r="AL31" s="7"/>
    </row>
    <row r="32" spans="1:38" x14ac:dyDescent="0.35">
      <c r="A32" s="2">
        <v>2</v>
      </c>
      <c r="B32" s="15">
        <v>0.4826388888888889</v>
      </c>
      <c r="C32" s="21" t="s">
        <v>170</v>
      </c>
      <c r="D32" s="1" t="s">
        <v>139</v>
      </c>
      <c r="E32" s="1">
        <v>97</v>
      </c>
      <c r="F32" s="1" t="s">
        <v>140</v>
      </c>
      <c r="G32" s="1">
        <v>2</v>
      </c>
      <c r="J32" s="1" t="s">
        <v>146</v>
      </c>
      <c r="M32" s="1" t="s">
        <v>134</v>
      </c>
      <c r="O32" s="1" t="s">
        <v>134</v>
      </c>
      <c r="U32" s="1">
        <v>-2</v>
      </c>
      <c r="V32" s="1">
        <v>72</v>
      </c>
      <c r="W32" s="1">
        <v>30415</v>
      </c>
      <c r="X32" s="1" t="s">
        <v>138</v>
      </c>
      <c r="AK32" s="7"/>
      <c r="AL32" s="7"/>
    </row>
    <row r="33" spans="1:38" x14ac:dyDescent="0.35">
      <c r="A33" s="2">
        <v>2</v>
      </c>
      <c r="B33" s="15">
        <v>0.45416666666666666</v>
      </c>
      <c r="C33" s="21" t="s">
        <v>170</v>
      </c>
      <c r="D33" s="1" t="s">
        <v>139</v>
      </c>
      <c r="E33" s="1">
        <v>19</v>
      </c>
      <c r="F33" s="1" t="s">
        <v>160</v>
      </c>
      <c r="G33" s="1">
        <v>53</v>
      </c>
      <c r="J33" s="1" t="s">
        <v>154</v>
      </c>
      <c r="M33" s="1" t="s">
        <v>134</v>
      </c>
      <c r="N33" s="1" t="s">
        <v>134</v>
      </c>
      <c r="O33" s="1" t="s">
        <v>134</v>
      </c>
      <c r="U33" s="1">
        <v>-2</v>
      </c>
      <c r="V33" s="1">
        <v>72</v>
      </c>
      <c r="W33" s="1">
        <v>30415</v>
      </c>
      <c r="X33" s="1" t="s">
        <v>138</v>
      </c>
      <c r="AK33" s="7"/>
      <c r="AL33" s="7"/>
    </row>
    <row r="34" spans="1:38" x14ac:dyDescent="0.35">
      <c r="A34" s="7">
        <v>2</v>
      </c>
      <c r="B34" s="15">
        <v>0.39444444444444443</v>
      </c>
      <c r="C34" s="21" t="s">
        <v>131</v>
      </c>
      <c r="D34" s="1" t="s">
        <v>139</v>
      </c>
      <c r="E34" s="1">
        <v>51</v>
      </c>
      <c r="F34" s="1" t="s">
        <v>140</v>
      </c>
      <c r="G34" s="1">
        <v>96</v>
      </c>
      <c r="H34" s="1">
        <v>33</v>
      </c>
      <c r="J34" s="1" t="s">
        <v>146</v>
      </c>
      <c r="K34" s="1" t="s">
        <v>145</v>
      </c>
      <c r="P34" s="1" t="s">
        <v>148</v>
      </c>
      <c r="Q34" s="1" t="s">
        <v>149</v>
      </c>
      <c r="U34" s="1">
        <v>-2</v>
      </c>
      <c r="V34" s="1">
        <v>72</v>
      </c>
      <c r="W34" s="1">
        <v>30415</v>
      </c>
      <c r="X34" s="1" t="s">
        <v>138</v>
      </c>
      <c r="AK34" s="7"/>
      <c r="AL34" s="7"/>
    </row>
    <row r="35" spans="1:38" x14ac:dyDescent="0.35">
      <c r="A35" s="2">
        <v>2</v>
      </c>
      <c r="B35" s="15">
        <v>0.39166666666666666</v>
      </c>
      <c r="C35" s="21" t="s">
        <v>131</v>
      </c>
      <c r="D35" s="1" t="s">
        <v>139</v>
      </c>
      <c r="E35" s="1">
        <v>96</v>
      </c>
      <c r="F35" s="1" t="s">
        <v>140</v>
      </c>
      <c r="P35" s="1" t="s">
        <v>148</v>
      </c>
      <c r="Q35" s="1" t="s">
        <v>149</v>
      </c>
      <c r="U35" s="1">
        <v>-2</v>
      </c>
      <c r="V35" s="1">
        <v>72</v>
      </c>
      <c r="W35" s="1">
        <v>30415</v>
      </c>
      <c r="X35" s="1" t="s">
        <v>138</v>
      </c>
      <c r="AK35" s="7"/>
      <c r="AL35" s="7"/>
    </row>
    <row r="36" spans="1:38" x14ac:dyDescent="0.35">
      <c r="A36" s="7">
        <v>2</v>
      </c>
      <c r="B36" s="15">
        <v>0.35694444444444445</v>
      </c>
      <c r="C36" s="21" t="s">
        <v>131</v>
      </c>
      <c r="D36" s="1" t="s">
        <v>139</v>
      </c>
      <c r="E36" s="1">
        <v>14</v>
      </c>
      <c r="F36" s="1" t="s">
        <v>154</v>
      </c>
      <c r="G36" s="1">
        <v>29</v>
      </c>
      <c r="H36" s="1">
        <v>28</v>
      </c>
      <c r="I36" s="1">
        <v>29</v>
      </c>
      <c r="J36" s="1" t="s">
        <v>145</v>
      </c>
      <c r="K36" s="1" t="s">
        <v>146</v>
      </c>
      <c r="L36" s="1" t="s">
        <v>146</v>
      </c>
      <c r="N36" s="1" t="s">
        <v>134</v>
      </c>
      <c r="P36" s="1" t="s">
        <v>135</v>
      </c>
      <c r="Q36" s="1" t="s">
        <v>136</v>
      </c>
      <c r="R36" s="1" t="s">
        <v>169</v>
      </c>
      <c r="U36" s="1">
        <v>-2</v>
      </c>
      <c r="V36" s="1">
        <v>72</v>
      </c>
      <c r="W36" s="1">
        <v>30415</v>
      </c>
      <c r="X36" s="1" t="s">
        <v>138</v>
      </c>
      <c r="AK36" s="7"/>
      <c r="AL36" s="7"/>
    </row>
    <row r="37" spans="1:38" x14ac:dyDescent="0.35">
      <c r="A37" s="7">
        <v>2</v>
      </c>
      <c r="B37" s="15">
        <v>0.28611111111111109</v>
      </c>
      <c r="C37" s="21" t="s">
        <v>131</v>
      </c>
      <c r="D37" s="1" t="s">
        <v>132</v>
      </c>
      <c r="E37" s="1">
        <v>63</v>
      </c>
      <c r="F37" s="1" t="s">
        <v>140</v>
      </c>
      <c r="G37" s="1">
        <v>3</v>
      </c>
      <c r="J37" s="1" t="s">
        <v>175</v>
      </c>
      <c r="N37" s="1" t="s">
        <v>134</v>
      </c>
      <c r="P37" s="1" t="s">
        <v>135</v>
      </c>
      <c r="Q37" s="1" t="s">
        <v>142</v>
      </c>
      <c r="R37" s="1" t="s">
        <v>152</v>
      </c>
      <c r="U37" s="1">
        <v>-2</v>
      </c>
      <c r="V37" s="1">
        <v>30</v>
      </c>
      <c r="W37" s="1">
        <v>30415</v>
      </c>
      <c r="X37" s="1" t="s">
        <v>138</v>
      </c>
      <c r="AK37" s="7"/>
      <c r="AL37" s="7"/>
    </row>
    <row r="38" spans="1:38" x14ac:dyDescent="0.35">
      <c r="A38" s="7">
        <v>2</v>
      </c>
      <c r="B38" s="15">
        <v>0.26666666666666666</v>
      </c>
      <c r="C38" s="21" t="s">
        <v>131</v>
      </c>
      <c r="D38" s="1" t="s">
        <v>132</v>
      </c>
      <c r="E38" s="1">
        <v>19</v>
      </c>
      <c r="F38" s="1" t="s">
        <v>155</v>
      </c>
      <c r="G38" s="1">
        <v>9</v>
      </c>
      <c r="H38" s="1">
        <v>17</v>
      </c>
      <c r="I38" s="1">
        <v>88</v>
      </c>
      <c r="J38" s="1" t="s">
        <v>150</v>
      </c>
      <c r="K38" s="1" t="s">
        <v>165</v>
      </c>
      <c r="L38" s="1" t="s">
        <v>176</v>
      </c>
      <c r="N38" s="1" t="s">
        <v>134</v>
      </c>
      <c r="P38" s="1" t="s">
        <v>135</v>
      </c>
      <c r="Q38" s="1" t="s">
        <v>136</v>
      </c>
      <c r="R38" s="1" t="s">
        <v>169</v>
      </c>
      <c r="U38" s="1">
        <v>-2</v>
      </c>
      <c r="V38" s="1">
        <v>30</v>
      </c>
      <c r="W38" s="1">
        <v>30415</v>
      </c>
      <c r="X38" s="1" t="s">
        <v>138</v>
      </c>
      <c r="AK38" s="7"/>
      <c r="AL38" s="7"/>
    </row>
    <row r="39" spans="1:38" x14ac:dyDescent="0.35">
      <c r="A39" s="2">
        <v>2</v>
      </c>
      <c r="B39" s="15">
        <v>0.23125000000000001</v>
      </c>
      <c r="C39" s="21" t="s">
        <v>131</v>
      </c>
      <c r="D39" s="1" t="s">
        <v>132</v>
      </c>
      <c r="E39" s="1">
        <v>5</v>
      </c>
      <c r="F39" s="1" t="s">
        <v>155</v>
      </c>
      <c r="G39" s="1">
        <v>92</v>
      </c>
      <c r="J39" s="1" t="s">
        <v>159</v>
      </c>
      <c r="N39" s="1" t="s">
        <v>134</v>
      </c>
      <c r="P39" s="1" t="s">
        <v>148</v>
      </c>
      <c r="Q39" s="1" t="s">
        <v>149</v>
      </c>
      <c r="U39" s="1">
        <v>-2</v>
      </c>
      <c r="V39" s="1">
        <v>30</v>
      </c>
      <c r="W39" s="1">
        <v>30415</v>
      </c>
      <c r="X39" s="1" t="s">
        <v>138</v>
      </c>
      <c r="AK39" s="7"/>
      <c r="AL39" s="7"/>
    </row>
    <row r="40" spans="1:38" x14ac:dyDescent="0.35">
      <c r="A40" s="7">
        <v>2</v>
      </c>
      <c r="B40" s="15">
        <v>0.12986111111111112</v>
      </c>
      <c r="C40" s="21" t="s">
        <v>131</v>
      </c>
      <c r="D40" s="1" t="s">
        <v>139</v>
      </c>
      <c r="E40" s="1">
        <v>14</v>
      </c>
      <c r="F40" s="1" t="s">
        <v>140</v>
      </c>
      <c r="G40" s="1">
        <v>2</v>
      </c>
      <c r="J40" s="1" t="s">
        <v>150</v>
      </c>
      <c r="P40" s="1" t="s">
        <v>148</v>
      </c>
      <c r="Q40" s="1" t="s">
        <v>149</v>
      </c>
      <c r="U40" s="1">
        <v>-2</v>
      </c>
      <c r="V40" s="1">
        <v>72</v>
      </c>
      <c r="W40" s="1">
        <v>30415</v>
      </c>
      <c r="X40" s="1" t="s">
        <v>138</v>
      </c>
      <c r="AK40" s="7"/>
      <c r="AL40" s="7"/>
    </row>
    <row r="41" spans="1:38" x14ac:dyDescent="0.35">
      <c r="A41" s="7">
        <v>2</v>
      </c>
      <c r="B41" s="14">
        <v>0.125</v>
      </c>
      <c r="C41" s="21" t="s">
        <v>131</v>
      </c>
      <c r="D41" s="1" t="s">
        <v>139</v>
      </c>
      <c r="E41" s="1">
        <v>14</v>
      </c>
      <c r="F41" s="1" t="s">
        <v>155</v>
      </c>
      <c r="G41" s="1">
        <v>2</v>
      </c>
      <c r="H41" s="1">
        <v>33</v>
      </c>
      <c r="J41" s="1" t="s">
        <v>162</v>
      </c>
      <c r="K41" s="1" t="s">
        <v>159</v>
      </c>
      <c r="N41" s="1" t="s">
        <v>134</v>
      </c>
      <c r="O41" s="1" t="s">
        <v>134</v>
      </c>
      <c r="P41" s="1" t="s">
        <v>148</v>
      </c>
      <c r="Q41" s="1" t="s">
        <v>149</v>
      </c>
      <c r="U41" s="1">
        <v>-2</v>
      </c>
      <c r="V41" s="1">
        <v>72</v>
      </c>
      <c r="W41" s="1">
        <v>30415</v>
      </c>
      <c r="X41" s="1" t="s">
        <v>138</v>
      </c>
      <c r="AK41" s="7"/>
      <c r="AL41" s="7"/>
    </row>
    <row r="42" spans="1:38" x14ac:dyDescent="0.35">
      <c r="A42" s="2">
        <v>2</v>
      </c>
      <c r="B42" s="15">
        <v>1.5277777777777777E-2</v>
      </c>
      <c r="C42" s="21" t="s">
        <v>131</v>
      </c>
      <c r="D42" s="1" t="s">
        <v>132</v>
      </c>
      <c r="E42" s="1">
        <v>9</v>
      </c>
      <c r="F42" s="1" t="s">
        <v>140</v>
      </c>
      <c r="G42" s="1">
        <v>19</v>
      </c>
      <c r="J42" s="1" t="s">
        <v>165</v>
      </c>
      <c r="P42" s="1" t="s">
        <v>135</v>
      </c>
      <c r="Q42" s="1" t="s">
        <v>136</v>
      </c>
      <c r="R42" s="1" t="s">
        <v>166</v>
      </c>
      <c r="U42" s="1">
        <v>-2</v>
      </c>
      <c r="V42" s="1">
        <v>30</v>
      </c>
      <c r="W42" s="1">
        <v>30415</v>
      </c>
      <c r="X42" s="1" t="s">
        <v>138</v>
      </c>
      <c r="AK42" s="7"/>
      <c r="AL42" s="7"/>
    </row>
    <row r="43" spans="1:38" x14ac:dyDescent="0.35">
      <c r="A43" s="7">
        <v>3</v>
      </c>
      <c r="B43" s="15">
        <v>0.76597222222222228</v>
      </c>
      <c r="C43" s="21" t="s">
        <v>170</v>
      </c>
      <c r="D43" s="1" t="s">
        <v>132</v>
      </c>
      <c r="E43" s="1">
        <v>9</v>
      </c>
      <c r="F43" s="1" t="s">
        <v>140</v>
      </c>
      <c r="G43" s="1">
        <v>23</v>
      </c>
      <c r="H43" s="1">
        <v>17</v>
      </c>
      <c r="J43" s="1" t="s">
        <v>146</v>
      </c>
      <c r="K43" s="1" t="s">
        <v>177</v>
      </c>
      <c r="U43" s="1">
        <v>-2</v>
      </c>
      <c r="V43" s="1">
        <v>30</v>
      </c>
      <c r="W43" s="1">
        <v>30415</v>
      </c>
      <c r="X43" s="1" t="s">
        <v>138</v>
      </c>
      <c r="AK43" s="7"/>
      <c r="AL43" s="7"/>
    </row>
    <row r="44" spans="1:38" x14ac:dyDescent="0.35">
      <c r="A44" s="2">
        <v>3</v>
      </c>
      <c r="B44" s="15">
        <v>0.61597222222222225</v>
      </c>
      <c r="C44" s="21" t="s">
        <v>131</v>
      </c>
      <c r="D44" s="1" t="s">
        <v>132</v>
      </c>
      <c r="E44" s="1">
        <v>63</v>
      </c>
      <c r="F44" s="1" t="s">
        <v>140</v>
      </c>
      <c r="G44" s="1">
        <v>27</v>
      </c>
      <c r="J44" s="1" t="s">
        <v>141</v>
      </c>
      <c r="M44" s="1" t="s">
        <v>134</v>
      </c>
      <c r="N44" s="1" t="s">
        <v>134</v>
      </c>
      <c r="P44" s="1" t="s">
        <v>135</v>
      </c>
      <c r="Q44" s="1" t="s">
        <v>142</v>
      </c>
      <c r="R44" s="1" t="s">
        <v>143</v>
      </c>
      <c r="T44" s="1" t="s">
        <v>134</v>
      </c>
      <c r="U44" s="1">
        <v>-2</v>
      </c>
      <c r="V44" s="1">
        <v>30</v>
      </c>
      <c r="W44" s="1">
        <v>30415</v>
      </c>
      <c r="X44" s="1" t="s">
        <v>138</v>
      </c>
      <c r="AK44" s="7"/>
      <c r="AL44" s="7"/>
    </row>
    <row r="45" spans="1:38" x14ac:dyDescent="0.35">
      <c r="A45" s="7">
        <v>3</v>
      </c>
      <c r="B45" s="14">
        <v>0.60277777777777775</v>
      </c>
      <c r="C45" s="21" t="s">
        <v>131</v>
      </c>
      <c r="D45" s="1" t="s">
        <v>139</v>
      </c>
      <c r="E45" s="1">
        <v>14</v>
      </c>
      <c r="F45" s="1" t="s">
        <v>140</v>
      </c>
      <c r="G45" s="1">
        <v>19</v>
      </c>
      <c r="J45" s="1" t="s">
        <v>145</v>
      </c>
      <c r="N45" s="1" t="s">
        <v>134</v>
      </c>
      <c r="P45" s="1" t="s">
        <v>148</v>
      </c>
      <c r="Q45" s="1" t="s">
        <v>149</v>
      </c>
      <c r="U45" s="1">
        <v>-3</v>
      </c>
      <c r="AK45" s="7"/>
      <c r="AL45" s="7"/>
    </row>
    <row r="46" spans="1:38" x14ac:dyDescent="0.35">
      <c r="A46" s="7">
        <v>3</v>
      </c>
      <c r="B46" s="15">
        <v>0.55347222222222225</v>
      </c>
      <c r="C46" s="21" t="s">
        <v>131</v>
      </c>
      <c r="D46" s="1" t="s">
        <v>139</v>
      </c>
      <c r="E46" s="1">
        <v>97</v>
      </c>
      <c r="F46" s="1" t="s">
        <v>133</v>
      </c>
      <c r="G46" s="1">
        <v>28</v>
      </c>
      <c r="J46" s="1" t="s">
        <v>175</v>
      </c>
      <c r="M46" s="1" t="s">
        <v>134</v>
      </c>
      <c r="N46" s="1" t="s">
        <v>134</v>
      </c>
      <c r="P46" s="1" t="s">
        <v>135</v>
      </c>
      <c r="Q46" s="1" t="s">
        <v>142</v>
      </c>
      <c r="R46" s="1" t="s">
        <v>143</v>
      </c>
      <c r="U46" s="1">
        <v>-3</v>
      </c>
      <c r="V46" s="1">
        <v>72</v>
      </c>
      <c r="W46" s="1">
        <v>30415</v>
      </c>
      <c r="X46" s="1" t="s">
        <v>138</v>
      </c>
      <c r="AK46" s="7"/>
      <c r="AL46" s="7"/>
    </row>
    <row r="47" spans="1:38" x14ac:dyDescent="0.35">
      <c r="A47" s="2">
        <v>3</v>
      </c>
      <c r="B47" s="15">
        <v>0.53125</v>
      </c>
      <c r="C47" s="21" t="s">
        <v>131</v>
      </c>
      <c r="D47" s="1" t="s">
        <v>139</v>
      </c>
      <c r="E47" s="1">
        <v>2</v>
      </c>
      <c r="F47" s="1" t="s">
        <v>155</v>
      </c>
      <c r="G47" s="1">
        <v>97</v>
      </c>
      <c r="H47" s="1">
        <v>2</v>
      </c>
      <c r="J47" s="1" t="s">
        <v>159</v>
      </c>
      <c r="K47" s="1" t="s">
        <v>150</v>
      </c>
      <c r="N47" s="1" t="s">
        <v>134</v>
      </c>
      <c r="P47" s="1" t="s">
        <v>148</v>
      </c>
      <c r="Q47" s="1" t="s">
        <v>149</v>
      </c>
      <c r="U47" s="1">
        <v>-3</v>
      </c>
      <c r="V47" s="1">
        <v>72</v>
      </c>
      <c r="W47" s="1">
        <v>30415</v>
      </c>
      <c r="X47" s="1" t="s">
        <v>138</v>
      </c>
      <c r="AK47" s="7"/>
      <c r="AL47" s="7"/>
    </row>
    <row r="48" spans="1:38" x14ac:dyDescent="0.35">
      <c r="A48" s="7">
        <v>3</v>
      </c>
      <c r="B48" s="14">
        <v>0.52430555555555558</v>
      </c>
      <c r="C48" s="21" t="s">
        <v>131</v>
      </c>
      <c r="D48" s="1" t="s">
        <v>139</v>
      </c>
      <c r="E48" s="1">
        <v>97</v>
      </c>
      <c r="F48" s="1" t="s">
        <v>133</v>
      </c>
      <c r="G48" s="1">
        <v>2</v>
      </c>
      <c r="H48" s="1">
        <v>14</v>
      </c>
      <c r="I48" s="1">
        <v>97</v>
      </c>
      <c r="J48" s="1" t="s">
        <v>162</v>
      </c>
      <c r="K48" s="1" t="s">
        <v>178</v>
      </c>
      <c r="L48" s="1" t="s">
        <v>146</v>
      </c>
      <c r="M48" s="1" t="s">
        <v>134</v>
      </c>
      <c r="N48" s="1" t="s">
        <v>134</v>
      </c>
      <c r="P48" s="1" t="s">
        <v>148</v>
      </c>
      <c r="Q48" s="1" t="s">
        <v>149</v>
      </c>
      <c r="T48" s="1" t="s">
        <v>134</v>
      </c>
      <c r="U48" s="1">
        <v>-3</v>
      </c>
      <c r="V48" s="1">
        <v>72</v>
      </c>
      <c r="W48" s="1">
        <v>30415</v>
      </c>
      <c r="X48" s="1" t="s">
        <v>138</v>
      </c>
      <c r="AK48" s="7"/>
      <c r="AL48" s="7"/>
    </row>
    <row r="49" spans="1:38" x14ac:dyDescent="0.35">
      <c r="A49" s="7">
        <v>3</v>
      </c>
      <c r="B49" s="15">
        <v>0.5083333333333333</v>
      </c>
      <c r="C49" s="21" t="s">
        <v>131</v>
      </c>
      <c r="D49" s="1" t="s">
        <v>139</v>
      </c>
      <c r="E49" s="1">
        <v>33</v>
      </c>
      <c r="F49" s="1" t="s">
        <v>154</v>
      </c>
      <c r="G49" s="1">
        <v>29</v>
      </c>
      <c r="H49" s="1">
        <v>97</v>
      </c>
      <c r="I49" s="1">
        <v>2</v>
      </c>
      <c r="J49" s="1" t="s">
        <v>165</v>
      </c>
      <c r="K49" s="1" t="s">
        <v>168</v>
      </c>
      <c r="L49" s="1" t="s">
        <v>165</v>
      </c>
      <c r="N49" s="1" t="s">
        <v>134</v>
      </c>
      <c r="P49" s="1" t="s">
        <v>135</v>
      </c>
      <c r="Q49" s="1" t="s">
        <v>136</v>
      </c>
      <c r="R49" s="1" t="s">
        <v>179</v>
      </c>
      <c r="U49" s="1">
        <v>-2</v>
      </c>
      <c r="V49" s="1">
        <v>72</v>
      </c>
      <c r="W49" s="1">
        <v>30415</v>
      </c>
      <c r="X49" s="1" t="s">
        <v>138</v>
      </c>
      <c r="AK49" s="7"/>
      <c r="AL49" s="7"/>
    </row>
    <row r="50" spans="1:38" x14ac:dyDescent="0.35">
      <c r="A50" s="7">
        <v>3</v>
      </c>
      <c r="B50" s="15">
        <v>0.49236111111111114</v>
      </c>
      <c r="C50" s="21" t="s">
        <v>131</v>
      </c>
      <c r="D50" s="1" t="s">
        <v>132</v>
      </c>
      <c r="E50" s="1">
        <v>13</v>
      </c>
      <c r="F50" s="1" t="s">
        <v>140</v>
      </c>
      <c r="G50" s="1">
        <v>16</v>
      </c>
      <c r="J50" s="1" t="s">
        <v>180</v>
      </c>
      <c r="M50" s="1" t="s">
        <v>134</v>
      </c>
      <c r="N50" s="1" t="s">
        <v>134</v>
      </c>
      <c r="P50" s="1" t="s">
        <v>148</v>
      </c>
      <c r="Q50" s="1" t="s">
        <v>149</v>
      </c>
      <c r="T50" s="1" t="s">
        <v>134</v>
      </c>
      <c r="U50" s="1">
        <v>-2</v>
      </c>
      <c r="V50" s="1">
        <v>30</v>
      </c>
      <c r="W50" s="1">
        <v>30415</v>
      </c>
      <c r="X50" s="1" t="s">
        <v>138</v>
      </c>
      <c r="AK50" s="7"/>
      <c r="AL50" s="7"/>
    </row>
    <row r="51" spans="1:38" x14ac:dyDescent="0.35">
      <c r="A51" s="2">
        <v>3</v>
      </c>
      <c r="B51" s="15">
        <v>0.46597222222222223</v>
      </c>
      <c r="C51" s="21" t="s">
        <v>131</v>
      </c>
      <c r="D51" s="1" t="s">
        <v>132</v>
      </c>
      <c r="E51" s="1">
        <v>17</v>
      </c>
      <c r="F51" s="1" t="s">
        <v>140</v>
      </c>
      <c r="N51" s="1" t="s">
        <v>134</v>
      </c>
      <c r="O51" s="1" t="s">
        <v>134</v>
      </c>
      <c r="P51" s="1" t="s">
        <v>148</v>
      </c>
      <c r="Q51" s="1" t="s">
        <v>149</v>
      </c>
      <c r="U51" s="1">
        <v>-3</v>
      </c>
      <c r="V51" s="1">
        <v>30</v>
      </c>
      <c r="W51" s="1">
        <v>30415</v>
      </c>
      <c r="X51" s="1" t="s">
        <v>138</v>
      </c>
      <c r="AK51" s="7"/>
      <c r="AL51" s="7"/>
    </row>
    <row r="52" spans="1:38" x14ac:dyDescent="0.35">
      <c r="A52" s="7">
        <v>3</v>
      </c>
      <c r="B52" s="14">
        <v>0.27638888888888891</v>
      </c>
      <c r="C52" s="21" t="s">
        <v>131</v>
      </c>
      <c r="D52" s="1" t="s">
        <v>139</v>
      </c>
      <c r="E52" s="1">
        <v>27</v>
      </c>
      <c r="F52" s="1" t="s">
        <v>144</v>
      </c>
      <c r="G52" s="1">
        <v>29</v>
      </c>
      <c r="H52" s="1">
        <v>96</v>
      </c>
      <c r="J52" s="1" t="s">
        <v>165</v>
      </c>
      <c r="K52" s="1" t="s">
        <v>181</v>
      </c>
      <c r="P52" s="1" t="s">
        <v>135</v>
      </c>
      <c r="Q52" s="1" t="s">
        <v>142</v>
      </c>
      <c r="R52" s="1" t="s">
        <v>182</v>
      </c>
      <c r="U52" s="1">
        <v>-3</v>
      </c>
      <c r="V52" s="1">
        <v>72</v>
      </c>
      <c r="W52" s="1">
        <v>30415</v>
      </c>
      <c r="X52" s="1" t="s">
        <v>138</v>
      </c>
      <c r="AK52" s="7"/>
      <c r="AL52" s="7"/>
    </row>
    <row r="53" spans="1:38" x14ac:dyDescent="0.35">
      <c r="A53" s="7">
        <v>3</v>
      </c>
      <c r="B53" s="14">
        <v>0.24236111111111111</v>
      </c>
      <c r="C53" s="21" t="s">
        <v>131</v>
      </c>
      <c r="D53" s="1" t="s">
        <v>132</v>
      </c>
      <c r="E53" s="1">
        <v>27</v>
      </c>
      <c r="F53" s="1" t="s">
        <v>144</v>
      </c>
      <c r="G53" s="1">
        <v>63</v>
      </c>
      <c r="H53" s="1">
        <v>88</v>
      </c>
      <c r="J53" s="1" t="s">
        <v>167</v>
      </c>
      <c r="K53" s="1" t="s">
        <v>146</v>
      </c>
      <c r="N53" s="1" t="s">
        <v>134</v>
      </c>
      <c r="P53" s="1" t="s">
        <v>148</v>
      </c>
      <c r="Q53" s="1" t="s">
        <v>149</v>
      </c>
      <c r="U53" s="1">
        <v>-3</v>
      </c>
      <c r="V53" s="1">
        <v>30</v>
      </c>
      <c r="W53" s="1">
        <v>30415</v>
      </c>
      <c r="X53" s="1" t="s">
        <v>138</v>
      </c>
      <c r="AK53" s="7"/>
      <c r="AL53" s="7"/>
    </row>
    <row r="54" spans="1:38" x14ac:dyDescent="0.35">
      <c r="A54" s="2">
        <v>3</v>
      </c>
      <c r="B54" s="15">
        <v>0.13333333333333333</v>
      </c>
      <c r="C54" s="21" t="s">
        <v>131</v>
      </c>
      <c r="D54" s="1" t="s">
        <v>139</v>
      </c>
      <c r="E54" s="1">
        <v>90</v>
      </c>
      <c r="F54" s="1" t="s">
        <v>183</v>
      </c>
      <c r="N54" s="1" t="s">
        <v>134</v>
      </c>
      <c r="O54" s="1" t="s">
        <v>134</v>
      </c>
      <c r="T54" s="1" t="s">
        <v>134</v>
      </c>
      <c r="U54" s="1">
        <v>-3</v>
      </c>
      <c r="V54" s="1">
        <v>72</v>
      </c>
      <c r="W54" s="1">
        <v>30415</v>
      </c>
      <c r="X54" s="1" t="s">
        <v>138</v>
      </c>
      <c r="AK54" s="7"/>
      <c r="AL54" s="7"/>
    </row>
    <row r="55" spans="1:38" x14ac:dyDescent="0.35">
      <c r="A55" s="7">
        <v>3</v>
      </c>
      <c r="B55" s="15">
        <v>0.10069444444444445</v>
      </c>
      <c r="C55" s="21" t="s">
        <v>131</v>
      </c>
      <c r="D55" s="1" t="s">
        <v>139</v>
      </c>
      <c r="E55" s="1">
        <v>29</v>
      </c>
      <c r="F55" s="1" t="s">
        <v>140</v>
      </c>
      <c r="G55" s="1">
        <v>2</v>
      </c>
      <c r="J55" s="1" t="s">
        <v>175</v>
      </c>
      <c r="N55" s="1" t="s">
        <v>134</v>
      </c>
      <c r="P55" s="1" t="s">
        <v>135</v>
      </c>
      <c r="Q55" s="1" t="s">
        <v>142</v>
      </c>
      <c r="R55" s="1" t="s">
        <v>152</v>
      </c>
      <c r="U55" s="1">
        <v>-2</v>
      </c>
      <c r="V55" s="1">
        <v>72</v>
      </c>
      <c r="W55" s="1">
        <v>30415</v>
      </c>
      <c r="X55" s="1" t="s">
        <v>138</v>
      </c>
      <c r="AK55" s="7"/>
      <c r="AL55" s="7"/>
    </row>
    <row r="56" spans="1:38" x14ac:dyDescent="0.35">
      <c r="A56" s="7">
        <v>1</v>
      </c>
      <c r="B56" s="15">
        <v>0.82986111111111116</v>
      </c>
      <c r="C56" s="21" t="s">
        <v>131</v>
      </c>
      <c r="AF56" s="5" t="s">
        <v>187</v>
      </c>
      <c r="AG56" s="5" t="s">
        <v>188</v>
      </c>
      <c r="AH56" s="5" t="s">
        <v>189</v>
      </c>
      <c r="AI56" s="5" t="s">
        <v>190</v>
      </c>
      <c r="AJ56" s="5" t="s">
        <v>191</v>
      </c>
      <c r="AK56" s="7"/>
      <c r="AL56" s="7"/>
    </row>
    <row r="57" spans="1:38" x14ac:dyDescent="0.35">
      <c r="A57" s="7">
        <v>1</v>
      </c>
      <c r="B57" s="14">
        <v>0.82430555555555551</v>
      </c>
      <c r="C57" s="21" t="s">
        <v>131</v>
      </c>
      <c r="Y57" s="16" t="s">
        <v>192</v>
      </c>
      <c r="Z57" s="16" t="s">
        <v>193</v>
      </c>
      <c r="AA57" s="16" t="s">
        <v>194</v>
      </c>
      <c r="AB57" s="16" t="s">
        <v>189</v>
      </c>
      <c r="AC57" s="16" t="s">
        <v>195</v>
      </c>
      <c r="AD57" s="16" t="s">
        <v>189</v>
      </c>
      <c r="AE57" s="16" t="s">
        <v>189</v>
      </c>
      <c r="AK57" s="7"/>
      <c r="AL57" s="7"/>
    </row>
    <row r="58" spans="1:38" x14ac:dyDescent="0.35">
      <c r="A58" s="7">
        <v>1</v>
      </c>
      <c r="B58" s="14">
        <v>0.81458333333333333</v>
      </c>
      <c r="C58" s="21" t="s">
        <v>131</v>
      </c>
      <c r="Y58" s="16" t="s">
        <v>192</v>
      </c>
      <c r="Z58" s="16" t="s">
        <v>196</v>
      </c>
      <c r="AA58" s="16" t="s">
        <v>189</v>
      </c>
      <c r="AB58" s="16" t="s">
        <v>189</v>
      </c>
      <c r="AC58" s="16" t="s">
        <v>192</v>
      </c>
      <c r="AD58" s="16" t="s">
        <v>189</v>
      </c>
      <c r="AE58" s="16" t="s">
        <v>147</v>
      </c>
      <c r="AK58" s="7"/>
      <c r="AL58" s="7"/>
    </row>
    <row r="59" spans="1:38" x14ac:dyDescent="0.35">
      <c r="A59" s="2">
        <v>1</v>
      </c>
      <c r="B59" s="15">
        <v>0.81111111111111112</v>
      </c>
      <c r="C59" s="21" t="s">
        <v>131</v>
      </c>
      <c r="AF59" s="5" t="s">
        <v>197</v>
      </c>
      <c r="AG59" s="5" t="s">
        <v>188</v>
      </c>
      <c r="AH59" s="5" t="s">
        <v>189</v>
      </c>
      <c r="AI59" s="5" t="s">
        <v>190</v>
      </c>
      <c r="AJ59" s="5" t="s">
        <v>191</v>
      </c>
      <c r="AK59" s="7"/>
      <c r="AL59" s="7"/>
    </row>
    <row r="60" spans="1:38" x14ac:dyDescent="0.35">
      <c r="A60" s="2">
        <v>1</v>
      </c>
      <c r="B60" s="15">
        <v>0.8041666666666667</v>
      </c>
      <c r="C60" s="21" t="s">
        <v>131</v>
      </c>
      <c r="AF60" s="5" t="s">
        <v>187</v>
      </c>
      <c r="AG60" s="5" t="s">
        <v>188</v>
      </c>
      <c r="AH60" s="5" t="s">
        <v>189</v>
      </c>
      <c r="AI60" s="5" t="s">
        <v>198</v>
      </c>
      <c r="AJ60" s="5" t="s">
        <v>199</v>
      </c>
      <c r="AK60" s="7"/>
      <c r="AL60" s="7"/>
    </row>
    <row r="61" spans="1:38" x14ac:dyDescent="0.35">
      <c r="A61" s="2">
        <v>1</v>
      </c>
      <c r="B61" s="15">
        <v>0.79861111111111116</v>
      </c>
      <c r="C61" s="21" t="s">
        <v>131</v>
      </c>
      <c r="Y61" s="16" t="s">
        <v>200</v>
      </c>
      <c r="Z61" s="16" t="s">
        <v>197</v>
      </c>
      <c r="AA61" s="16" t="s">
        <v>189</v>
      </c>
      <c r="AC61" s="16" t="s">
        <v>195</v>
      </c>
      <c r="AD61" s="16" t="s">
        <v>189</v>
      </c>
      <c r="AE61" s="16" t="s">
        <v>189</v>
      </c>
      <c r="AF61" s="5" t="s">
        <v>201</v>
      </c>
      <c r="AG61" s="5" t="s">
        <v>188</v>
      </c>
      <c r="AH61" s="5" t="s">
        <v>189</v>
      </c>
      <c r="AI61" s="5" t="s">
        <v>202</v>
      </c>
      <c r="AJ61" s="5" t="s">
        <v>203</v>
      </c>
      <c r="AK61" s="7"/>
      <c r="AL61" s="7"/>
    </row>
    <row r="62" spans="1:38" x14ac:dyDescent="0.35">
      <c r="A62" s="2">
        <v>1</v>
      </c>
      <c r="B62" s="15">
        <v>0.79236111111111107</v>
      </c>
      <c r="C62" s="21" t="s">
        <v>131</v>
      </c>
      <c r="AF62" s="5" t="s">
        <v>204</v>
      </c>
      <c r="AG62" s="5" t="s">
        <v>188</v>
      </c>
      <c r="AH62" s="5" t="s">
        <v>189</v>
      </c>
      <c r="AI62" s="5" t="s">
        <v>205</v>
      </c>
      <c r="AJ62" s="5" t="s">
        <v>203</v>
      </c>
      <c r="AK62" s="7"/>
      <c r="AL62" s="7"/>
    </row>
    <row r="63" spans="1:38" x14ac:dyDescent="0.35">
      <c r="A63" s="2">
        <v>1</v>
      </c>
      <c r="B63" s="15">
        <v>0.78472222222222221</v>
      </c>
      <c r="C63" s="21" t="s">
        <v>131</v>
      </c>
      <c r="Y63" s="16" t="s">
        <v>200</v>
      </c>
      <c r="Z63" s="16" t="s">
        <v>202</v>
      </c>
      <c r="AA63" s="16" t="s">
        <v>189</v>
      </c>
      <c r="AC63" s="16" t="s">
        <v>195</v>
      </c>
      <c r="AD63" s="16" t="s">
        <v>189</v>
      </c>
      <c r="AE63" s="16" t="s">
        <v>189</v>
      </c>
      <c r="AF63" s="5" t="s">
        <v>206</v>
      </c>
      <c r="AG63" s="5" t="s">
        <v>199</v>
      </c>
      <c r="AK63" s="7"/>
      <c r="AL63" s="7"/>
    </row>
    <row r="64" spans="1:38" x14ac:dyDescent="0.35">
      <c r="A64" s="2">
        <v>1</v>
      </c>
      <c r="B64" s="15">
        <v>0.78055555555555556</v>
      </c>
      <c r="C64" s="21" t="s">
        <v>131</v>
      </c>
      <c r="Y64" s="16" t="s">
        <v>200</v>
      </c>
      <c r="Z64" s="16" t="s">
        <v>207</v>
      </c>
      <c r="AA64" s="16" t="s">
        <v>189</v>
      </c>
      <c r="AC64" s="16" t="s">
        <v>195</v>
      </c>
      <c r="AD64" s="16" t="s">
        <v>189</v>
      </c>
      <c r="AE64" s="16" t="s">
        <v>189</v>
      </c>
      <c r="AF64" s="5" t="s">
        <v>208</v>
      </c>
      <c r="AG64" s="5" t="s">
        <v>209</v>
      </c>
      <c r="AH64" s="5" t="s">
        <v>210</v>
      </c>
      <c r="AK64" s="7"/>
      <c r="AL64" s="7"/>
    </row>
    <row r="65" spans="1:38" x14ac:dyDescent="0.35">
      <c r="A65" s="2">
        <v>1</v>
      </c>
      <c r="B65" s="15">
        <v>0.77083333333333337</v>
      </c>
      <c r="C65" s="21" t="s">
        <v>131</v>
      </c>
      <c r="AF65" s="5" t="s">
        <v>208</v>
      </c>
      <c r="AG65" s="5" t="s">
        <v>188</v>
      </c>
      <c r="AH65" s="5" t="s">
        <v>210</v>
      </c>
      <c r="AI65" s="5" t="s">
        <v>208</v>
      </c>
      <c r="AJ65" s="5" t="s">
        <v>203</v>
      </c>
      <c r="AK65" s="7"/>
      <c r="AL65" s="7"/>
    </row>
    <row r="66" spans="1:38" x14ac:dyDescent="0.35">
      <c r="A66" s="2">
        <v>1</v>
      </c>
      <c r="B66" s="15">
        <v>0.75902777777777775</v>
      </c>
      <c r="C66" s="21" t="s">
        <v>131</v>
      </c>
      <c r="AF66" s="5" t="s">
        <v>208</v>
      </c>
      <c r="AG66" s="5" t="s">
        <v>191</v>
      </c>
      <c r="AK66" s="7"/>
      <c r="AL66" s="7"/>
    </row>
    <row r="67" spans="1:38" x14ac:dyDescent="0.35">
      <c r="A67" s="2">
        <v>1</v>
      </c>
      <c r="B67" s="15">
        <v>0.75694444444444442</v>
      </c>
      <c r="C67" s="23" t="s">
        <v>131</v>
      </c>
      <c r="Y67" s="16" t="s">
        <v>200</v>
      </c>
      <c r="Z67" s="16" t="s">
        <v>211</v>
      </c>
      <c r="AA67" s="16" t="s">
        <v>212</v>
      </c>
      <c r="AC67" s="16" t="s">
        <v>195</v>
      </c>
      <c r="AD67" s="16" t="s">
        <v>189</v>
      </c>
      <c r="AE67" s="16" t="s">
        <v>189</v>
      </c>
      <c r="AF67" s="5" t="s">
        <v>213</v>
      </c>
      <c r="AG67" s="5" t="s">
        <v>191</v>
      </c>
      <c r="AK67" s="7"/>
      <c r="AL67" s="7"/>
    </row>
    <row r="68" spans="1:38" x14ac:dyDescent="0.35">
      <c r="A68" s="2">
        <v>1</v>
      </c>
      <c r="B68" s="15">
        <v>0.74375000000000002</v>
      </c>
      <c r="C68" s="21" t="s">
        <v>131</v>
      </c>
      <c r="Y68" s="16" t="s">
        <v>200</v>
      </c>
      <c r="Z68" s="16" t="s">
        <v>214</v>
      </c>
      <c r="AA68" s="16" t="s">
        <v>215</v>
      </c>
      <c r="AC68" s="16" t="s">
        <v>174</v>
      </c>
      <c r="AD68" s="16" t="s">
        <v>189</v>
      </c>
      <c r="AE68" s="16" t="s">
        <v>189</v>
      </c>
      <c r="AF68" s="5" t="s">
        <v>204</v>
      </c>
      <c r="AG68" s="5" t="s">
        <v>188</v>
      </c>
      <c r="AH68" s="5" t="s">
        <v>189</v>
      </c>
      <c r="AI68" s="5" t="s">
        <v>216</v>
      </c>
      <c r="AJ68" s="5" t="s">
        <v>209</v>
      </c>
      <c r="AK68" s="7"/>
      <c r="AL68" s="7"/>
    </row>
    <row r="69" spans="1:38" x14ac:dyDescent="0.35">
      <c r="A69" s="2">
        <v>1</v>
      </c>
      <c r="B69" s="15">
        <v>0.73055555555555551</v>
      </c>
      <c r="C69" s="21" t="s">
        <v>131</v>
      </c>
      <c r="AF69" s="5" t="s">
        <v>196</v>
      </c>
      <c r="AG69" s="5" t="s">
        <v>199</v>
      </c>
      <c r="AK69" s="7"/>
      <c r="AL69" s="7"/>
    </row>
    <row r="70" spans="1:38" x14ac:dyDescent="0.35">
      <c r="A70" s="2">
        <v>1</v>
      </c>
      <c r="B70" s="15">
        <v>0.72499999999999998</v>
      </c>
      <c r="C70" s="21" t="s">
        <v>131</v>
      </c>
      <c r="Y70" s="16" t="s">
        <v>192</v>
      </c>
      <c r="Z70" s="16" t="s">
        <v>217</v>
      </c>
      <c r="AA70" s="16" t="s">
        <v>189</v>
      </c>
      <c r="AB70" s="16" t="s">
        <v>189</v>
      </c>
      <c r="AC70" s="16" t="s">
        <v>174</v>
      </c>
      <c r="AD70" s="16" t="s">
        <v>189</v>
      </c>
      <c r="AE70" s="16" t="s">
        <v>189</v>
      </c>
      <c r="AF70" s="5" t="s">
        <v>218</v>
      </c>
      <c r="AG70" s="5" t="s">
        <v>219</v>
      </c>
      <c r="AK70" s="7"/>
      <c r="AL70" s="7"/>
    </row>
    <row r="71" spans="1:38" x14ac:dyDescent="0.35">
      <c r="A71" s="2">
        <v>1</v>
      </c>
      <c r="B71" s="15">
        <v>0.72222222222222221</v>
      </c>
      <c r="C71" s="21" t="s">
        <v>131</v>
      </c>
      <c r="Y71" s="16" t="s">
        <v>200</v>
      </c>
      <c r="Z71" s="16" t="s">
        <v>218</v>
      </c>
      <c r="AA71" s="16" t="s">
        <v>194</v>
      </c>
      <c r="AC71" s="16" t="s">
        <v>195</v>
      </c>
      <c r="AD71" s="16" t="s">
        <v>189</v>
      </c>
      <c r="AE71" s="16" t="s">
        <v>189</v>
      </c>
      <c r="AK71" s="7"/>
      <c r="AL71" s="7"/>
    </row>
    <row r="72" spans="1:38" x14ac:dyDescent="0.35">
      <c r="A72" s="2">
        <v>1</v>
      </c>
      <c r="B72" s="15">
        <v>0.71111111111111114</v>
      </c>
      <c r="C72" s="21" t="s">
        <v>131</v>
      </c>
      <c r="Y72" s="16" t="s">
        <v>200</v>
      </c>
      <c r="Z72" s="16" t="s">
        <v>220</v>
      </c>
      <c r="AA72" s="16" t="s">
        <v>189</v>
      </c>
      <c r="AC72" s="16" t="s">
        <v>195</v>
      </c>
      <c r="AD72" s="16" t="s">
        <v>189</v>
      </c>
      <c r="AE72" s="16" t="s">
        <v>189</v>
      </c>
      <c r="AF72" s="5" t="s">
        <v>218</v>
      </c>
      <c r="AG72" s="5" t="s">
        <v>199</v>
      </c>
      <c r="AK72" s="7"/>
      <c r="AL72" s="7"/>
    </row>
    <row r="73" spans="1:38" x14ac:dyDescent="0.35">
      <c r="A73" s="2">
        <v>1</v>
      </c>
      <c r="B73" s="15">
        <v>0.70347222222222228</v>
      </c>
      <c r="C73" s="21" t="s">
        <v>131</v>
      </c>
      <c r="Y73" s="16" t="s">
        <v>200</v>
      </c>
      <c r="Z73" s="16" t="s">
        <v>206</v>
      </c>
      <c r="AA73" s="16" t="s">
        <v>189</v>
      </c>
      <c r="AC73" s="16" t="s">
        <v>195</v>
      </c>
      <c r="AD73" s="16" t="s">
        <v>189</v>
      </c>
      <c r="AE73" s="16" t="s">
        <v>189</v>
      </c>
      <c r="AF73" s="5" t="s">
        <v>221</v>
      </c>
      <c r="AG73" s="5" t="s">
        <v>191</v>
      </c>
      <c r="AH73" s="5" t="s">
        <v>222</v>
      </c>
      <c r="AK73" s="7"/>
      <c r="AL73" s="7"/>
    </row>
    <row r="74" spans="1:38" x14ac:dyDescent="0.35">
      <c r="A74" s="2">
        <v>1</v>
      </c>
      <c r="B74" s="15">
        <v>0.69444444444444442</v>
      </c>
      <c r="C74" s="21" t="s">
        <v>131</v>
      </c>
      <c r="Y74" s="16" t="s">
        <v>200</v>
      </c>
      <c r="Z74" s="16" t="s">
        <v>223</v>
      </c>
      <c r="AA74" s="16" t="s">
        <v>189</v>
      </c>
      <c r="AC74" s="16" t="s">
        <v>195</v>
      </c>
      <c r="AD74" s="16" t="s">
        <v>189</v>
      </c>
      <c r="AE74" s="16" t="s">
        <v>189</v>
      </c>
      <c r="AF74" s="5" t="s">
        <v>208</v>
      </c>
      <c r="AG74" s="5" t="s">
        <v>203</v>
      </c>
      <c r="AH74" s="5" t="s">
        <v>207</v>
      </c>
      <c r="AK74" s="7"/>
      <c r="AL74" s="7"/>
    </row>
    <row r="75" spans="1:38" x14ac:dyDescent="0.35">
      <c r="A75" s="2">
        <v>1</v>
      </c>
      <c r="B75" s="15">
        <v>0.66874999999999996</v>
      </c>
      <c r="C75" s="21" t="s">
        <v>131</v>
      </c>
      <c r="AF75" s="5" t="s">
        <v>197</v>
      </c>
      <c r="AG75" s="5" t="s">
        <v>188</v>
      </c>
      <c r="AH75" s="5" t="s">
        <v>189</v>
      </c>
      <c r="AI75" s="5" t="s">
        <v>210</v>
      </c>
      <c r="AJ75" s="5" t="s">
        <v>219</v>
      </c>
      <c r="AK75" s="7"/>
      <c r="AL75" s="7"/>
    </row>
    <row r="76" spans="1:38" x14ac:dyDescent="0.35">
      <c r="A76" s="2">
        <v>1</v>
      </c>
      <c r="B76" s="15">
        <v>0.66805555555555551</v>
      </c>
      <c r="C76" s="21" t="s">
        <v>131</v>
      </c>
      <c r="Y76" s="16" t="s">
        <v>192</v>
      </c>
      <c r="Z76" s="16" t="s">
        <v>210</v>
      </c>
      <c r="AA76" s="16" t="s">
        <v>201</v>
      </c>
      <c r="AB76" s="16" t="s">
        <v>189</v>
      </c>
      <c r="AC76" s="16" t="s">
        <v>195</v>
      </c>
      <c r="AD76" s="16" t="s">
        <v>189</v>
      </c>
      <c r="AE76" s="16" t="s">
        <v>189</v>
      </c>
      <c r="AF76" s="5" t="s">
        <v>205</v>
      </c>
      <c r="AG76" s="5" t="s">
        <v>209</v>
      </c>
      <c r="AK76" s="7"/>
      <c r="AL76" s="7"/>
    </row>
    <row r="77" spans="1:38" x14ac:dyDescent="0.35">
      <c r="A77" s="2">
        <v>1</v>
      </c>
      <c r="B77" s="15">
        <v>0.65625</v>
      </c>
      <c r="C77" s="21" t="s">
        <v>131</v>
      </c>
      <c r="AF77" s="5" t="s">
        <v>205</v>
      </c>
      <c r="AG77" s="5" t="s">
        <v>209</v>
      </c>
      <c r="AH77" s="5" t="s">
        <v>210</v>
      </c>
      <c r="AK77" s="7"/>
      <c r="AL77" s="7"/>
    </row>
    <row r="78" spans="1:38" x14ac:dyDescent="0.35">
      <c r="A78" s="2">
        <v>1</v>
      </c>
      <c r="B78" s="15">
        <v>0.65486111111111112</v>
      </c>
      <c r="C78" s="21" t="s">
        <v>131</v>
      </c>
      <c r="AF78" s="5" t="s">
        <v>202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0.64930555555555558</v>
      </c>
      <c r="C79" s="21" t="s">
        <v>131</v>
      </c>
      <c r="Y79" s="16" t="s">
        <v>224</v>
      </c>
      <c r="Z79" s="16" t="s">
        <v>205</v>
      </c>
      <c r="AA79" s="16" t="s">
        <v>197</v>
      </c>
      <c r="AC79" s="16" t="s">
        <v>192</v>
      </c>
      <c r="AD79" s="16" t="s">
        <v>189</v>
      </c>
      <c r="AE79" s="16" t="s">
        <v>189</v>
      </c>
      <c r="AK79" s="7"/>
      <c r="AL79" s="7"/>
    </row>
    <row r="80" spans="1:38" x14ac:dyDescent="0.35">
      <c r="A80" s="2">
        <v>1</v>
      </c>
      <c r="B80" s="15">
        <v>0.64583333333333337</v>
      </c>
      <c r="C80" s="21" t="s">
        <v>131</v>
      </c>
      <c r="Y80" s="16" t="s">
        <v>192</v>
      </c>
      <c r="Z80" s="16" t="s">
        <v>210</v>
      </c>
      <c r="AA80" s="16" t="s">
        <v>189</v>
      </c>
      <c r="AB80" s="16" t="s">
        <v>189</v>
      </c>
      <c r="AC80" s="16" t="s">
        <v>195</v>
      </c>
      <c r="AD80" s="16" t="s">
        <v>189</v>
      </c>
      <c r="AE80" s="16" t="s">
        <v>189</v>
      </c>
      <c r="AF80" s="5" t="s">
        <v>202</v>
      </c>
      <c r="AG80" s="5" t="s">
        <v>203</v>
      </c>
      <c r="AK80" s="7"/>
      <c r="AL80" s="7"/>
    </row>
    <row r="81" spans="1:38" x14ac:dyDescent="0.35">
      <c r="A81" s="2">
        <v>1</v>
      </c>
      <c r="B81" s="15">
        <v>0.63194444444444442</v>
      </c>
      <c r="C81" s="21" t="s">
        <v>131</v>
      </c>
      <c r="Y81" s="16" t="s">
        <v>200</v>
      </c>
      <c r="Z81" s="16" t="s">
        <v>197</v>
      </c>
      <c r="AA81" s="16" t="s">
        <v>189</v>
      </c>
      <c r="AC81" s="16" t="s">
        <v>195</v>
      </c>
      <c r="AD81" s="16" t="s">
        <v>189</v>
      </c>
      <c r="AE81" s="16" t="s">
        <v>189</v>
      </c>
      <c r="AF81" s="5" t="s">
        <v>215</v>
      </c>
      <c r="AG81" s="5" t="s">
        <v>188</v>
      </c>
      <c r="AH81" s="5" t="s">
        <v>189</v>
      </c>
      <c r="AI81" s="5" t="s">
        <v>194</v>
      </c>
      <c r="AJ81" s="5" t="s">
        <v>209</v>
      </c>
      <c r="AK81" s="7"/>
      <c r="AL81" s="7"/>
    </row>
    <row r="82" spans="1:38" x14ac:dyDescent="0.35">
      <c r="A82" s="2">
        <v>1</v>
      </c>
      <c r="B82" s="15">
        <v>0.62847222222222221</v>
      </c>
      <c r="C82" s="21" t="s">
        <v>131</v>
      </c>
      <c r="AF82" s="5" t="s">
        <v>215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0.62569444444444444</v>
      </c>
      <c r="C83" s="21" t="s">
        <v>131</v>
      </c>
      <c r="Y83" s="16" t="s">
        <v>225</v>
      </c>
      <c r="Z83" s="16" t="s">
        <v>139</v>
      </c>
      <c r="AE83" s="16" t="s">
        <v>147</v>
      </c>
      <c r="AF83" s="5" t="s">
        <v>226</v>
      </c>
      <c r="AG83" s="5" t="s">
        <v>209</v>
      </c>
      <c r="AH83" s="5" t="s">
        <v>196</v>
      </c>
      <c r="AK83" s="7"/>
      <c r="AL83" s="7"/>
    </row>
    <row r="84" spans="1:38" x14ac:dyDescent="0.35">
      <c r="A84" s="2">
        <v>1</v>
      </c>
      <c r="B84" s="15">
        <v>0.61111111111111116</v>
      </c>
      <c r="C84" s="21" t="s">
        <v>131</v>
      </c>
      <c r="Y84" s="16" t="s">
        <v>200</v>
      </c>
      <c r="Z84" s="16" t="s">
        <v>215</v>
      </c>
      <c r="AA84" s="16" t="s">
        <v>189</v>
      </c>
      <c r="AC84" s="16" t="s">
        <v>192</v>
      </c>
      <c r="AD84" s="16" t="s">
        <v>189</v>
      </c>
      <c r="AE84" s="16" t="s">
        <v>189</v>
      </c>
      <c r="AF84" s="5" t="s">
        <v>187</v>
      </c>
      <c r="AG84" s="5" t="s">
        <v>188</v>
      </c>
      <c r="AH84" s="5" t="s">
        <v>189</v>
      </c>
      <c r="AI84" s="5" t="s">
        <v>197</v>
      </c>
      <c r="AJ84" s="5" t="s">
        <v>203</v>
      </c>
      <c r="AK84" s="7"/>
      <c r="AL84" s="7"/>
    </row>
    <row r="85" spans="1:38" x14ac:dyDescent="0.35">
      <c r="A85" s="2">
        <v>1</v>
      </c>
      <c r="B85" s="15">
        <v>0.6069444444444444</v>
      </c>
      <c r="C85" s="21" t="s">
        <v>131</v>
      </c>
      <c r="Y85" s="16" t="s">
        <v>200</v>
      </c>
      <c r="Z85" s="16" t="s">
        <v>214</v>
      </c>
      <c r="AA85" s="16" t="s">
        <v>215</v>
      </c>
      <c r="AC85" s="16" t="s">
        <v>174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0.59722222222222221</v>
      </c>
      <c r="C86" s="21" t="s">
        <v>131</v>
      </c>
      <c r="Y86" s="16" t="s">
        <v>224</v>
      </c>
      <c r="Z86" s="16" t="s">
        <v>217</v>
      </c>
      <c r="AA86" s="16" t="s">
        <v>212</v>
      </c>
      <c r="AB86" s="16" t="s">
        <v>189</v>
      </c>
      <c r="AC86" s="16" t="s">
        <v>192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0.59375</v>
      </c>
      <c r="C87" s="21" t="s">
        <v>131</v>
      </c>
      <c r="Y87" s="16" t="s">
        <v>192</v>
      </c>
      <c r="Z87" s="16" t="s">
        <v>198</v>
      </c>
      <c r="AA87" s="16" t="s">
        <v>227</v>
      </c>
      <c r="AB87" s="16" t="s">
        <v>147</v>
      </c>
      <c r="AC87" s="16" t="s">
        <v>174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0.59027777777777779</v>
      </c>
      <c r="C88" s="21" t="s">
        <v>131</v>
      </c>
      <c r="AF88" s="5" t="s">
        <v>208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0.57986111111111116</v>
      </c>
      <c r="C89" s="21" t="s">
        <v>131</v>
      </c>
      <c r="Y89" s="16" t="s">
        <v>200</v>
      </c>
      <c r="Z89" s="16" t="s">
        <v>193</v>
      </c>
      <c r="AA89" s="16" t="s">
        <v>221</v>
      </c>
      <c r="AC89" s="16" t="s">
        <v>174</v>
      </c>
      <c r="AD89" s="16" t="s">
        <v>189</v>
      </c>
      <c r="AE89" s="16" t="s">
        <v>189</v>
      </c>
      <c r="AF89" s="5" t="s">
        <v>204</v>
      </c>
      <c r="AG89" s="5" t="s">
        <v>188</v>
      </c>
      <c r="AH89" s="5" t="s">
        <v>189</v>
      </c>
      <c r="AI89" s="5" t="s">
        <v>208</v>
      </c>
      <c r="AJ89" s="5" t="s">
        <v>203</v>
      </c>
      <c r="AK89" s="7"/>
      <c r="AL89" s="7"/>
    </row>
    <row r="90" spans="1:38" x14ac:dyDescent="0.35">
      <c r="A90" s="2">
        <v>1</v>
      </c>
      <c r="B90" s="15">
        <v>0.5708333333333333</v>
      </c>
      <c r="C90" s="21" t="s">
        <v>131</v>
      </c>
      <c r="Y90" s="16" t="s">
        <v>224</v>
      </c>
      <c r="Z90" s="16" t="s">
        <v>228</v>
      </c>
      <c r="AA90" s="16" t="s">
        <v>193</v>
      </c>
      <c r="AC90" s="16" t="s">
        <v>192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0.56527777777777777</v>
      </c>
      <c r="C91" s="21" t="s">
        <v>131</v>
      </c>
      <c r="Y91" s="16" t="s">
        <v>200</v>
      </c>
      <c r="Z91" s="16" t="s">
        <v>229</v>
      </c>
      <c r="AA91" s="16" t="s">
        <v>189</v>
      </c>
      <c r="AC91" s="16" t="s">
        <v>174</v>
      </c>
      <c r="AD91" s="16" t="s">
        <v>189</v>
      </c>
      <c r="AE91" s="16" t="s">
        <v>189</v>
      </c>
      <c r="AF91" s="5" t="s">
        <v>228</v>
      </c>
      <c r="AG91" s="5" t="s">
        <v>219</v>
      </c>
      <c r="AK91" s="7"/>
      <c r="AL91" s="7"/>
    </row>
    <row r="92" spans="1:38" x14ac:dyDescent="0.35">
      <c r="A92" s="2">
        <v>1</v>
      </c>
      <c r="B92" s="15">
        <v>0.55555555555555558</v>
      </c>
      <c r="C92" s="21" t="s">
        <v>131</v>
      </c>
      <c r="Y92" s="16" t="s">
        <v>200</v>
      </c>
      <c r="Z92" s="16" t="s">
        <v>228</v>
      </c>
      <c r="AA92" s="16" t="s">
        <v>230</v>
      </c>
      <c r="AC92" s="16" t="s">
        <v>192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0.54097222222222219</v>
      </c>
      <c r="C93" s="21" t="s">
        <v>131</v>
      </c>
      <c r="AF93" s="5" t="s">
        <v>187</v>
      </c>
      <c r="AG93" s="5" t="s">
        <v>209</v>
      </c>
      <c r="AK93" s="7"/>
      <c r="AL93" s="7"/>
    </row>
    <row r="94" spans="1:38" x14ac:dyDescent="0.35">
      <c r="A94" s="2">
        <v>1</v>
      </c>
      <c r="B94" s="15">
        <v>0.53402777777777777</v>
      </c>
      <c r="C94" s="21" t="s">
        <v>131</v>
      </c>
      <c r="AF94" s="5" t="s">
        <v>213</v>
      </c>
      <c r="AG94" s="5" t="s">
        <v>231</v>
      </c>
      <c r="AH94" s="5" t="s">
        <v>232</v>
      </c>
      <c r="AK94" s="7"/>
      <c r="AL94" s="7"/>
    </row>
    <row r="95" spans="1:38" x14ac:dyDescent="0.35">
      <c r="A95" s="2">
        <v>1</v>
      </c>
      <c r="B95" s="15">
        <v>0.52777777777777779</v>
      </c>
      <c r="C95" s="21" t="s">
        <v>131</v>
      </c>
      <c r="AF95" s="5" t="s">
        <v>226</v>
      </c>
      <c r="AG95" s="5" t="s">
        <v>199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131</v>
      </c>
      <c r="Y96" s="16" t="s">
        <v>192</v>
      </c>
      <c r="Z96" s="16" t="s">
        <v>210</v>
      </c>
      <c r="AA96" s="16" t="s">
        <v>201</v>
      </c>
      <c r="AB96" s="16" t="s">
        <v>189</v>
      </c>
      <c r="AC96" s="16" t="s">
        <v>192</v>
      </c>
      <c r="AD96" s="16" t="s">
        <v>189</v>
      </c>
      <c r="AE96" s="16" t="s">
        <v>147</v>
      </c>
      <c r="AK96" s="7"/>
      <c r="AL96" s="7"/>
    </row>
    <row r="97" spans="1:38" x14ac:dyDescent="0.35">
      <c r="A97" s="2">
        <v>1</v>
      </c>
      <c r="B97" s="15">
        <v>0.51597222222222228</v>
      </c>
      <c r="C97" s="21" t="s">
        <v>131</v>
      </c>
      <c r="Y97" s="16" t="s">
        <v>200</v>
      </c>
      <c r="Z97" s="16" t="s">
        <v>233</v>
      </c>
      <c r="AA97" s="16" t="s">
        <v>189</v>
      </c>
      <c r="AC97" s="16" t="s">
        <v>195</v>
      </c>
      <c r="AD97" s="16" t="s">
        <v>189</v>
      </c>
      <c r="AE97" s="16" t="s">
        <v>189</v>
      </c>
      <c r="AF97" s="5" t="s">
        <v>194</v>
      </c>
      <c r="AG97" s="5" t="s">
        <v>231</v>
      </c>
      <c r="AH97" s="5" t="s">
        <v>198</v>
      </c>
      <c r="AK97" s="7"/>
      <c r="AL97" s="7"/>
    </row>
    <row r="98" spans="1:38" x14ac:dyDescent="0.35">
      <c r="A98" s="2">
        <v>1</v>
      </c>
      <c r="B98" s="15">
        <v>0.49375000000000002</v>
      </c>
      <c r="C98" s="21" t="s">
        <v>131</v>
      </c>
      <c r="AF98" s="5" t="s">
        <v>194</v>
      </c>
      <c r="AG98" s="5" t="s">
        <v>188</v>
      </c>
      <c r="AH98" s="5" t="s">
        <v>189</v>
      </c>
      <c r="AI98" s="5" t="s">
        <v>215</v>
      </c>
      <c r="AJ98" s="5" t="s">
        <v>203</v>
      </c>
      <c r="AK98" s="7"/>
      <c r="AL98" s="7"/>
    </row>
    <row r="99" spans="1:38" x14ac:dyDescent="0.35">
      <c r="A99" s="2">
        <v>1</v>
      </c>
      <c r="B99" s="15">
        <v>0.48888888888888887</v>
      </c>
      <c r="C99" s="21" t="s">
        <v>131</v>
      </c>
      <c r="Y99" s="16" t="s">
        <v>192</v>
      </c>
      <c r="Z99" s="16" t="s">
        <v>198</v>
      </c>
      <c r="AA99" s="16" t="s">
        <v>215</v>
      </c>
      <c r="AB99" s="16" t="s">
        <v>189</v>
      </c>
      <c r="AC99" s="16" t="s">
        <v>174</v>
      </c>
      <c r="AD99" s="16" t="s">
        <v>189</v>
      </c>
      <c r="AE99" s="16" t="s">
        <v>189</v>
      </c>
      <c r="AF99" s="5" t="s">
        <v>217</v>
      </c>
      <c r="AG99" s="5" t="s">
        <v>188</v>
      </c>
      <c r="AH99" s="5" t="s">
        <v>233</v>
      </c>
      <c r="AI99" s="5" t="s">
        <v>196</v>
      </c>
      <c r="AJ99" s="5" t="s">
        <v>219</v>
      </c>
      <c r="AK99" s="7"/>
      <c r="AL99" s="7"/>
    </row>
    <row r="100" spans="1:38" x14ac:dyDescent="0.35">
      <c r="A100" s="2">
        <v>1</v>
      </c>
      <c r="B100" s="15">
        <v>0.47499999999999998</v>
      </c>
      <c r="C100" s="21" t="s">
        <v>131</v>
      </c>
      <c r="Y100" s="16" t="s">
        <v>200</v>
      </c>
      <c r="Z100" s="16" t="s">
        <v>196</v>
      </c>
      <c r="AA100" s="16" t="s">
        <v>229</v>
      </c>
      <c r="AC100" s="16" t="s">
        <v>192</v>
      </c>
      <c r="AD100" s="16" t="s">
        <v>189</v>
      </c>
      <c r="AE100" s="16" t="s">
        <v>189</v>
      </c>
      <c r="AF100" s="5" t="s">
        <v>213</v>
      </c>
      <c r="AG100" s="5" t="s">
        <v>203</v>
      </c>
      <c r="AH100" s="5" t="s">
        <v>202</v>
      </c>
      <c r="AK100" s="7"/>
      <c r="AL100" s="7"/>
    </row>
    <row r="101" spans="1:38" x14ac:dyDescent="0.35">
      <c r="A101" s="2">
        <v>1</v>
      </c>
      <c r="B101" s="15">
        <v>0.46180555555555558</v>
      </c>
      <c r="C101" s="21" t="s">
        <v>131</v>
      </c>
      <c r="Y101" s="16" t="s">
        <v>200</v>
      </c>
      <c r="Z101" s="16" t="s">
        <v>234</v>
      </c>
      <c r="AA101" s="16" t="s">
        <v>189</v>
      </c>
      <c r="AC101" s="16" t="s">
        <v>174</v>
      </c>
      <c r="AD101" s="16" t="s">
        <v>205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0.4513888888888889</v>
      </c>
      <c r="C102" s="21" t="s">
        <v>131</v>
      </c>
      <c r="Y102" s="16" t="s">
        <v>192</v>
      </c>
      <c r="Z102" s="16" t="s">
        <v>210</v>
      </c>
      <c r="AA102" s="16" t="s">
        <v>234</v>
      </c>
      <c r="AB102" s="16" t="s">
        <v>189</v>
      </c>
      <c r="AC102" s="16" t="s">
        <v>192</v>
      </c>
      <c r="AD102" s="16" t="s">
        <v>189</v>
      </c>
      <c r="AE102" s="16" t="s">
        <v>147</v>
      </c>
      <c r="AK102" s="7"/>
      <c r="AL102" s="7"/>
    </row>
    <row r="103" spans="1:38" x14ac:dyDescent="0.35">
      <c r="A103" s="2">
        <v>1</v>
      </c>
      <c r="B103" s="15">
        <v>0.44444444444444442</v>
      </c>
      <c r="C103" s="21" t="s">
        <v>131</v>
      </c>
      <c r="Y103" s="16" t="s">
        <v>192</v>
      </c>
      <c r="Z103" s="16" t="s">
        <v>229</v>
      </c>
      <c r="AA103" s="16" t="s">
        <v>227</v>
      </c>
      <c r="AB103" s="16" t="s">
        <v>189</v>
      </c>
      <c r="AC103" s="16" t="s">
        <v>192</v>
      </c>
      <c r="AD103" s="16" t="s">
        <v>189</v>
      </c>
      <c r="AE103" s="16" t="s">
        <v>189</v>
      </c>
      <c r="AF103" s="5" t="s">
        <v>208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0.4375</v>
      </c>
      <c r="C104" s="21" t="s">
        <v>131</v>
      </c>
      <c r="Y104" s="16" t="s">
        <v>200</v>
      </c>
      <c r="Z104" s="16" t="s">
        <v>205</v>
      </c>
      <c r="AA104" s="16" t="s">
        <v>206</v>
      </c>
      <c r="AC104" s="16" t="s">
        <v>174</v>
      </c>
      <c r="AD104" s="16" t="s">
        <v>189</v>
      </c>
      <c r="AE104" s="16" t="s">
        <v>189</v>
      </c>
      <c r="AF104" s="5" t="s">
        <v>206</v>
      </c>
      <c r="AG104" s="5" t="s">
        <v>203</v>
      </c>
      <c r="AK104" s="7"/>
      <c r="AL104" s="7"/>
    </row>
    <row r="105" spans="1:38" x14ac:dyDescent="0.35">
      <c r="A105" s="2">
        <v>1</v>
      </c>
      <c r="B105" s="15">
        <v>0.43055555555555558</v>
      </c>
      <c r="C105" s="21" t="s">
        <v>131</v>
      </c>
      <c r="AF105" s="5" t="s">
        <v>227</v>
      </c>
      <c r="AG105" s="5" t="s">
        <v>188</v>
      </c>
      <c r="AH105" s="5" t="s">
        <v>193</v>
      </c>
      <c r="AI105" s="5" t="s">
        <v>208</v>
      </c>
      <c r="AJ105" s="5" t="s">
        <v>209</v>
      </c>
      <c r="AK105" s="7"/>
      <c r="AL105" s="7"/>
    </row>
    <row r="106" spans="1:38" x14ac:dyDescent="0.35">
      <c r="A106" s="2">
        <v>1</v>
      </c>
      <c r="B106" s="15">
        <v>0.40208333333333335</v>
      </c>
      <c r="C106" s="21" t="s">
        <v>131</v>
      </c>
      <c r="AF106" s="5" t="s">
        <v>232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0.3923611111111111</v>
      </c>
      <c r="C107" s="21" t="s">
        <v>131</v>
      </c>
      <c r="Y107" s="16" t="s">
        <v>192</v>
      </c>
      <c r="Z107" s="16" t="s">
        <v>214</v>
      </c>
      <c r="AA107" s="16" t="s">
        <v>201</v>
      </c>
      <c r="AB107" s="16" t="s">
        <v>147</v>
      </c>
      <c r="AC107" s="16" t="s">
        <v>195</v>
      </c>
      <c r="AD107" s="16" t="s">
        <v>189</v>
      </c>
      <c r="AE107" s="16" t="s">
        <v>189</v>
      </c>
      <c r="AF107" s="5" t="s">
        <v>201</v>
      </c>
      <c r="AG107" s="5" t="s">
        <v>199</v>
      </c>
      <c r="AK107" s="7"/>
      <c r="AL107" s="7"/>
    </row>
    <row r="108" spans="1:38" x14ac:dyDescent="0.35">
      <c r="A108" s="2">
        <v>1</v>
      </c>
      <c r="B108" s="15">
        <v>0.37847222222222221</v>
      </c>
      <c r="C108" s="21" t="s">
        <v>131</v>
      </c>
      <c r="Y108" s="16" t="s">
        <v>192</v>
      </c>
      <c r="Z108" s="16" t="s">
        <v>211</v>
      </c>
      <c r="AA108" s="16" t="s">
        <v>214</v>
      </c>
      <c r="AB108" s="16" t="s">
        <v>189</v>
      </c>
      <c r="AC108" s="16" t="s">
        <v>195</v>
      </c>
      <c r="AD108" s="16" t="s">
        <v>189</v>
      </c>
      <c r="AE108" s="16" t="s">
        <v>189</v>
      </c>
      <c r="AF108" s="5" t="s">
        <v>214</v>
      </c>
      <c r="AG108" s="5" t="s">
        <v>188</v>
      </c>
      <c r="AH108" s="5" t="s">
        <v>189</v>
      </c>
      <c r="AI108" s="5" t="s">
        <v>214</v>
      </c>
      <c r="AJ108" s="5" t="s">
        <v>219</v>
      </c>
      <c r="AK108" s="7"/>
      <c r="AL108" s="7"/>
    </row>
    <row r="109" spans="1:38" x14ac:dyDescent="0.35">
      <c r="A109" s="2">
        <v>1</v>
      </c>
      <c r="B109" s="15">
        <v>0.37083333333333335</v>
      </c>
      <c r="C109" s="21" t="s">
        <v>131</v>
      </c>
      <c r="Y109" s="16" t="s">
        <v>200</v>
      </c>
      <c r="Z109" s="16" t="s">
        <v>214</v>
      </c>
      <c r="AA109" s="16" t="s">
        <v>194</v>
      </c>
      <c r="AC109" s="16" t="s">
        <v>195</v>
      </c>
      <c r="AD109" s="16" t="s">
        <v>207</v>
      </c>
      <c r="AE109" s="16" t="s">
        <v>189</v>
      </c>
      <c r="AF109" s="5" t="s">
        <v>194</v>
      </c>
      <c r="AG109" s="5" t="s">
        <v>188</v>
      </c>
      <c r="AH109" s="5" t="s">
        <v>235</v>
      </c>
      <c r="AI109" s="5" t="s">
        <v>215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0.3527777777777778</v>
      </c>
      <c r="C110" s="21" t="s">
        <v>131</v>
      </c>
      <c r="Y110" s="16" t="s">
        <v>200</v>
      </c>
      <c r="Z110" s="16" t="s">
        <v>196</v>
      </c>
      <c r="AA110" s="16" t="s">
        <v>213</v>
      </c>
      <c r="AC110" s="16" t="s">
        <v>174</v>
      </c>
      <c r="AD110" s="16" t="s">
        <v>189</v>
      </c>
      <c r="AE110" s="16" t="s">
        <v>189</v>
      </c>
      <c r="AF110" s="5" t="s">
        <v>212</v>
      </c>
      <c r="AG110" s="5" t="s">
        <v>188</v>
      </c>
      <c r="AH110" s="5" t="s">
        <v>189</v>
      </c>
      <c r="AI110" s="5" t="s">
        <v>229</v>
      </c>
      <c r="AJ110" s="5" t="s">
        <v>219</v>
      </c>
      <c r="AK110" s="7"/>
      <c r="AL110" s="7"/>
    </row>
    <row r="111" spans="1:38" x14ac:dyDescent="0.35">
      <c r="A111" s="2">
        <v>1</v>
      </c>
      <c r="B111" s="15">
        <v>0.34236111111111112</v>
      </c>
      <c r="C111" s="21" t="s">
        <v>131</v>
      </c>
      <c r="Y111" s="16" t="s">
        <v>192</v>
      </c>
      <c r="Z111" s="16" t="s">
        <v>229</v>
      </c>
      <c r="AA111" s="16" t="s">
        <v>194</v>
      </c>
      <c r="AB111" s="16" t="s">
        <v>147</v>
      </c>
      <c r="AC111" s="16" t="s">
        <v>195</v>
      </c>
      <c r="AD111" s="16" t="s">
        <v>189</v>
      </c>
      <c r="AE111" s="16" t="s">
        <v>147</v>
      </c>
      <c r="AF111" s="5" t="s">
        <v>194</v>
      </c>
      <c r="AG111" s="5" t="s">
        <v>188</v>
      </c>
      <c r="AH111" s="5" t="s">
        <v>235</v>
      </c>
      <c r="AI111" s="5" t="s">
        <v>215</v>
      </c>
      <c r="AJ111" s="5" t="s">
        <v>199</v>
      </c>
      <c r="AK111" s="7"/>
      <c r="AL111" s="7"/>
    </row>
    <row r="112" spans="1:38" x14ac:dyDescent="0.35">
      <c r="A112" s="2">
        <v>1</v>
      </c>
      <c r="B112" s="15">
        <v>0.3347222222222222</v>
      </c>
      <c r="C112" s="21" t="s">
        <v>131</v>
      </c>
      <c r="Y112" s="16" t="s">
        <v>192</v>
      </c>
      <c r="Z112" s="16" t="s">
        <v>217</v>
      </c>
      <c r="AA112" s="16" t="s">
        <v>230</v>
      </c>
      <c r="AB112" s="16" t="s">
        <v>189</v>
      </c>
      <c r="AC112" s="16" t="s">
        <v>195</v>
      </c>
      <c r="AD112" s="16" t="s">
        <v>189</v>
      </c>
      <c r="AE112" s="16" t="s">
        <v>189</v>
      </c>
      <c r="AF112" s="5" t="s">
        <v>226</v>
      </c>
      <c r="AG112" s="5" t="s">
        <v>199</v>
      </c>
      <c r="AK112" s="7"/>
      <c r="AL112" s="7"/>
    </row>
    <row r="113" spans="1:38" x14ac:dyDescent="0.35">
      <c r="A113" s="2">
        <v>1</v>
      </c>
      <c r="B113" s="15">
        <v>0.32569444444444445</v>
      </c>
      <c r="C113" s="21" t="s">
        <v>131</v>
      </c>
      <c r="Y113" s="16" t="s">
        <v>224</v>
      </c>
      <c r="Z113" s="16" t="s">
        <v>222</v>
      </c>
      <c r="AA113" s="16" t="s">
        <v>208</v>
      </c>
      <c r="AC113" s="16" t="s">
        <v>195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0.31944444444444442</v>
      </c>
      <c r="C114" s="21" t="s">
        <v>131</v>
      </c>
      <c r="Y114" s="16" t="s">
        <v>200</v>
      </c>
      <c r="Z114" s="16" t="s">
        <v>236</v>
      </c>
      <c r="AA114" s="16" t="s">
        <v>189</v>
      </c>
      <c r="AC114" s="16" t="s">
        <v>174</v>
      </c>
      <c r="AD114" s="16" t="s">
        <v>189</v>
      </c>
      <c r="AE114" s="16" t="s">
        <v>189</v>
      </c>
      <c r="AF114" s="5" t="s">
        <v>204</v>
      </c>
      <c r="AG114" s="5" t="s">
        <v>188</v>
      </c>
      <c r="AH114" s="5" t="s">
        <v>189</v>
      </c>
      <c r="AI114" s="5" t="s">
        <v>208</v>
      </c>
      <c r="AJ114" s="5" t="s">
        <v>199</v>
      </c>
      <c r="AK114" s="7"/>
      <c r="AL114" s="7"/>
    </row>
    <row r="115" spans="1:38" x14ac:dyDescent="0.35">
      <c r="A115" s="2">
        <v>1</v>
      </c>
      <c r="B115" s="15">
        <v>0.31180555555555556</v>
      </c>
      <c r="C115" s="21" t="s">
        <v>131</v>
      </c>
      <c r="Y115" s="16" t="s">
        <v>200</v>
      </c>
      <c r="Z115" s="16" t="s">
        <v>220</v>
      </c>
      <c r="AA115" s="16" t="s">
        <v>197</v>
      </c>
      <c r="AC115" s="16" t="s">
        <v>174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131</v>
      </c>
      <c r="AF116" s="5" t="s">
        <v>190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0.30208333333333331</v>
      </c>
      <c r="C117" s="21" t="s">
        <v>131</v>
      </c>
      <c r="Y117" s="16" t="s">
        <v>200</v>
      </c>
      <c r="Z117" s="16" t="s">
        <v>198</v>
      </c>
      <c r="AA117" s="16" t="s">
        <v>208</v>
      </c>
      <c r="AC117" s="16" t="s">
        <v>195</v>
      </c>
      <c r="AD117" s="16" t="s">
        <v>214</v>
      </c>
      <c r="AE117" s="16" t="s">
        <v>134</v>
      </c>
      <c r="AF117" s="5" t="s">
        <v>208</v>
      </c>
      <c r="AG117" s="5" t="s">
        <v>188</v>
      </c>
      <c r="AH117" s="5" t="s">
        <v>214</v>
      </c>
      <c r="AI117" s="5" t="s">
        <v>202</v>
      </c>
      <c r="AJ117" s="5" t="s">
        <v>209</v>
      </c>
      <c r="AK117" s="7"/>
      <c r="AL117" s="7"/>
    </row>
    <row r="118" spans="1:38" x14ac:dyDescent="0.35">
      <c r="A118" s="2">
        <v>1</v>
      </c>
      <c r="B118" s="15">
        <v>0.28819444444444442</v>
      </c>
      <c r="C118" s="21" t="s">
        <v>131</v>
      </c>
      <c r="Y118" s="16" t="s">
        <v>192</v>
      </c>
      <c r="Z118" s="16" t="s">
        <v>214</v>
      </c>
      <c r="AA118" s="16" t="s">
        <v>189</v>
      </c>
      <c r="AB118" s="16" t="s">
        <v>147</v>
      </c>
      <c r="AC118" s="16" t="s">
        <v>192</v>
      </c>
      <c r="AD118" s="16" t="s">
        <v>189</v>
      </c>
      <c r="AE118" s="16" t="s">
        <v>147</v>
      </c>
      <c r="AF118" s="5" t="s">
        <v>202</v>
      </c>
      <c r="AG118" s="5" t="s">
        <v>219</v>
      </c>
      <c r="AK118" s="7"/>
      <c r="AL118" s="7"/>
    </row>
    <row r="119" spans="1:38" x14ac:dyDescent="0.35">
      <c r="A119" s="2">
        <v>1</v>
      </c>
      <c r="B119" s="15">
        <v>0.27638888888888891</v>
      </c>
      <c r="C119" s="21" t="s">
        <v>131</v>
      </c>
      <c r="Y119" s="16" t="s">
        <v>192</v>
      </c>
      <c r="Z119" s="16" t="s">
        <v>237</v>
      </c>
      <c r="AA119" s="16" t="s">
        <v>212</v>
      </c>
      <c r="AB119" s="16" t="s">
        <v>189</v>
      </c>
      <c r="AC119" s="16" t="s">
        <v>195</v>
      </c>
      <c r="AD119" s="16" t="s">
        <v>189</v>
      </c>
      <c r="AE119" s="16" t="s">
        <v>189</v>
      </c>
      <c r="AF119" s="5" t="s">
        <v>218</v>
      </c>
      <c r="AG119" s="5" t="s">
        <v>219</v>
      </c>
      <c r="AK119" s="7"/>
      <c r="AL119" s="7"/>
    </row>
    <row r="120" spans="1:38" x14ac:dyDescent="0.35">
      <c r="A120" s="2">
        <v>1</v>
      </c>
      <c r="B120" s="15">
        <v>0.2673611111111111</v>
      </c>
      <c r="C120" s="21" t="s">
        <v>131</v>
      </c>
      <c r="Y120" s="16" t="s">
        <v>192</v>
      </c>
      <c r="Z120" s="16" t="s">
        <v>218</v>
      </c>
      <c r="AA120" s="16" t="s">
        <v>194</v>
      </c>
      <c r="AB120" s="16" t="s">
        <v>189</v>
      </c>
      <c r="AC120" s="16" t="s">
        <v>195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0.24305555555555555</v>
      </c>
      <c r="C121" s="21" t="s">
        <v>131</v>
      </c>
      <c r="Y121" s="16" t="s">
        <v>200</v>
      </c>
      <c r="Z121" s="16" t="s">
        <v>217</v>
      </c>
      <c r="AA121" s="16" t="s">
        <v>206</v>
      </c>
      <c r="AC121" s="16" t="s">
        <v>174</v>
      </c>
      <c r="AD121" s="16" t="s">
        <v>189</v>
      </c>
      <c r="AE121" s="16" t="s">
        <v>189</v>
      </c>
      <c r="AF121" s="5" t="s">
        <v>230</v>
      </c>
      <c r="AG121" s="5" t="s">
        <v>188</v>
      </c>
      <c r="AH121" s="5" t="s">
        <v>217</v>
      </c>
      <c r="AI121" s="5" t="s">
        <v>207</v>
      </c>
      <c r="AJ121" s="5" t="s">
        <v>203</v>
      </c>
      <c r="AK121" s="7"/>
      <c r="AL121" s="7"/>
    </row>
    <row r="122" spans="1:38" x14ac:dyDescent="0.35">
      <c r="A122" s="2">
        <v>1</v>
      </c>
      <c r="B122" s="15">
        <v>0.23472222222222222</v>
      </c>
      <c r="C122" s="21" t="s">
        <v>131</v>
      </c>
      <c r="Y122" s="16" t="s">
        <v>200</v>
      </c>
      <c r="Z122" s="16" t="s">
        <v>228</v>
      </c>
      <c r="AA122" s="16" t="s">
        <v>230</v>
      </c>
      <c r="AC122" s="16" t="s">
        <v>174</v>
      </c>
      <c r="AD122" s="16" t="s">
        <v>189</v>
      </c>
      <c r="AE122" s="16" t="s">
        <v>189</v>
      </c>
      <c r="AF122" s="5" t="s">
        <v>206</v>
      </c>
      <c r="AG122" s="5" t="s">
        <v>199</v>
      </c>
      <c r="AK122" s="7"/>
      <c r="AL122" s="7"/>
    </row>
    <row r="123" spans="1:38" x14ac:dyDescent="0.35">
      <c r="A123" s="2">
        <v>1</v>
      </c>
      <c r="B123" s="15">
        <v>0.22777777777777777</v>
      </c>
      <c r="C123" s="21" t="s">
        <v>131</v>
      </c>
      <c r="Y123" s="16" t="s">
        <v>200</v>
      </c>
      <c r="Z123" s="16" t="s">
        <v>207</v>
      </c>
      <c r="AA123" s="16" t="s">
        <v>234</v>
      </c>
      <c r="AC123" s="16" t="s">
        <v>174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0.21736111111111112</v>
      </c>
      <c r="C124" s="21" t="s">
        <v>131</v>
      </c>
      <c r="Y124" s="16" t="s">
        <v>200</v>
      </c>
      <c r="Z124" s="16" t="s">
        <v>226</v>
      </c>
      <c r="AA124" s="16" t="s">
        <v>189</v>
      </c>
      <c r="AC124" s="16" t="s">
        <v>195</v>
      </c>
      <c r="AD124" s="16" t="s">
        <v>189</v>
      </c>
      <c r="AE124" s="16" t="s">
        <v>189</v>
      </c>
      <c r="AF124" s="5" t="s">
        <v>201</v>
      </c>
      <c r="AG124" s="5" t="s">
        <v>188</v>
      </c>
      <c r="AH124" s="5" t="s">
        <v>189</v>
      </c>
      <c r="AI124" s="5" t="s">
        <v>211</v>
      </c>
      <c r="AJ124" s="5" t="s">
        <v>203</v>
      </c>
      <c r="AK124" s="7"/>
      <c r="AL124" s="7"/>
    </row>
    <row r="125" spans="1:38" x14ac:dyDescent="0.35">
      <c r="A125" s="2">
        <v>1</v>
      </c>
      <c r="B125" s="15">
        <v>0.20902777777777778</v>
      </c>
      <c r="C125" s="21" t="s">
        <v>131</v>
      </c>
      <c r="Y125" s="16" t="s">
        <v>192</v>
      </c>
      <c r="Z125" s="16" t="s">
        <v>229</v>
      </c>
      <c r="AA125" s="16" t="s">
        <v>234</v>
      </c>
      <c r="AB125" s="16" t="s">
        <v>189</v>
      </c>
      <c r="AC125" s="16" t="s">
        <v>174</v>
      </c>
      <c r="AD125" s="16" t="s">
        <v>189</v>
      </c>
      <c r="AE125" s="16" t="s">
        <v>147</v>
      </c>
      <c r="AK125" s="7"/>
      <c r="AL125" s="7"/>
    </row>
    <row r="126" spans="1:38" x14ac:dyDescent="0.35">
      <c r="A126" s="2">
        <v>1</v>
      </c>
      <c r="B126" s="15">
        <v>0.18402777777777779</v>
      </c>
      <c r="C126" s="21" t="s">
        <v>131</v>
      </c>
      <c r="Y126" s="16" t="s">
        <v>200</v>
      </c>
      <c r="Z126" s="16" t="s">
        <v>221</v>
      </c>
      <c r="AA126" s="16" t="s">
        <v>189</v>
      </c>
      <c r="AC126" s="16" t="s">
        <v>195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0.1673611111111111</v>
      </c>
      <c r="C127" s="21" t="s">
        <v>184</v>
      </c>
      <c r="Y127" s="16" t="s">
        <v>192</v>
      </c>
      <c r="Z127" s="16" t="s">
        <v>236</v>
      </c>
      <c r="AA127" s="16" t="s">
        <v>189</v>
      </c>
      <c r="AB127" s="16" t="s">
        <v>189</v>
      </c>
      <c r="AC127" s="16" t="s">
        <v>174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0.15555555555555556</v>
      </c>
      <c r="C128" s="21" t="s">
        <v>170</v>
      </c>
      <c r="Y128" s="16" t="s">
        <v>192</v>
      </c>
      <c r="Z128" s="16" t="s">
        <v>237</v>
      </c>
      <c r="AA128" s="16" t="s">
        <v>189</v>
      </c>
      <c r="AB128" s="16" t="s">
        <v>147</v>
      </c>
      <c r="AC128" s="16" t="s">
        <v>174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1</v>
      </c>
      <c r="B129" s="15">
        <v>0.13541666666666666</v>
      </c>
      <c r="C129" s="21" t="s">
        <v>170</v>
      </c>
      <c r="Y129" s="16" t="s">
        <v>192</v>
      </c>
      <c r="Z129" s="16" t="s">
        <v>217</v>
      </c>
      <c r="AA129" s="16" t="s">
        <v>213</v>
      </c>
      <c r="AB129" s="16" t="s">
        <v>189</v>
      </c>
      <c r="AC129" s="16" t="s">
        <v>192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0.12569444444444444</v>
      </c>
      <c r="C130" s="21" t="s">
        <v>170</v>
      </c>
      <c r="Y130" s="16" t="s">
        <v>200</v>
      </c>
      <c r="Z130" s="16" t="s">
        <v>194</v>
      </c>
      <c r="AA130" s="16" t="s">
        <v>189</v>
      </c>
      <c r="AB130" s="16" t="s">
        <v>189</v>
      </c>
      <c r="AC130" s="16" t="s">
        <v>195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0.10625</v>
      </c>
      <c r="C131" s="21" t="s">
        <v>184</v>
      </c>
      <c r="Y131" s="16" t="s">
        <v>192</v>
      </c>
      <c r="Z131" s="16" t="s">
        <v>226</v>
      </c>
      <c r="AA131" s="16" t="s">
        <v>189</v>
      </c>
      <c r="AB131" s="16" t="s">
        <v>189</v>
      </c>
      <c r="AC131" s="16" t="s">
        <v>174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9.375E-2</v>
      </c>
      <c r="C132" s="21" t="s">
        <v>170</v>
      </c>
      <c r="Y132" s="16" t="s">
        <v>200</v>
      </c>
      <c r="Z132" s="16" t="s">
        <v>234</v>
      </c>
      <c r="AA132" s="16" t="s">
        <v>189</v>
      </c>
      <c r="AB132" s="16" t="s">
        <v>189</v>
      </c>
      <c r="AC132" s="16" t="s">
        <v>195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8.4027777777777785E-2</v>
      </c>
      <c r="C133" s="21" t="s">
        <v>131</v>
      </c>
      <c r="Y133" s="16" t="s">
        <v>224</v>
      </c>
      <c r="Z133" s="16" t="s">
        <v>234</v>
      </c>
      <c r="AA133" s="16" t="s">
        <v>229</v>
      </c>
      <c r="AC133" s="16" t="s">
        <v>195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7.8472222222222221E-2</v>
      </c>
      <c r="C134" s="21" t="s">
        <v>131</v>
      </c>
      <c r="Y134" s="16" t="s">
        <v>192</v>
      </c>
      <c r="Z134" s="16" t="s">
        <v>229</v>
      </c>
      <c r="AA134" s="16" t="s">
        <v>201</v>
      </c>
      <c r="AB134" s="16" t="s">
        <v>147</v>
      </c>
      <c r="AC134" s="16" t="s">
        <v>195</v>
      </c>
      <c r="AD134" s="16" t="s">
        <v>189</v>
      </c>
      <c r="AE134" s="16" t="s">
        <v>147</v>
      </c>
      <c r="AK134" s="7"/>
      <c r="AL134" s="7"/>
    </row>
    <row r="135" spans="1:38" x14ac:dyDescent="0.35">
      <c r="A135" s="2">
        <v>1</v>
      </c>
      <c r="B135" s="15">
        <v>2.4305555555555556E-2</v>
      </c>
      <c r="C135" s="21" t="s">
        <v>170</v>
      </c>
      <c r="Y135" s="16" t="s">
        <v>200</v>
      </c>
      <c r="Z135" s="16" t="s">
        <v>193</v>
      </c>
      <c r="AA135" s="16" t="s">
        <v>189</v>
      </c>
      <c r="AB135" s="16" t="s">
        <v>134</v>
      </c>
      <c r="AC135" s="16" t="s">
        <v>174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1</v>
      </c>
      <c r="B136" s="15">
        <v>2.7777777777777779E-3</v>
      </c>
      <c r="C136" s="21" t="s">
        <v>170</v>
      </c>
      <c r="Y136" s="16" t="s">
        <v>192</v>
      </c>
      <c r="Z136" s="16" t="s">
        <v>233</v>
      </c>
      <c r="AA136" s="16" t="s">
        <v>201</v>
      </c>
      <c r="AB136" s="16" t="s">
        <v>147</v>
      </c>
      <c r="AC136" s="16" t="s">
        <v>195</v>
      </c>
      <c r="AD136" s="16" t="s">
        <v>189</v>
      </c>
      <c r="AE136" s="16" t="s">
        <v>147</v>
      </c>
      <c r="AK136" s="7"/>
      <c r="AL136" s="7"/>
    </row>
    <row r="137" spans="1:38" x14ac:dyDescent="0.35">
      <c r="A137" s="2">
        <v>2</v>
      </c>
      <c r="B137" s="15">
        <v>0.82777777777777772</v>
      </c>
      <c r="C137" s="21" t="s">
        <v>170</v>
      </c>
      <c r="Y137" s="16" t="s">
        <v>200</v>
      </c>
      <c r="Z137" s="16" t="s">
        <v>214</v>
      </c>
      <c r="AA137" s="16" t="s">
        <v>215</v>
      </c>
      <c r="AC137" s="16" t="s">
        <v>174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0.8125</v>
      </c>
      <c r="C138" s="21" t="s">
        <v>131</v>
      </c>
      <c r="AF138" s="5" t="s">
        <v>194</v>
      </c>
      <c r="AG138" s="5" t="s">
        <v>209</v>
      </c>
      <c r="AH138" s="5" t="s">
        <v>193</v>
      </c>
      <c r="AK138" s="7"/>
      <c r="AL138" s="7"/>
    </row>
    <row r="139" spans="1:38" x14ac:dyDescent="0.35">
      <c r="A139" s="2">
        <v>2</v>
      </c>
      <c r="B139" s="15">
        <v>0.80555555555555558</v>
      </c>
      <c r="C139" s="21" t="s">
        <v>131</v>
      </c>
      <c r="AF139" s="5" t="s">
        <v>196</v>
      </c>
      <c r="AG139" s="5" t="s">
        <v>188</v>
      </c>
      <c r="AH139" s="5" t="s">
        <v>229</v>
      </c>
      <c r="AI139" s="5" t="s">
        <v>194</v>
      </c>
      <c r="AJ139" s="5" t="s">
        <v>209</v>
      </c>
      <c r="AK139" s="7"/>
      <c r="AL139" s="7"/>
    </row>
    <row r="140" spans="1:38" x14ac:dyDescent="0.35">
      <c r="A140" s="2">
        <v>2</v>
      </c>
      <c r="B140" s="15">
        <v>0.80138888888888893</v>
      </c>
      <c r="C140" s="21" t="s">
        <v>131</v>
      </c>
      <c r="AF140" s="5" t="s">
        <v>194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0.78819444444444442</v>
      </c>
      <c r="C141" s="21" t="s">
        <v>131</v>
      </c>
      <c r="Y141" s="16" t="s">
        <v>200</v>
      </c>
      <c r="Z141" s="16" t="s">
        <v>196</v>
      </c>
      <c r="AA141" s="16" t="s">
        <v>190</v>
      </c>
      <c r="AC141" s="16" t="s">
        <v>195</v>
      </c>
      <c r="AD141" s="16" t="s">
        <v>189</v>
      </c>
      <c r="AE141" s="16" t="s">
        <v>189</v>
      </c>
      <c r="AF141" s="5" t="s">
        <v>229</v>
      </c>
      <c r="AG141" s="5" t="s">
        <v>188</v>
      </c>
      <c r="AH141" s="5" t="s">
        <v>217</v>
      </c>
      <c r="AI141" s="5" t="s">
        <v>226</v>
      </c>
      <c r="AJ141" s="5" t="s">
        <v>203</v>
      </c>
      <c r="AK141" s="7"/>
      <c r="AL141" s="7"/>
    </row>
    <row r="142" spans="1:38" x14ac:dyDescent="0.35">
      <c r="A142" s="2">
        <v>2</v>
      </c>
      <c r="B142" s="15">
        <v>0.77083333333333337</v>
      </c>
      <c r="C142" s="21" t="s">
        <v>131</v>
      </c>
      <c r="Y142" s="16" t="s">
        <v>192</v>
      </c>
      <c r="Z142" s="16" t="s">
        <v>237</v>
      </c>
      <c r="AA142" s="16" t="s">
        <v>210</v>
      </c>
      <c r="AB142" s="16" t="s">
        <v>189</v>
      </c>
      <c r="AC142" s="16" t="s">
        <v>174</v>
      </c>
      <c r="AD142" s="16" t="s">
        <v>189</v>
      </c>
      <c r="AE142" s="16" t="s">
        <v>189</v>
      </c>
      <c r="AF142" s="5" t="s">
        <v>197</v>
      </c>
      <c r="AG142" s="5" t="s">
        <v>188</v>
      </c>
      <c r="AH142" s="5" t="s">
        <v>189</v>
      </c>
      <c r="AI142" s="5" t="s">
        <v>190</v>
      </c>
      <c r="AJ142" s="5" t="s">
        <v>203</v>
      </c>
      <c r="AK142" s="7"/>
      <c r="AL142" s="7"/>
    </row>
    <row r="143" spans="1:38" x14ac:dyDescent="0.35">
      <c r="A143" s="2">
        <v>2</v>
      </c>
      <c r="B143" s="15">
        <v>0.76249999999999996</v>
      </c>
      <c r="C143" s="21" t="s">
        <v>131</v>
      </c>
      <c r="AF143" s="5" t="s">
        <v>201</v>
      </c>
      <c r="AG143" s="5" t="s">
        <v>188</v>
      </c>
      <c r="AH143" s="5" t="s">
        <v>189</v>
      </c>
      <c r="AI143" s="5" t="s">
        <v>234</v>
      </c>
      <c r="AJ143" s="5" t="s">
        <v>199</v>
      </c>
      <c r="AK143" s="7"/>
      <c r="AL143" s="7"/>
    </row>
    <row r="144" spans="1:38" x14ac:dyDescent="0.35">
      <c r="A144" s="2">
        <v>2</v>
      </c>
      <c r="B144" s="15">
        <v>0.75694444444444442</v>
      </c>
      <c r="C144" s="21" t="s">
        <v>131</v>
      </c>
      <c r="Y144" s="16" t="s">
        <v>224</v>
      </c>
      <c r="Z144" s="16" t="s">
        <v>205</v>
      </c>
      <c r="AA144" s="16" t="s">
        <v>212</v>
      </c>
      <c r="AC144" s="16" t="s">
        <v>195</v>
      </c>
      <c r="AD144" s="16" t="s">
        <v>189</v>
      </c>
      <c r="AE144" s="16" t="s">
        <v>189</v>
      </c>
      <c r="AK144" s="7"/>
      <c r="AL144" s="7"/>
    </row>
    <row r="145" spans="1:38" x14ac:dyDescent="0.35">
      <c r="A145" s="2">
        <v>2</v>
      </c>
      <c r="B145" s="15">
        <v>0.75416666666666665</v>
      </c>
      <c r="C145" s="21" t="s">
        <v>131</v>
      </c>
      <c r="Y145" s="16" t="s">
        <v>192</v>
      </c>
      <c r="Z145" s="16" t="s">
        <v>210</v>
      </c>
      <c r="AA145" s="16" t="s">
        <v>189</v>
      </c>
      <c r="AB145" s="16" t="s">
        <v>189</v>
      </c>
      <c r="AC145" s="16" t="s">
        <v>174</v>
      </c>
      <c r="AD145" s="16" t="s">
        <v>189</v>
      </c>
      <c r="AE145" s="16" t="s">
        <v>189</v>
      </c>
      <c r="AF145" s="5" t="s">
        <v>205</v>
      </c>
      <c r="AG145" s="5" t="s">
        <v>188</v>
      </c>
      <c r="AH145" s="5" t="s">
        <v>189</v>
      </c>
      <c r="AI145" s="5" t="s">
        <v>201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0.73611111111111116</v>
      </c>
      <c r="C146" s="21" t="s">
        <v>131</v>
      </c>
      <c r="AF146" s="5" t="s">
        <v>230</v>
      </c>
      <c r="AG146" s="5" t="s">
        <v>188</v>
      </c>
      <c r="AH146" s="5" t="s">
        <v>189</v>
      </c>
      <c r="AI146" s="5" t="s">
        <v>212</v>
      </c>
      <c r="AJ146" s="5" t="s">
        <v>199</v>
      </c>
      <c r="AK146" s="7"/>
      <c r="AL146" s="7"/>
    </row>
    <row r="147" spans="1:38" x14ac:dyDescent="0.35">
      <c r="A147" s="2">
        <v>2</v>
      </c>
      <c r="B147" s="15">
        <v>0.73263888888888884</v>
      </c>
      <c r="C147" s="21" t="s">
        <v>131</v>
      </c>
      <c r="Y147" s="16" t="s">
        <v>200</v>
      </c>
      <c r="Z147" s="16" t="s">
        <v>236</v>
      </c>
      <c r="AA147" s="16" t="s">
        <v>227</v>
      </c>
      <c r="AC147" s="16" t="s">
        <v>174</v>
      </c>
      <c r="AD147" s="16" t="s">
        <v>189</v>
      </c>
      <c r="AE147" s="16" t="s">
        <v>189</v>
      </c>
      <c r="AF147" s="5" t="s">
        <v>204</v>
      </c>
      <c r="AG147" s="5" t="s">
        <v>209</v>
      </c>
      <c r="AK147" s="7"/>
      <c r="AL147" s="7"/>
    </row>
    <row r="148" spans="1:38" x14ac:dyDescent="0.35">
      <c r="A148" s="2">
        <v>2</v>
      </c>
      <c r="B148" s="15">
        <v>0.7270833333333333</v>
      </c>
      <c r="C148" s="21" t="s">
        <v>131</v>
      </c>
      <c r="AF148" s="5" t="s">
        <v>208</v>
      </c>
      <c r="AG148" s="5" t="s">
        <v>188</v>
      </c>
      <c r="AH148" s="5" t="s">
        <v>233</v>
      </c>
      <c r="AI148" s="5" t="s">
        <v>228</v>
      </c>
      <c r="AJ148" s="5" t="s">
        <v>209</v>
      </c>
      <c r="AK148" s="7"/>
      <c r="AL148" s="7"/>
    </row>
    <row r="149" spans="1:38" x14ac:dyDescent="0.35">
      <c r="A149" s="2">
        <v>2</v>
      </c>
      <c r="B149" s="15">
        <v>0.72083333333333333</v>
      </c>
      <c r="C149" s="21" t="s">
        <v>131</v>
      </c>
      <c r="AF149" s="5" t="s">
        <v>227</v>
      </c>
      <c r="AG149" s="5" t="s">
        <v>188</v>
      </c>
      <c r="AH149" s="5" t="s">
        <v>189</v>
      </c>
      <c r="AI149" s="5" t="s">
        <v>208</v>
      </c>
      <c r="AJ149" s="5" t="s">
        <v>203</v>
      </c>
      <c r="AK149" s="7"/>
      <c r="AL149" s="7"/>
    </row>
    <row r="150" spans="1:38" x14ac:dyDescent="0.35">
      <c r="A150" s="2">
        <v>2</v>
      </c>
      <c r="B150" s="15">
        <v>0.71736111111111112</v>
      </c>
      <c r="C150" s="21" t="s">
        <v>131</v>
      </c>
      <c r="Y150" s="16" t="s">
        <v>192</v>
      </c>
      <c r="Z150" s="16" t="s">
        <v>198</v>
      </c>
      <c r="AA150" s="16" t="s">
        <v>227</v>
      </c>
      <c r="AB150" s="16" t="s">
        <v>189</v>
      </c>
      <c r="AC150" s="16" t="s">
        <v>174</v>
      </c>
      <c r="AD150" s="16" t="s">
        <v>189</v>
      </c>
      <c r="AE150" s="16" t="s">
        <v>235</v>
      </c>
      <c r="AK150" s="7"/>
      <c r="AL150" s="7"/>
    </row>
    <row r="151" spans="1:38" x14ac:dyDescent="0.35">
      <c r="A151" s="2">
        <v>2</v>
      </c>
      <c r="B151" s="15">
        <v>0.69930555555555551</v>
      </c>
      <c r="C151" s="21" t="s">
        <v>131</v>
      </c>
      <c r="Y151" s="16" t="s">
        <v>192</v>
      </c>
      <c r="Z151" s="16" t="s">
        <v>228</v>
      </c>
      <c r="AA151" s="16" t="s">
        <v>189</v>
      </c>
      <c r="AB151" s="16" t="s">
        <v>189</v>
      </c>
      <c r="AC151" s="16" t="s">
        <v>195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0.68055555555555558</v>
      </c>
      <c r="C152" s="21" t="s">
        <v>170</v>
      </c>
      <c r="Y152" s="16" t="s">
        <v>192</v>
      </c>
      <c r="Z152" s="16" t="s">
        <v>217</v>
      </c>
      <c r="AA152" s="16" t="s">
        <v>212</v>
      </c>
      <c r="AB152" s="16" t="s">
        <v>147</v>
      </c>
      <c r="AC152" s="16" t="s">
        <v>195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0.65277777777777779</v>
      </c>
      <c r="C153" s="21" t="s">
        <v>170</v>
      </c>
      <c r="Y153" s="16" t="s">
        <v>192</v>
      </c>
      <c r="Z153" s="16" t="s">
        <v>237</v>
      </c>
      <c r="AA153" s="16" t="s">
        <v>189</v>
      </c>
      <c r="AB153" s="16" t="s">
        <v>147</v>
      </c>
      <c r="AC153" s="16" t="s">
        <v>192</v>
      </c>
      <c r="AD153" s="16" t="s">
        <v>189</v>
      </c>
      <c r="AE153" s="16" t="s">
        <v>147</v>
      </c>
      <c r="AK153" s="7"/>
      <c r="AL153" s="7"/>
    </row>
    <row r="154" spans="1:38" x14ac:dyDescent="0.35">
      <c r="A154" s="2">
        <v>2</v>
      </c>
      <c r="B154" s="15">
        <v>0.60416666666666663</v>
      </c>
      <c r="C154" s="21" t="s">
        <v>131</v>
      </c>
      <c r="Y154" s="16" t="s">
        <v>224</v>
      </c>
      <c r="Z154" s="16" t="s">
        <v>211</v>
      </c>
      <c r="AA154" s="16" t="s">
        <v>213</v>
      </c>
      <c r="AC154" s="16" t="s">
        <v>174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0.59722222222222221</v>
      </c>
      <c r="C155" s="21" t="s">
        <v>131</v>
      </c>
      <c r="Y155" s="16" t="s">
        <v>200</v>
      </c>
      <c r="Z155" s="16" t="s">
        <v>229</v>
      </c>
      <c r="AA155" s="16" t="s">
        <v>189</v>
      </c>
      <c r="AC155" s="16" t="s">
        <v>192</v>
      </c>
      <c r="AD155" s="16" t="s">
        <v>229</v>
      </c>
      <c r="AE155" s="16" t="s">
        <v>189</v>
      </c>
      <c r="AF155" s="5" t="s">
        <v>227</v>
      </c>
      <c r="AG155" s="5" t="s">
        <v>231</v>
      </c>
      <c r="AK155" s="7"/>
      <c r="AL155" s="7"/>
    </row>
    <row r="156" spans="1:38" x14ac:dyDescent="0.35">
      <c r="A156" s="2">
        <v>2</v>
      </c>
      <c r="B156" s="15">
        <v>0.59027777777777779</v>
      </c>
      <c r="C156" s="21" t="s">
        <v>131</v>
      </c>
      <c r="AF156" s="5" t="s">
        <v>208</v>
      </c>
      <c r="AG156" s="5" t="s">
        <v>203</v>
      </c>
      <c r="AK156" s="7"/>
      <c r="AL156" s="7"/>
    </row>
    <row r="157" spans="1:38" x14ac:dyDescent="0.35">
      <c r="A157" s="2">
        <v>2</v>
      </c>
      <c r="B157" s="15">
        <v>0.58402777777777781</v>
      </c>
      <c r="C157" s="21" t="s">
        <v>131</v>
      </c>
      <c r="Y157" s="16" t="s">
        <v>192</v>
      </c>
      <c r="Z157" s="16" t="s">
        <v>222</v>
      </c>
      <c r="AA157" s="16" t="s">
        <v>227</v>
      </c>
      <c r="AB157" s="16" t="s">
        <v>189</v>
      </c>
      <c r="AC157" s="16" t="s">
        <v>174</v>
      </c>
      <c r="AD157" s="16" t="s">
        <v>189</v>
      </c>
      <c r="AE157" s="16" t="s">
        <v>189</v>
      </c>
      <c r="AF157" s="5" t="s">
        <v>232</v>
      </c>
      <c r="AG157" s="5" t="s">
        <v>188</v>
      </c>
      <c r="AH157" s="5" t="s">
        <v>189</v>
      </c>
      <c r="AI157" s="5" t="s">
        <v>208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0.57499999999999996</v>
      </c>
      <c r="C158" s="21" t="s">
        <v>131</v>
      </c>
      <c r="Y158" s="16" t="s">
        <v>200</v>
      </c>
      <c r="Z158" s="16" t="s">
        <v>227</v>
      </c>
      <c r="AA158" s="16" t="s">
        <v>230</v>
      </c>
      <c r="AC158" s="16" t="s">
        <v>174</v>
      </c>
      <c r="AD158" s="16" t="s">
        <v>189</v>
      </c>
      <c r="AE158" s="16" t="s">
        <v>189</v>
      </c>
      <c r="AF158" s="5" t="s">
        <v>212</v>
      </c>
      <c r="AG158" s="5" t="s">
        <v>199</v>
      </c>
      <c r="AK158" s="7"/>
      <c r="AL158" s="7"/>
    </row>
    <row r="159" spans="1:38" x14ac:dyDescent="0.35">
      <c r="A159" s="2">
        <v>2</v>
      </c>
      <c r="B159" s="15">
        <v>0.56874999999999998</v>
      </c>
      <c r="C159" s="21" t="s">
        <v>131</v>
      </c>
      <c r="Y159" s="16" t="s">
        <v>200</v>
      </c>
      <c r="Z159" s="16" t="s">
        <v>229</v>
      </c>
      <c r="AA159" s="16" t="s">
        <v>189</v>
      </c>
      <c r="AC159" s="16" t="s">
        <v>174</v>
      </c>
      <c r="AD159" s="16" t="s">
        <v>218</v>
      </c>
      <c r="AE159" s="16" t="s">
        <v>189</v>
      </c>
      <c r="AF159" s="5" t="s">
        <v>215</v>
      </c>
      <c r="AG159" s="5" t="s">
        <v>231</v>
      </c>
      <c r="AH159" s="5" t="s">
        <v>223</v>
      </c>
      <c r="AK159" s="7"/>
      <c r="AL159" s="7"/>
    </row>
    <row r="160" spans="1:38" x14ac:dyDescent="0.35">
      <c r="A160" s="2">
        <v>2</v>
      </c>
      <c r="B160" s="15">
        <v>0.53611111111111109</v>
      </c>
      <c r="C160" s="21" t="s">
        <v>131</v>
      </c>
      <c r="Y160" s="16" t="s">
        <v>225</v>
      </c>
      <c r="Z160" s="16" t="s">
        <v>139</v>
      </c>
      <c r="AF160" s="5" t="s">
        <v>215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0.52638888888888891</v>
      </c>
      <c r="C161" s="21" t="s">
        <v>131</v>
      </c>
      <c r="AF161" s="5" t="s">
        <v>198</v>
      </c>
      <c r="AG161" s="5" t="s">
        <v>188</v>
      </c>
      <c r="AH161" s="5" t="s">
        <v>189</v>
      </c>
      <c r="AI161" s="5" t="s">
        <v>214</v>
      </c>
      <c r="AJ161" s="5" t="s">
        <v>203</v>
      </c>
      <c r="AK161" s="7"/>
      <c r="AL161" s="7"/>
    </row>
    <row r="162" spans="1:38" x14ac:dyDescent="0.35">
      <c r="A162" s="2">
        <v>2</v>
      </c>
      <c r="B162" s="15">
        <v>0.44097222222222221</v>
      </c>
      <c r="C162" s="21" t="s">
        <v>170</v>
      </c>
      <c r="Y162" s="16" t="s">
        <v>200</v>
      </c>
      <c r="Z162" s="16" t="s">
        <v>227</v>
      </c>
      <c r="AA162" s="16" t="s">
        <v>189</v>
      </c>
      <c r="AB162" s="16" t="s">
        <v>189</v>
      </c>
      <c r="AC162" s="16" t="s">
        <v>174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0.43611111111111112</v>
      </c>
      <c r="C163" s="21" t="s">
        <v>131</v>
      </c>
      <c r="Y163" s="16" t="s">
        <v>200</v>
      </c>
      <c r="Z163" s="16" t="s">
        <v>212</v>
      </c>
      <c r="AA163" s="16" t="s">
        <v>189</v>
      </c>
      <c r="AC163" s="16" t="s">
        <v>195</v>
      </c>
      <c r="AD163" s="16" t="s">
        <v>189</v>
      </c>
      <c r="AE163" s="16" t="s">
        <v>189</v>
      </c>
      <c r="AF163" s="5" t="s">
        <v>215</v>
      </c>
      <c r="AG163" s="5" t="s">
        <v>199</v>
      </c>
      <c r="AK163" s="7"/>
      <c r="AL163" s="7"/>
    </row>
    <row r="164" spans="1:38" x14ac:dyDescent="0.35">
      <c r="A164" s="2">
        <v>2</v>
      </c>
      <c r="B164" s="15">
        <v>0.42916666666666664</v>
      </c>
      <c r="C164" s="21" t="s">
        <v>131</v>
      </c>
      <c r="Y164" s="16" t="s">
        <v>224</v>
      </c>
      <c r="Z164" s="16" t="s">
        <v>228</v>
      </c>
      <c r="AA164" s="16" t="s">
        <v>198</v>
      </c>
      <c r="AC164" s="16" t="s">
        <v>195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0.4236111111111111</v>
      </c>
      <c r="C165" s="21" t="s">
        <v>131</v>
      </c>
      <c r="Y165" s="16" t="s">
        <v>200</v>
      </c>
      <c r="Z165" s="16" t="s">
        <v>198</v>
      </c>
      <c r="AA165" s="16" t="s">
        <v>227</v>
      </c>
      <c r="AC165" s="16" t="s">
        <v>174</v>
      </c>
      <c r="AD165" s="16" t="s">
        <v>189</v>
      </c>
      <c r="AE165" s="16" t="s">
        <v>189</v>
      </c>
      <c r="AF165" s="5" t="s">
        <v>215</v>
      </c>
      <c r="AG165" s="5" t="s">
        <v>203</v>
      </c>
      <c r="AH165" s="5" t="s">
        <v>229</v>
      </c>
      <c r="AK165" s="7"/>
      <c r="AL165" s="7"/>
    </row>
    <row r="166" spans="1:38" x14ac:dyDescent="0.35">
      <c r="A166" s="2">
        <v>2</v>
      </c>
      <c r="B166" s="15">
        <v>0.41319444444444442</v>
      </c>
      <c r="C166" s="21" t="s">
        <v>131</v>
      </c>
      <c r="AF166" s="5" t="s">
        <v>227</v>
      </c>
      <c r="AG166" s="5" t="s">
        <v>188</v>
      </c>
      <c r="AH166" s="5" t="s">
        <v>189</v>
      </c>
      <c r="AI166" s="5" t="s">
        <v>215</v>
      </c>
      <c r="AJ166" s="5" t="s">
        <v>203</v>
      </c>
      <c r="AK166" s="7"/>
      <c r="AL166" s="7"/>
    </row>
    <row r="167" spans="1:38" x14ac:dyDescent="0.35">
      <c r="A167" s="2">
        <v>2</v>
      </c>
      <c r="B167" s="15">
        <v>0.40555555555555556</v>
      </c>
      <c r="C167" s="21" t="s">
        <v>131</v>
      </c>
      <c r="Y167" s="16" t="s">
        <v>200</v>
      </c>
      <c r="Z167" s="16" t="s">
        <v>229</v>
      </c>
      <c r="AA167" s="16" t="s">
        <v>215</v>
      </c>
      <c r="AC167" s="16" t="s">
        <v>174</v>
      </c>
      <c r="AD167" s="16" t="s">
        <v>189</v>
      </c>
      <c r="AE167" s="16" t="s">
        <v>189</v>
      </c>
      <c r="AF167" s="5" t="s">
        <v>220</v>
      </c>
      <c r="AG167" s="5" t="s">
        <v>199</v>
      </c>
      <c r="AK167" s="7"/>
      <c r="AL167" s="7"/>
    </row>
    <row r="168" spans="1:38" x14ac:dyDescent="0.35">
      <c r="A168" s="2">
        <v>2</v>
      </c>
      <c r="B168" s="15">
        <v>0.39861111111111114</v>
      </c>
      <c r="C168" s="21" t="s">
        <v>131</v>
      </c>
      <c r="Y168" s="16" t="s">
        <v>200</v>
      </c>
      <c r="Z168" s="16" t="s">
        <v>232</v>
      </c>
      <c r="AA168" s="16" t="s">
        <v>212</v>
      </c>
      <c r="AC168" s="16" t="s">
        <v>195</v>
      </c>
      <c r="AD168" s="16" t="s">
        <v>220</v>
      </c>
      <c r="AE168" s="16" t="s">
        <v>189</v>
      </c>
      <c r="AF168" s="5" t="s">
        <v>193</v>
      </c>
      <c r="AG168" s="5" t="s">
        <v>188</v>
      </c>
      <c r="AH168" s="5" t="s">
        <v>189</v>
      </c>
      <c r="AI168" s="5" t="s">
        <v>212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0.37777777777777777</v>
      </c>
      <c r="C169" s="21" t="s">
        <v>131</v>
      </c>
      <c r="Y169" s="16" t="s">
        <v>200</v>
      </c>
      <c r="Z169" s="16" t="s">
        <v>208</v>
      </c>
      <c r="AA169" s="16" t="s">
        <v>189</v>
      </c>
      <c r="AC169" s="16" t="s">
        <v>192</v>
      </c>
      <c r="AD169" s="16" t="s">
        <v>189</v>
      </c>
      <c r="AE169" s="16" t="s">
        <v>189</v>
      </c>
      <c r="AF169" s="5" t="s">
        <v>197</v>
      </c>
      <c r="AG169" s="5" t="s">
        <v>188</v>
      </c>
      <c r="AH169" s="5" t="s">
        <v>217</v>
      </c>
      <c r="AI169" s="5" t="s">
        <v>236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0.36180555555555555</v>
      </c>
      <c r="C170" s="21" t="s">
        <v>131</v>
      </c>
      <c r="Y170" s="16" t="s">
        <v>200</v>
      </c>
      <c r="Z170" s="16" t="s">
        <v>218</v>
      </c>
      <c r="AA170" s="16" t="s">
        <v>189</v>
      </c>
      <c r="AC170" s="16" t="s">
        <v>195</v>
      </c>
      <c r="AD170" s="16" t="s">
        <v>189</v>
      </c>
      <c r="AE170" s="16" t="s">
        <v>189</v>
      </c>
      <c r="AF170" s="5" t="s">
        <v>234</v>
      </c>
      <c r="AG170" s="5" t="s">
        <v>199</v>
      </c>
      <c r="AH170" s="5" t="s">
        <v>223</v>
      </c>
      <c r="AK170" s="7"/>
      <c r="AL170" s="7"/>
    </row>
    <row r="171" spans="1:38" x14ac:dyDescent="0.35">
      <c r="A171" s="2">
        <v>2</v>
      </c>
      <c r="B171" s="15">
        <v>0.3576388888888889</v>
      </c>
      <c r="C171" s="21" t="s">
        <v>131</v>
      </c>
      <c r="Y171" s="16" t="s">
        <v>192</v>
      </c>
      <c r="Z171" s="16" t="s">
        <v>196</v>
      </c>
      <c r="AA171" s="16" t="s">
        <v>230</v>
      </c>
      <c r="AB171" s="16" t="s">
        <v>147</v>
      </c>
      <c r="AC171" s="16" t="s">
        <v>195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0.34236111111111112</v>
      </c>
      <c r="C172" s="21" t="s">
        <v>131</v>
      </c>
      <c r="AF172" s="5" t="s">
        <v>187</v>
      </c>
      <c r="AG172" s="5" t="s">
        <v>188</v>
      </c>
      <c r="AH172" s="5" t="s">
        <v>234</v>
      </c>
      <c r="AI172" s="5" t="s">
        <v>214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0.33402777777777776</v>
      </c>
      <c r="C173" s="21" t="s">
        <v>131</v>
      </c>
      <c r="Y173" s="16" t="s">
        <v>200</v>
      </c>
      <c r="Z173" s="16" t="s">
        <v>194</v>
      </c>
      <c r="AA173" s="16" t="s">
        <v>189</v>
      </c>
      <c r="AC173" s="16" t="s">
        <v>174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0.32847222222222222</v>
      </c>
      <c r="C174" s="21" t="s">
        <v>131</v>
      </c>
      <c r="Y174" s="16" t="s">
        <v>200</v>
      </c>
      <c r="Z174" s="16" t="s">
        <v>214</v>
      </c>
      <c r="AA174" s="16" t="s">
        <v>234</v>
      </c>
      <c r="AC174" s="16" t="s">
        <v>174</v>
      </c>
      <c r="AD174" s="16" t="s">
        <v>189</v>
      </c>
      <c r="AE174" s="16" t="s">
        <v>189</v>
      </c>
      <c r="AF174" s="5" t="s">
        <v>217</v>
      </c>
      <c r="AG174" s="5" t="s">
        <v>188</v>
      </c>
      <c r="AH174" s="5" t="s">
        <v>189</v>
      </c>
      <c r="AI174" s="5" t="s">
        <v>228</v>
      </c>
      <c r="AJ174" s="5" t="s">
        <v>238</v>
      </c>
      <c r="AK174" s="7"/>
      <c r="AL174" s="7"/>
    </row>
    <row r="175" spans="1:38" x14ac:dyDescent="0.35">
      <c r="A175" s="2">
        <v>2</v>
      </c>
      <c r="B175" s="15">
        <v>0.32222222222222224</v>
      </c>
      <c r="C175" s="21" t="s">
        <v>131</v>
      </c>
      <c r="Y175" s="16" t="s">
        <v>192</v>
      </c>
      <c r="Z175" s="16" t="s">
        <v>194</v>
      </c>
      <c r="AA175" s="16" t="s">
        <v>190</v>
      </c>
      <c r="AB175" s="16" t="s">
        <v>189</v>
      </c>
      <c r="AC175" s="16" t="s">
        <v>195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0.30555555555555558</v>
      </c>
      <c r="C176" s="21" t="s">
        <v>131</v>
      </c>
      <c r="Y176" s="16" t="s">
        <v>225</v>
      </c>
      <c r="Z176" s="16" t="s">
        <v>139</v>
      </c>
      <c r="AF176" s="5" t="s">
        <v>207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0.2986111111111111</v>
      </c>
      <c r="C177" s="21" t="s">
        <v>131</v>
      </c>
      <c r="Y177" s="16" t="s">
        <v>224</v>
      </c>
      <c r="Z177" s="16" t="s">
        <v>210</v>
      </c>
      <c r="AA177" s="16" t="s">
        <v>196</v>
      </c>
      <c r="AC177" s="16" t="s">
        <v>174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0.29236111111111113</v>
      </c>
      <c r="C178" s="21" t="s">
        <v>131</v>
      </c>
      <c r="Y178" s="16" t="s">
        <v>200</v>
      </c>
      <c r="Z178" s="16" t="s">
        <v>208</v>
      </c>
      <c r="AA178" s="16" t="s">
        <v>189</v>
      </c>
      <c r="AC178" s="16" t="s">
        <v>174</v>
      </c>
      <c r="AD178" s="16" t="s">
        <v>189</v>
      </c>
      <c r="AE178" s="16" t="s">
        <v>189</v>
      </c>
      <c r="AF178" s="5" t="s">
        <v>213</v>
      </c>
      <c r="AG178" s="5" t="s">
        <v>188</v>
      </c>
      <c r="AH178" s="5" t="s">
        <v>189</v>
      </c>
      <c r="AI178" s="5" t="s">
        <v>212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0.28472222222222221</v>
      </c>
      <c r="C179" s="21" t="s">
        <v>131</v>
      </c>
      <c r="Y179" s="16" t="s">
        <v>192</v>
      </c>
      <c r="Z179" s="16" t="s">
        <v>210</v>
      </c>
      <c r="AA179" s="16" t="s">
        <v>208</v>
      </c>
      <c r="AB179" s="16" t="s">
        <v>189</v>
      </c>
      <c r="AC179" s="16" t="s">
        <v>195</v>
      </c>
      <c r="AD179" s="16" t="s">
        <v>189</v>
      </c>
      <c r="AE179" s="16" t="s">
        <v>189</v>
      </c>
      <c r="AF179" s="5" t="s">
        <v>211</v>
      </c>
      <c r="AG179" s="5" t="s">
        <v>209</v>
      </c>
      <c r="AH179" s="5" t="s">
        <v>230</v>
      </c>
      <c r="AK179" s="7"/>
      <c r="AL179" s="7"/>
    </row>
    <row r="180" spans="1:38" x14ac:dyDescent="0.35">
      <c r="A180" s="2">
        <v>2</v>
      </c>
      <c r="B180" s="15">
        <v>0.27013888888888887</v>
      </c>
      <c r="C180" s="21" t="s">
        <v>131</v>
      </c>
      <c r="AF180" s="5" t="s">
        <v>196</v>
      </c>
      <c r="AG180" s="5" t="s">
        <v>191</v>
      </c>
      <c r="AK180" s="7"/>
      <c r="AL180" s="7"/>
    </row>
    <row r="181" spans="1:38" x14ac:dyDescent="0.35">
      <c r="A181" s="2">
        <v>2</v>
      </c>
      <c r="B181" s="15">
        <v>0.26666666666666666</v>
      </c>
      <c r="C181" s="21" t="s">
        <v>131</v>
      </c>
      <c r="Y181" s="16" t="s">
        <v>192</v>
      </c>
      <c r="Z181" s="16" t="s">
        <v>193</v>
      </c>
      <c r="AA181" s="16" t="s">
        <v>227</v>
      </c>
      <c r="AB181" s="16" t="s">
        <v>147</v>
      </c>
      <c r="AC181" s="16" t="s">
        <v>174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0.25347222222222221</v>
      </c>
      <c r="C182" s="21" t="s">
        <v>131</v>
      </c>
      <c r="Y182" s="16" t="s">
        <v>200</v>
      </c>
      <c r="Z182" s="16" t="s">
        <v>230</v>
      </c>
      <c r="AA182" s="16" t="s">
        <v>189</v>
      </c>
      <c r="AC182" s="16" t="s">
        <v>195</v>
      </c>
      <c r="AD182" s="16" t="s">
        <v>189</v>
      </c>
      <c r="AE182" s="16" t="s">
        <v>189</v>
      </c>
      <c r="AF182" s="5" t="s">
        <v>227</v>
      </c>
      <c r="AG182" s="5" t="s">
        <v>188</v>
      </c>
      <c r="AH182" s="5" t="s">
        <v>189</v>
      </c>
      <c r="AI182" s="5" t="s">
        <v>208</v>
      </c>
      <c r="AJ182" s="5" t="s">
        <v>203</v>
      </c>
      <c r="AK182" s="7"/>
      <c r="AL182" s="7"/>
    </row>
    <row r="183" spans="1:38" x14ac:dyDescent="0.35">
      <c r="A183" s="2">
        <v>2</v>
      </c>
      <c r="B183" s="15">
        <v>0.24791666666666667</v>
      </c>
      <c r="C183" s="21" t="s">
        <v>131</v>
      </c>
      <c r="Y183" s="16" t="s">
        <v>200</v>
      </c>
      <c r="Z183" s="16" t="s">
        <v>229</v>
      </c>
      <c r="AA183" s="16" t="s">
        <v>189</v>
      </c>
      <c r="AC183" s="16" t="s">
        <v>174</v>
      </c>
      <c r="AD183" s="16" t="s">
        <v>189</v>
      </c>
      <c r="AE183" s="16" t="s">
        <v>189</v>
      </c>
      <c r="AF183" s="5" t="s">
        <v>208</v>
      </c>
      <c r="AG183" s="5" t="s">
        <v>191</v>
      </c>
      <c r="AK183" s="7"/>
      <c r="AL183" s="7"/>
    </row>
    <row r="184" spans="1:38" x14ac:dyDescent="0.35">
      <c r="A184" s="2">
        <v>2</v>
      </c>
      <c r="B184" s="15">
        <v>0.23958333333333334</v>
      </c>
      <c r="C184" s="21" t="s">
        <v>131</v>
      </c>
      <c r="Y184" s="16" t="s">
        <v>200</v>
      </c>
      <c r="Z184" s="16" t="s">
        <v>190</v>
      </c>
      <c r="AA184" s="16" t="s">
        <v>189</v>
      </c>
      <c r="AC184" s="16" t="s">
        <v>174</v>
      </c>
      <c r="AD184" s="16" t="s">
        <v>189</v>
      </c>
      <c r="AE184" s="16" t="s">
        <v>189</v>
      </c>
      <c r="AF184" s="5" t="s">
        <v>227</v>
      </c>
      <c r="AG184" s="5" t="s">
        <v>188</v>
      </c>
      <c r="AH184" s="5" t="s">
        <v>236</v>
      </c>
      <c r="AI184" s="5" t="s">
        <v>208</v>
      </c>
      <c r="AJ184" s="5" t="s">
        <v>209</v>
      </c>
      <c r="AK184" s="7"/>
      <c r="AL184" s="7"/>
    </row>
    <row r="185" spans="1:38" x14ac:dyDescent="0.35">
      <c r="A185" s="2">
        <v>2</v>
      </c>
      <c r="B185" s="15">
        <v>0.22708333333333333</v>
      </c>
      <c r="C185" s="21" t="s">
        <v>131</v>
      </c>
      <c r="AF185" s="5" t="s">
        <v>215</v>
      </c>
      <c r="AG185" s="5" t="s">
        <v>188</v>
      </c>
      <c r="AH185" s="5" t="s">
        <v>189</v>
      </c>
      <c r="AI185" s="5" t="s">
        <v>211</v>
      </c>
      <c r="AJ185" s="5" t="s">
        <v>203</v>
      </c>
    </row>
    <row r="186" spans="1:38" x14ac:dyDescent="0.35">
      <c r="A186" s="2">
        <v>2</v>
      </c>
      <c r="B186" s="15">
        <v>0.22222222222222221</v>
      </c>
      <c r="C186" s="21" t="s">
        <v>131</v>
      </c>
      <c r="Y186" s="16" t="s">
        <v>192</v>
      </c>
      <c r="Z186" s="16" t="s">
        <v>233</v>
      </c>
      <c r="AA186" s="16" t="s">
        <v>215</v>
      </c>
      <c r="AB186" s="16" t="s">
        <v>189</v>
      </c>
      <c r="AC186" s="16" t="s">
        <v>195</v>
      </c>
      <c r="AD186" s="16" t="s">
        <v>189</v>
      </c>
      <c r="AE186" s="16" t="s">
        <v>189</v>
      </c>
      <c r="AF186" s="5" t="s">
        <v>201</v>
      </c>
      <c r="AG186" s="5" t="s">
        <v>231</v>
      </c>
      <c r="AH186" s="5" t="s">
        <v>198</v>
      </c>
    </row>
    <row r="187" spans="1:38" x14ac:dyDescent="0.35">
      <c r="A187" s="2">
        <v>2</v>
      </c>
      <c r="B187" s="15">
        <v>0.20347222222222222</v>
      </c>
      <c r="C187" s="21" t="s">
        <v>131</v>
      </c>
      <c r="AF187" s="5" t="s">
        <v>239</v>
      </c>
      <c r="AG187" s="5" t="s">
        <v>188</v>
      </c>
      <c r="AH187" s="5" t="s">
        <v>189</v>
      </c>
      <c r="AI187" s="5" t="s">
        <v>211</v>
      </c>
      <c r="AJ187" s="5" t="s">
        <v>203</v>
      </c>
    </row>
    <row r="188" spans="1:38" x14ac:dyDescent="0.35">
      <c r="A188" s="2">
        <v>2</v>
      </c>
      <c r="B188" s="15">
        <v>0.19444444444444445</v>
      </c>
      <c r="C188" s="21" t="s">
        <v>131</v>
      </c>
      <c r="Y188" s="16" t="s">
        <v>200</v>
      </c>
      <c r="Z188" s="16" t="s">
        <v>211</v>
      </c>
      <c r="AA188" s="16" t="s">
        <v>189</v>
      </c>
      <c r="AC188" s="16" t="s">
        <v>195</v>
      </c>
      <c r="AD188" s="16" t="s">
        <v>189</v>
      </c>
      <c r="AE188" s="16" t="s">
        <v>189</v>
      </c>
      <c r="AF188" s="5" t="s">
        <v>210</v>
      </c>
      <c r="AG188" s="5" t="s">
        <v>188</v>
      </c>
      <c r="AH188" s="5" t="s">
        <v>237</v>
      </c>
      <c r="AI188" s="5" t="s">
        <v>226</v>
      </c>
      <c r="AJ188" s="5" t="s">
        <v>203</v>
      </c>
    </row>
    <row r="189" spans="1:38" x14ac:dyDescent="0.35">
      <c r="A189" s="2">
        <v>2</v>
      </c>
      <c r="B189" s="15">
        <v>0.18611111111111112</v>
      </c>
      <c r="C189" s="21" t="s">
        <v>131</v>
      </c>
      <c r="Y189" s="16" t="s">
        <v>224</v>
      </c>
      <c r="Z189" s="16" t="s">
        <v>217</v>
      </c>
      <c r="AA189" s="16" t="s">
        <v>190</v>
      </c>
      <c r="AC189" s="16" t="s">
        <v>192</v>
      </c>
      <c r="AD189" s="16" t="s">
        <v>189</v>
      </c>
      <c r="AE189" s="16" t="s">
        <v>189</v>
      </c>
    </row>
    <row r="190" spans="1:38" x14ac:dyDescent="0.35">
      <c r="A190" s="2">
        <v>2</v>
      </c>
      <c r="B190" s="15">
        <v>0.1736111111111111</v>
      </c>
      <c r="C190" s="21" t="s">
        <v>131</v>
      </c>
      <c r="Y190" s="16" t="s">
        <v>200</v>
      </c>
      <c r="Z190" s="16" t="s">
        <v>222</v>
      </c>
      <c r="AA190" s="16" t="s">
        <v>189</v>
      </c>
      <c r="AC190" s="16" t="s">
        <v>174</v>
      </c>
      <c r="AD190" s="16" t="s">
        <v>189</v>
      </c>
      <c r="AE190" s="16" t="s">
        <v>189</v>
      </c>
      <c r="AF190" s="5" t="s">
        <v>194</v>
      </c>
      <c r="AG190" s="5" t="s">
        <v>188</v>
      </c>
      <c r="AH190" s="5" t="s">
        <v>189</v>
      </c>
      <c r="AI190" s="5" t="s">
        <v>234</v>
      </c>
      <c r="AJ190" s="5" t="s">
        <v>191</v>
      </c>
    </row>
    <row r="191" spans="1:38" x14ac:dyDescent="0.35">
      <c r="A191" s="2">
        <v>2</v>
      </c>
      <c r="B191" s="15">
        <v>0.16041666666666668</v>
      </c>
      <c r="C191" s="21" t="s">
        <v>131</v>
      </c>
      <c r="Y191" s="16" t="s">
        <v>200</v>
      </c>
      <c r="Z191" s="16" t="s">
        <v>234</v>
      </c>
      <c r="AA191" s="16" t="s">
        <v>189</v>
      </c>
      <c r="AC191" s="16" t="s">
        <v>195</v>
      </c>
      <c r="AD191" s="16" t="s">
        <v>189</v>
      </c>
      <c r="AE191" s="16" t="s">
        <v>189</v>
      </c>
      <c r="AF191" s="5" t="s">
        <v>214</v>
      </c>
      <c r="AG191" s="5" t="s">
        <v>203</v>
      </c>
    </row>
    <row r="192" spans="1:38" x14ac:dyDescent="0.35">
      <c r="A192" s="2">
        <v>2</v>
      </c>
      <c r="B192" s="15">
        <v>0.14930555555555555</v>
      </c>
      <c r="C192" s="21" t="s">
        <v>131</v>
      </c>
      <c r="Y192" s="16" t="s">
        <v>225</v>
      </c>
      <c r="Z192" s="16" t="s">
        <v>132</v>
      </c>
      <c r="AF192" s="5" t="s">
        <v>194</v>
      </c>
      <c r="AG192" s="5" t="s">
        <v>209</v>
      </c>
      <c r="AH192" s="5" t="s">
        <v>233</v>
      </c>
    </row>
    <row r="193" spans="1:36" x14ac:dyDescent="0.35">
      <c r="A193" s="2">
        <v>2</v>
      </c>
      <c r="B193" s="15">
        <v>0.1423611111111111</v>
      </c>
      <c r="C193" s="21" t="s">
        <v>131</v>
      </c>
      <c r="AF193" s="5" t="s">
        <v>194</v>
      </c>
      <c r="AG193" s="5" t="s">
        <v>188</v>
      </c>
      <c r="AH193" s="5" t="s">
        <v>233</v>
      </c>
      <c r="AI193" s="5" t="s">
        <v>237</v>
      </c>
      <c r="AJ193" s="5" t="s">
        <v>219</v>
      </c>
    </row>
    <row r="194" spans="1:36" x14ac:dyDescent="0.35">
      <c r="A194" s="2">
        <v>2</v>
      </c>
      <c r="B194" s="15">
        <v>0.13819444444444445</v>
      </c>
      <c r="C194" s="21" t="s">
        <v>131</v>
      </c>
      <c r="Y194" s="16" t="s">
        <v>192</v>
      </c>
      <c r="Z194" s="16" t="s">
        <v>234</v>
      </c>
      <c r="AA194" s="16" t="s">
        <v>213</v>
      </c>
      <c r="AB194" s="16" t="s">
        <v>189</v>
      </c>
      <c r="AC194" s="16" t="s">
        <v>195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0.11388888888888889</v>
      </c>
      <c r="C195" s="21" t="s">
        <v>131</v>
      </c>
      <c r="Y195" s="16" t="s">
        <v>200</v>
      </c>
      <c r="Z195" s="16" t="s">
        <v>208</v>
      </c>
      <c r="AA195" s="16" t="s">
        <v>189</v>
      </c>
      <c r="AC195" s="16" t="s">
        <v>174</v>
      </c>
      <c r="AD195" s="16" t="s">
        <v>189</v>
      </c>
      <c r="AE195" s="16" t="s">
        <v>189</v>
      </c>
      <c r="AF195" s="5" t="s">
        <v>230</v>
      </c>
      <c r="AG195" s="5" t="s">
        <v>188</v>
      </c>
      <c r="AH195" s="5" t="s">
        <v>228</v>
      </c>
      <c r="AI195" s="5" t="s">
        <v>207</v>
      </c>
      <c r="AJ195" s="5" t="s">
        <v>203</v>
      </c>
    </row>
    <row r="196" spans="1:36" x14ac:dyDescent="0.35">
      <c r="A196" s="2">
        <v>2</v>
      </c>
      <c r="B196" s="15">
        <v>0.10625</v>
      </c>
      <c r="C196" s="21" t="s">
        <v>131</v>
      </c>
      <c r="AF196" s="5" t="s">
        <v>196</v>
      </c>
      <c r="AG196" s="5" t="s">
        <v>188</v>
      </c>
      <c r="AH196" s="5" t="s">
        <v>226</v>
      </c>
      <c r="AI196" s="5" t="s">
        <v>208</v>
      </c>
      <c r="AJ196" s="5" t="s">
        <v>203</v>
      </c>
    </row>
    <row r="197" spans="1:36" x14ac:dyDescent="0.35">
      <c r="A197" s="2">
        <v>2</v>
      </c>
      <c r="B197" s="15">
        <v>0.1</v>
      </c>
      <c r="C197" s="21" t="s">
        <v>131</v>
      </c>
      <c r="AF197" s="5" t="s">
        <v>230</v>
      </c>
      <c r="AG197" s="5" t="s">
        <v>188</v>
      </c>
      <c r="AH197" s="5" t="s">
        <v>228</v>
      </c>
      <c r="AI197" s="5" t="s">
        <v>207</v>
      </c>
      <c r="AJ197" s="5" t="s">
        <v>203</v>
      </c>
    </row>
    <row r="198" spans="1:36" x14ac:dyDescent="0.35">
      <c r="A198" s="2">
        <v>2</v>
      </c>
      <c r="B198" s="15">
        <v>7.9861111111111105E-2</v>
      </c>
      <c r="C198" s="21" t="s">
        <v>131</v>
      </c>
      <c r="Y198" s="16" t="s">
        <v>224</v>
      </c>
      <c r="Z198" s="16" t="s">
        <v>221</v>
      </c>
      <c r="AA198" s="16" t="s">
        <v>189</v>
      </c>
      <c r="AC198" s="16" t="s">
        <v>192</v>
      </c>
      <c r="AD198" s="16" t="s">
        <v>189</v>
      </c>
      <c r="AE198" s="16" t="s">
        <v>189</v>
      </c>
    </row>
    <row r="199" spans="1:36" x14ac:dyDescent="0.35">
      <c r="A199" s="2">
        <v>2</v>
      </c>
      <c r="B199" s="15">
        <v>7.5694444444444439E-2</v>
      </c>
      <c r="C199" s="21" t="s">
        <v>131</v>
      </c>
      <c r="Y199" s="16" t="s">
        <v>200</v>
      </c>
      <c r="Z199" s="16" t="s">
        <v>218</v>
      </c>
      <c r="AA199" s="16" t="s">
        <v>189</v>
      </c>
      <c r="AC199" s="16" t="s">
        <v>174</v>
      </c>
      <c r="AD199" s="16" t="s">
        <v>189</v>
      </c>
      <c r="AE199" s="16" t="s">
        <v>189</v>
      </c>
    </row>
    <row r="200" spans="1:36" x14ac:dyDescent="0.35">
      <c r="A200" s="2">
        <v>2</v>
      </c>
      <c r="B200" s="15">
        <v>6.458333333333334E-2</v>
      </c>
      <c r="C200" s="21" t="s">
        <v>131</v>
      </c>
      <c r="Y200" s="16" t="s">
        <v>200</v>
      </c>
      <c r="Z200" s="16" t="s">
        <v>223</v>
      </c>
      <c r="AA200" s="16" t="s">
        <v>201</v>
      </c>
      <c r="AC200" s="16" t="s">
        <v>174</v>
      </c>
      <c r="AD200" s="16" t="s">
        <v>189</v>
      </c>
      <c r="AE200" s="16" t="s">
        <v>189</v>
      </c>
      <c r="AF200" s="5" t="s">
        <v>202</v>
      </c>
      <c r="AG200" s="5" t="s">
        <v>199</v>
      </c>
    </row>
    <row r="201" spans="1:36" x14ac:dyDescent="0.35">
      <c r="A201" s="2">
        <v>2</v>
      </c>
      <c r="B201" s="15">
        <v>5.8333333333333334E-2</v>
      </c>
      <c r="C201" s="21" t="s">
        <v>131</v>
      </c>
      <c r="Y201" s="16" t="s">
        <v>225</v>
      </c>
      <c r="AF201" s="5" t="s">
        <v>229</v>
      </c>
      <c r="AG201" s="5" t="s">
        <v>203</v>
      </c>
    </row>
    <row r="202" spans="1:36" x14ac:dyDescent="0.35">
      <c r="A202" s="2">
        <v>2</v>
      </c>
      <c r="B202" s="15">
        <v>3.7499999999999999E-2</v>
      </c>
      <c r="C202" s="21" t="s">
        <v>131</v>
      </c>
      <c r="AF202" s="5" t="s">
        <v>212</v>
      </c>
      <c r="AG202" s="5" t="s">
        <v>203</v>
      </c>
      <c r="AH202" s="5" t="s">
        <v>234</v>
      </c>
    </row>
    <row r="203" spans="1:36" x14ac:dyDescent="0.35">
      <c r="A203" s="2">
        <v>2</v>
      </c>
      <c r="B203" s="15">
        <v>2.8472222222222222E-2</v>
      </c>
      <c r="C203" s="21" t="s">
        <v>131</v>
      </c>
      <c r="Y203" s="16" t="s">
        <v>200</v>
      </c>
      <c r="Z203" s="16" t="s">
        <v>198</v>
      </c>
      <c r="AA203" s="16" t="s">
        <v>189</v>
      </c>
      <c r="AC203" s="16" t="s">
        <v>195</v>
      </c>
      <c r="AD203" s="16" t="s">
        <v>189</v>
      </c>
      <c r="AE203" s="16" t="s">
        <v>189</v>
      </c>
      <c r="AF203" s="5" t="s">
        <v>194</v>
      </c>
      <c r="AG203" s="5" t="s">
        <v>188</v>
      </c>
      <c r="AH203" s="5" t="s">
        <v>233</v>
      </c>
      <c r="AI203" s="5" t="s">
        <v>217</v>
      </c>
      <c r="AJ203" s="5" t="s">
        <v>203</v>
      </c>
    </row>
    <row r="204" spans="1:36" x14ac:dyDescent="0.35">
      <c r="A204" s="2">
        <v>2</v>
      </c>
      <c r="B204" s="15">
        <v>2.0833333333333332E-2</v>
      </c>
      <c r="C204" s="21" t="s">
        <v>131</v>
      </c>
      <c r="Y204" s="16" t="s">
        <v>192</v>
      </c>
      <c r="Z204" s="16" t="s">
        <v>222</v>
      </c>
      <c r="AA204" s="16" t="s">
        <v>189</v>
      </c>
      <c r="AB204" s="16" t="s">
        <v>147</v>
      </c>
      <c r="AC204" s="16" t="s">
        <v>174</v>
      </c>
      <c r="AD204" s="16" t="s">
        <v>189</v>
      </c>
      <c r="AE204" s="16" t="s">
        <v>189</v>
      </c>
      <c r="AF204" s="5" t="s">
        <v>234</v>
      </c>
      <c r="AG204" s="5" t="s">
        <v>203</v>
      </c>
    </row>
    <row r="205" spans="1:36" x14ac:dyDescent="0.35">
      <c r="A205" s="2">
        <v>3</v>
      </c>
      <c r="B205" s="15">
        <v>0.82916666666666672</v>
      </c>
      <c r="C205" s="21" t="s">
        <v>170</v>
      </c>
      <c r="Y205" s="16" t="s">
        <v>200</v>
      </c>
      <c r="Z205" s="16" t="s">
        <v>198</v>
      </c>
      <c r="AA205" s="16" t="s">
        <v>189</v>
      </c>
      <c r="AB205" s="16" t="s">
        <v>189</v>
      </c>
      <c r="AC205" s="16" t="s">
        <v>195</v>
      </c>
      <c r="AD205" s="16" t="s">
        <v>189</v>
      </c>
      <c r="AE205" s="16" t="s">
        <v>189</v>
      </c>
    </row>
    <row r="206" spans="1:36" x14ac:dyDescent="0.35">
      <c r="A206" s="2">
        <v>3</v>
      </c>
      <c r="B206" s="15">
        <v>0.8125</v>
      </c>
      <c r="C206" s="21" t="s">
        <v>170</v>
      </c>
      <c r="Y206" s="16" t="s">
        <v>200</v>
      </c>
      <c r="Z206" s="16" t="s">
        <v>212</v>
      </c>
      <c r="AA206" s="16" t="s">
        <v>189</v>
      </c>
      <c r="AB206" s="16" t="s">
        <v>147</v>
      </c>
      <c r="AC206" s="16" t="s">
        <v>174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0.80069444444444449</v>
      </c>
      <c r="C207" s="21" t="s">
        <v>184</v>
      </c>
      <c r="Y207" s="16" t="s">
        <v>192</v>
      </c>
      <c r="Z207" s="16" t="s">
        <v>215</v>
      </c>
      <c r="AA207" s="16" t="s">
        <v>189</v>
      </c>
      <c r="AB207" s="16" t="s">
        <v>189</v>
      </c>
      <c r="AC207" s="16" t="s">
        <v>174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0.78333333333333333</v>
      </c>
      <c r="C208" s="21" t="s">
        <v>170</v>
      </c>
      <c r="Y208" s="16" t="s">
        <v>200</v>
      </c>
      <c r="Z208" s="16" t="s">
        <v>233</v>
      </c>
      <c r="AA208" s="16" t="s">
        <v>194</v>
      </c>
      <c r="AB208" s="16" t="s">
        <v>189</v>
      </c>
      <c r="AC208" s="16" t="s">
        <v>195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0.7729166666666667</v>
      </c>
      <c r="C209" s="21" t="s">
        <v>170</v>
      </c>
      <c r="Y209" s="16" t="s">
        <v>200</v>
      </c>
      <c r="Z209" s="16" t="s">
        <v>233</v>
      </c>
      <c r="AA209" s="16" t="s">
        <v>215</v>
      </c>
      <c r="AB209" s="16" t="s">
        <v>147</v>
      </c>
      <c r="AC209" s="16" t="s">
        <v>195</v>
      </c>
      <c r="AD209" s="16" t="s">
        <v>189</v>
      </c>
      <c r="AE209" s="16" t="s">
        <v>147</v>
      </c>
    </row>
    <row r="210" spans="1:36" x14ac:dyDescent="0.35">
      <c r="A210" s="2">
        <v>3</v>
      </c>
      <c r="B210" s="15">
        <v>0.76111111111111107</v>
      </c>
      <c r="C210" s="21" t="s">
        <v>131</v>
      </c>
      <c r="Y210" s="16" t="s">
        <v>192</v>
      </c>
      <c r="Z210" s="16" t="s">
        <v>237</v>
      </c>
      <c r="AA210" s="16" t="s">
        <v>206</v>
      </c>
      <c r="AB210" s="16" t="s">
        <v>235</v>
      </c>
      <c r="AC210" s="16" t="s">
        <v>174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0.75069444444444444</v>
      </c>
      <c r="C211" s="21" t="s">
        <v>131</v>
      </c>
      <c r="Y211" s="16" t="s">
        <v>200</v>
      </c>
      <c r="Z211" s="16" t="s">
        <v>202</v>
      </c>
      <c r="AA211" s="16" t="s">
        <v>189</v>
      </c>
      <c r="AC211" s="16" t="s">
        <v>174</v>
      </c>
      <c r="AD211" s="16" t="s">
        <v>189</v>
      </c>
      <c r="AE211" s="16" t="s">
        <v>189</v>
      </c>
      <c r="AF211" s="5" t="s">
        <v>197</v>
      </c>
      <c r="AG211" s="5" t="s">
        <v>199</v>
      </c>
    </row>
    <row r="212" spans="1:36" x14ac:dyDescent="0.35">
      <c r="A212" s="2">
        <v>3</v>
      </c>
      <c r="B212" s="15">
        <v>0.74097222222222225</v>
      </c>
      <c r="C212" s="21" t="s">
        <v>131</v>
      </c>
      <c r="Y212" s="16" t="s">
        <v>200</v>
      </c>
      <c r="Z212" s="16" t="s">
        <v>226</v>
      </c>
      <c r="AA212" s="16" t="s">
        <v>189</v>
      </c>
      <c r="AC212" s="16" t="s">
        <v>174</v>
      </c>
      <c r="AD212" s="16" t="s">
        <v>210</v>
      </c>
      <c r="AE212" s="16" t="s">
        <v>189</v>
      </c>
      <c r="AF212" s="5" t="s">
        <v>204</v>
      </c>
      <c r="AG212" s="5" t="s">
        <v>188</v>
      </c>
      <c r="AH212" s="5" t="s">
        <v>226</v>
      </c>
      <c r="AI212" s="5" t="s">
        <v>239</v>
      </c>
      <c r="AJ212" s="5" t="s">
        <v>209</v>
      </c>
    </row>
    <row r="213" spans="1:36" x14ac:dyDescent="0.35">
      <c r="A213" s="2">
        <v>3</v>
      </c>
      <c r="B213" s="15">
        <v>0.7270833333333333</v>
      </c>
      <c r="C213" s="21" t="s">
        <v>131</v>
      </c>
      <c r="AF213" s="5" t="s">
        <v>239</v>
      </c>
      <c r="AG213" s="5" t="s">
        <v>199</v>
      </c>
    </row>
    <row r="214" spans="1:36" x14ac:dyDescent="0.35">
      <c r="A214" s="2">
        <v>3</v>
      </c>
      <c r="B214" s="15">
        <v>0.72222222222222221</v>
      </c>
      <c r="C214" s="21" t="s">
        <v>131</v>
      </c>
      <c r="Y214" s="16" t="s">
        <v>200</v>
      </c>
      <c r="Z214" s="16" t="s">
        <v>202</v>
      </c>
      <c r="AA214" s="16" t="s">
        <v>212</v>
      </c>
      <c r="AC214" s="16" t="s">
        <v>192</v>
      </c>
      <c r="AD214" s="16" t="s">
        <v>189</v>
      </c>
      <c r="AE214" s="16" t="s">
        <v>189</v>
      </c>
      <c r="AF214" s="5" t="s">
        <v>214</v>
      </c>
      <c r="AG214" s="5" t="s">
        <v>188</v>
      </c>
      <c r="AH214" s="5" t="s">
        <v>196</v>
      </c>
      <c r="AI214" s="5" t="s">
        <v>226</v>
      </c>
      <c r="AJ214" s="5" t="s">
        <v>209</v>
      </c>
    </row>
    <row r="215" spans="1:36" x14ac:dyDescent="0.35">
      <c r="A215" s="2">
        <v>3</v>
      </c>
      <c r="B215" s="15">
        <v>0.70902777777777781</v>
      </c>
      <c r="C215" s="21" t="s">
        <v>131</v>
      </c>
      <c r="AF215" s="5" t="s">
        <v>198</v>
      </c>
      <c r="AG215" s="5" t="s">
        <v>188</v>
      </c>
      <c r="AH215" s="5" t="s">
        <v>189</v>
      </c>
      <c r="AI215" s="5" t="s">
        <v>214</v>
      </c>
      <c r="AJ215" s="5" t="s">
        <v>219</v>
      </c>
    </row>
    <row r="216" spans="1:36" x14ac:dyDescent="0.35">
      <c r="A216" s="2">
        <v>3</v>
      </c>
      <c r="B216" s="15">
        <v>0.70625000000000004</v>
      </c>
      <c r="C216" s="21" t="s">
        <v>131</v>
      </c>
      <c r="Y216" s="16" t="s">
        <v>200</v>
      </c>
      <c r="Z216" s="16" t="s">
        <v>214</v>
      </c>
      <c r="AA216" s="16" t="s">
        <v>234</v>
      </c>
      <c r="AC216" s="16" t="s">
        <v>174</v>
      </c>
      <c r="AD216" s="16" t="s">
        <v>189</v>
      </c>
      <c r="AE216" s="16" t="s">
        <v>189</v>
      </c>
      <c r="AF216" s="5" t="s">
        <v>194</v>
      </c>
      <c r="AG216" s="5" t="s">
        <v>188</v>
      </c>
      <c r="AH216" s="5" t="s">
        <v>189</v>
      </c>
      <c r="AI216" s="5" t="s">
        <v>194</v>
      </c>
      <c r="AJ216" s="5" t="s">
        <v>203</v>
      </c>
    </row>
    <row r="217" spans="1:36" x14ac:dyDescent="0.35">
      <c r="A217" s="2">
        <v>3</v>
      </c>
      <c r="B217" s="15">
        <v>0.6875</v>
      </c>
      <c r="C217" s="21" t="s">
        <v>131</v>
      </c>
      <c r="AF217" s="5" t="s">
        <v>234</v>
      </c>
      <c r="AG217" s="5" t="s">
        <v>203</v>
      </c>
    </row>
    <row r="218" spans="1:36" x14ac:dyDescent="0.35">
      <c r="A218" s="2">
        <v>3</v>
      </c>
      <c r="B218" s="15">
        <v>0.68402777777777779</v>
      </c>
      <c r="C218" s="21" t="s">
        <v>131</v>
      </c>
      <c r="AF218" s="5" t="s">
        <v>197</v>
      </c>
      <c r="AG218" s="5" t="s">
        <v>203</v>
      </c>
    </row>
    <row r="219" spans="1:36" x14ac:dyDescent="0.35">
      <c r="A219" s="2">
        <v>3</v>
      </c>
      <c r="B219" s="15">
        <v>0.6694444444444444</v>
      </c>
      <c r="C219" s="21" t="s">
        <v>131</v>
      </c>
      <c r="Y219" s="16" t="s">
        <v>200</v>
      </c>
      <c r="Z219" s="16" t="s">
        <v>237</v>
      </c>
      <c r="AA219" s="16" t="s">
        <v>190</v>
      </c>
      <c r="AC219" s="16" t="s">
        <v>195</v>
      </c>
      <c r="AD219" s="16" t="s">
        <v>189</v>
      </c>
      <c r="AE219" s="16" t="s">
        <v>189</v>
      </c>
      <c r="AF219" s="5" t="s">
        <v>197</v>
      </c>
      <c r="AG219" s="5" t="s">
        <v>188</v>
      </c>
      <c r="AH219" s="5" t="s">
        <v>189</v>
      </c>
      <c r="AI219" s="5" t="s">
        <v>207</v>
      </c>
      <c r="AJ219" s="5" t="s">
        <v>199</v>
      </c>
    </row>
    <row r="220" spans="1:36" x14ac:dyDescent="0.35">
      <c r="A220" s="2">
        <v>3</v>
      </c>
      <c r="B220" s="15">
        <v>0.66319444444444442</v>
      </c>
      <c r="C220" s="21" t="s">
        <v>131</v>
      </c>
      <c r="Y220" s="16" t="s">
        <v>200</v>
      </c>
      <c r="Z220" s="16" t="s">
        <v>229</v>
      </c>
      <c r="AA220" s="16" t="s">
        <v>215</v>
      </c>
      <c r="AC220" s="16" t="s">
        <v>192</v>
      </c>
      <c r="AD220" s="16" t="s">
        <v>193</v>
      </c>
      <c r="AE220" s="16" t="s">
        <v>189</v>
      </c>
      <c r="AF220" s="5" t="s">
        <v>201</v>
      </c>
      <c r="AG220" s="5" t="s">
        <v>199</v>
      </c>
    </row>
    <row r="221" spans="1:36" x14ac:dyDescent="0.35">
      <c r="A221" s="2">
        <v>3</v>
      </c>
      <c r="B221" s="15">
        <v>0.64513888888888893</v>
      </c>
      <c r="C221" s="21" t="s">
        <v>131</v>
      </c>
      <c r="Y221" s="16" t="s">
        <v>200</v>
      </c>
      <c r="Z221" s="16" t="s">
        <v>227</v>
      </c>
      <c r="AA221" s="16" t="s">
        <v>189</v>
      </c>
      <c r="AC221" s="16" t="s">
        <v>195</v>
      </c>
      <c r="AD221" s="16" t="s">
        <v>189</v>
      </c>
      <c r="AE221" s="16" t="s">
        <v>189</v>
      </c>
    </row>
    <row r="222" spans="1:36" x14ac:dyDescent="0.35">
      <c r="A222" s="2">
        <v>3</v>
      </c>
      <c r="B222" s="15">
        <v>0.63749999999999996</v>
      </c>
      <c r="C222" s="21" t="s">
        <v>131</v>
      </c>
      <c r="Y222" s="16" t="s">
        <v>200</v>
      </c>
      <c r="Z222" s="16" t="s">
        <v>223</v>
      </c>
      <c r="AA222" s="16" t="s">
        <v>194</v>
      </c>
      <c r="AC222" s="16" t="s">
        <v>195</v>
      </c>
      <c r="AD222" s="16" t="s">
        <v>216</v>
      </c>
      <c r="AE222" s="16" t="s">
        <v>189</v>
      </c>
    </row>
    <row r="223" spans="1:36" x14ac:dyDescent="0.35">
      <c r="A223" s="2">
        <v>3</v>
      </c>
      <c r="B223" s="15">
        <v>0.61805555555555558</v>
      </c>
      <c r="C223" s="21" t="s">
        <v>131</v>
      </c>
      <c r="Y223" s="16" t="s">
        <v>192</v>
      </c>
      <c r="Z223" s="16" t="s">
        <v>210</v>
      </c>
      <c r="AA223" s="16" t="s">
        <v>201</v>
      </c>
      <c r="AB223" s="16" t="s">
        <v>189</v>
      </c>
      <c r="AC223" s="16" t="s">
        <v>195</v>
      </c>
      <c r="AD223" s="16" t="s">
        <v>189</v>
      </c>
      <c r="AE223" s="16" t="s">
        <v>147</v>
      </c>
    </row>
    <row r="224" spans="1:36" x14ac:dyDescent="0.35">
      <c r="A224" s="2">
        <v>3</v>
      </c>
      <c r="B224" s="15">
        <v>0.61111111111111116</v>
      </c>
      <c r="C224" s="21" t="s">
        <v>131</v>
      </c>
      <c r="Y224" s="16" t="s">
        <v>200</v>
      </c>
      <c r="Z224" s="16" t="s">
        <v>234</v>
      </c>
      <c r="AA224" s="16" t="s">
        <v>189</v>
      </c>
      <c r="AC224" s="16" t="s">
        <v>195</v>
      </c>
      <c r="AD224" s="16" t="s">
        <v>239</v>
      </c>
      <c r="AE224" s="16" t="s">
        <v>189</v>
      </c>
      <c r="AF224" s="5" t="s">
        <v>197</v>
      </c>
      <c r="AG224" s="5" t="s">
        <v>188</v>
      </c>
      <c r="AH224" s="5" t="s">
        <v>189</v>
      </c>
      <c r="AI224" s="5" t="s">
        <v>198</v>
      </c>
      <c r="AJ224" s="5" t="s">
        <v>219</v>
      </c>
    </row>
    <row r="225" spans="1:36" x14ac:dyDescent="0.35">
      <c r="A225" s="2">
        <v>3</v>
      </c>
      <c r="B225" s="15">
        <v>0.58472222222222225</v>
      </c>
      <c r="C225" s="21" t="s">
        <v>131</v>
      </c>
      <c r="Y225" s="16" t="s">
        <v>200</v>
      </c>
      <c r="Z225" s="16" t="s">
        <v>211</v>
      </c>
      <c r="AA225" s="16" t="s">
        <v>189</v>
      </c>
      <c r="AC225" s="16" t="s">
        <v>195</v>
      </c>
      <c r="AD225" s="16" t="s">
        <v>189</v>
      </c>
      <c r="AE225" s="16" t="s">
        <v>189</v>
      </c>
      <c r="AF225" s="5" t="s">
        <v>206</v>
      </c>
      <c r="AG225" s="5" t="s">
        <v>188</v>
      </c>
      <c r="AH225" s="5" t="s">
        <v>189</v>
      </c>
      <c r="AI225" s="5" t="s">
        <v>193</v>
      </c>
      <c r="AJ225" s="5" t="s">
        <v>203</v>
      </c>
    </row>
    <row r="226" spans="1:36" x14ac:dyDescent="0.35">
      <c r="A226" s="2">
        <v>3</v>
      </c>
      <c r="B226" s="15" t="s">
        <v>185</v>
      </c>
      <c r="C226" s="21" t="s">
        <v>131</v>
      </c>
      <c r="AF226" s="5" t="s">
        <v>201</v>
      </c>
      <c r="AG226" s="5" t="s">
        <v>188</v>
      </c>
      <c r="AH226" s="5" t="s">
        <v>189</v>
      </c>
      <c r="AI226" s="5" t="s">
        <v>227</v>
      </c>
      <c r="AJ226" s="5" t="s">
        <v>199</v>
      </c>
    </row>
    <row r="227" spans="1:36" x14ac:dyDescent="0.35">
      <c r="A227" s="2">
        <v>3</v>
      </c>
      <c r="B227" s="15">
        <v>0.56597222222222221</v>
      </c>
      <c r="C227" s="21" t="s">
        <v>131</v>
      </c>
      <c r="Y227" s="16" t="s">
        <v>192</v>
      </c>
      <c r="Z227" s="16" t="s">
        <v>196</v>
      </c>
      <c r="AA227" s="16" t="s">
        <v>230</v>
      </c>
      <c r="AB227" s="16" t="s">
        <v>147</v>
      </c>
      <c r="AC227" s="16" t="s">
        <v>195</v>
      </c>
      <c r="AD227" s="16" t="s">
        <v>189</v>
      </c>
      <c r="AE227" s="16" t="s">
        <v>189</v>
      </c>
      <c r="AF227" s="5" t="s">
        <v>210</v>
      </c>
      <c r="AG227" s="5" t="s">
        <v>219</v>
      </c>
    </row>
    <row r="228" spans="1:36" x14ac:dyDescent="0.35">
      <c r="A228" s="2">
        <v>3</v>
      </c>
      <c r="B228" s="15">
        <v>0.55763888888888891</v>
      </c>
      <c r="C228" s="21" t="s">
        <v>131</v>
      </c>
      <c r="Y228" s="16" t="s">
        <v>192</v>
      </c>
      <c r="Z228" s="16" t="s">
        <v>210</v>
      </c>
      <c r="AA228" s="16" t="s">
        <v>201</v>
      </c>
      <c r="AB228" s="16" t="s">
        <v>189</v>
      </c>
      <c r="AC228" s="16" t="s">
        <v>195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0.55347222222222225</v>
      </c>
      <c r="C229" s="21" t="s">
        <v>131</v>
      </c>
      <c r="Y229" s="16" t="s">
        <v>192</v>
      </c>
      <c r="Z229" s="16" t="s">
        <v>217</v>
      </c>
      <c r="AA229" s="16" t="s">
        <v>213</v>
      </c>
      <c r="AB229" s="16" t="s">
        <v>189</v>
      </c>
      <c r="AC229" s="16" t="s">
        <v>174</v>
      </c>
      <c r="AD229" s="16" t="s">
        <v>189</v>
      </c>
      <c r="AE229" s="16" t="s">
        <v>147</v>
      </c>
      <c r="AF229" s="5" t="s">
        <v>212</v>
      </c>
      <c r="AG229" s="5" t="s">
        <v>191</v>
      </c>
      <c r="AH229" s="5" t="s">
        <v>205</v>
      </c>
    </row>
    <row r="230" spans="1:36" x14ac:dyDescent="0.35">
      <c r="A230" s="2">
        <v>3</v>
      </c>
      <c r="B230" s="15">
        <v>0.53541666666666665</v>
      </c>
      <c r="C230" s="21" t="s">
        <v>131</v>
      </c>
      <c r="Y230" s="16" t="s">
        <v>192</v>
      </c>
      <c r="Z230" s="16" t="s">
        <v>237</v>
      </c>
      <c r="AA230" s="16" t="s">
        <v>212</v>
      </c>
      <c r="AB230" s="16" t="s">
        <v>189</v>
      </c>
      <c r="AC230" s="16" t="s">
        <v>195</v>
      </c>
      <c r="AD230" s="16" t="s">
        <v>189</v>
      </c>
      <c r="AE230" s="16" t="s">
        <v>147</v>
      </c>
    </row>
    <row r="231" spans="1:36" x14ac:dyDescent="0.35">
      <c r="A231" s="2">
        <v>3</v>
      </c>
      <c r="B231" s="15">
        <v>0.52013888888888893</v>
      </c>
      <c r="C231" s="21" t="s">
        <v>131</v>
      </c>
      <c r="AF231" s="5" t="s">
        <v>234</v>
      </c>
      <c r="AG231" s="5" t="s">
        <v>199</v>
      </c>
    </row>
    <row r="232" spans="1:36" x14ac:dyDescent="0.35">
      <c r="A232" s="2">
        <v>3</v>
      </c>
      <c r="B232" s="15">
        <v>0.51666666666666672</v>
      </c>
      <c r="C232" s="21" t="s">
        <v>131</v>
      </c>
      <c r="Y232" s="16" t="s">
        <v>224</v>
      </c>
      <c r="Z232" s="16" t="s">
        <v>217</v>
      </c>
      <c r="AA232" s="16" t="s">
        <v>197</v>
      </c>
      <c r="AC232" s="16" t="s">
        <v>174</v>
      </c>
      <c r="AD232" s="16" t="s">
        <v>189</v>
      </c>
      <c r="AE232" s="16" t="s">
        <v>189</v>
      </c>
    </row>
    <row r="233" spans="1:36" x14ac:dyDescent="0.35">
      <c r="A233" s="2">
        <v>3</v>
      </c>
      <c r="B233" s="15">
        <v>0.51041666666666663</v>
      </c>
      <c r="C233" s="21" t="s">
        <v>131</v>
      </c>
      <c r="Y233" s="16" t="s">
        <v>192</v>
      </c>
      <c r="Z233" s="16" t="s">
        <v>220</v>
      </c>
      <c r="AA233" s="16" t="s">
        <v>233</v>
      </c>
      <c r="AB233" s="16" t="s">
        <v>189</v>
      </c>
      <c r="AC233" s="16" t="s">
        <v>174</v>
      </c>
      <c r="AD233" s="16" t="s">
        <v>189</v>
      </c>
      <c r="AE233" s="16" t="s">
        <v>189</v>
      </c>
      <c r="AF233" s="5" t="s">
        <v>212</v>
      </c>
      <c r="AG233" s="5" t="s">
        <v>219</v>
      </c>
    </row>
    <row r="234" spans="1:36" x14ac:dyDescent="0.35">
      <c r="A234" s="2">
        <v>3</v>
      </c>
      <c r="B234" s="15">
        <v>0.50069444444444444</v>
      </c>
      <c r="C234" s="21" t="s">
        <v>131</v>
      </c>
      <c r="Y234" s="16" t="s">
        <v>200</v>
      </c>
      <c r="Z234" s="16" t="s">
        <v>212</v>
      </c>
      <c r="AA234" s="16" t="s">
        <v>189</v>
      </c>
      <c r="AC234" s="16" t="s">
        <v>174</v>
      </c>
      <c r="AD234" s="16" t="s">
        <v>198</v>
      </c>
      <c r="AE234" s="16" t="s">
        <v>147</v>
      </c>
      <c r="AF234" s="5" t="s">
        <v>194</v>
      </c>
      <c r="AG234" s="5" t="s">
        <v>231</v>
      </c>
      <c r="AH234" s="5" t="s">
        <v>233</v>
      </c>
    </row>
    <row r="235" spans="1:36" x14ac:dyDescent="0.35">
      <c r="A235" s="2">
        <v>3</v>
      </c>
      <c r="B235" s="15">
        <v>0.48888888888888887</v>
      </c>
      <c r="C235" s="21" t="s">
        <v>131</v>
      </c>
      <c r="Y235" s="16" t="s">
        <v>200</v>
      </c>
      <c r="Z235" s="16" t="s">
        <v>197</v>
      </c>
      <c r="AA235" s="16" t="s">
        <v>189</v>
      </c>
      <c r="AC235" s="16" t="s">
        <v>195</v>
      </c>
      <c r="AD235" s="16" t="s">
        <v>210</v>
      </c>
      <c r="AE235" s="16" t="s">
        <v>189</v>
      </c>
      <c r="AF235" s="5" t="s">
        <v>228</v>
      </c>
      <c r="AG235" s="5" t="s">
        <v>203</v>
      </c>
    </row>
    <row r="236" spans="1:36" x14ac:dyDescent="0.35">
      <c r="A236" s="2">
        <v>3</v>
      </c>
      <c r="B236" s="15">
        <v>0.4777777777777778</v>
      </c>
      <c r="C236" s="21" t="s">
        <v>131</v>
      </c>
      <c r="Y236" s="16" t="s">
        <v>200</v>
      </c>
      <c r="Z236" s="16" t="s">
        <v>207</v>
      </c>
      <c r="AA236" s="16" t="s">
        <v>189</v>
      </c>
      <c r="AC236" s="16" t="s">
        <v>195</v>
      </c>
      <c r="AD236" s="16" t="s">
        <v>193</v>
      </c>
      <c r="AE236" s="16" t="s">
        <v>189</v>
      </c>
      <c r="AF236" s="5" t="s">
        <v>215</v>
      </c>
      <c r="AG236" s="5" t="s">
        <v>231</v>
      </c>
      <c r="AH236" s="5" t="s">
        <v>222</v>
      </c>
    </row>
    <row r="237" spans="1:36" x14ac:dyDescent="0.35">
      <c r="A237" s="2">
        <v>3</v>
      </c>
      <c r="B237" s="15">
        <v>0.46111111111111114</v>
      </c>
      <c r="C237" s="21" t="s">
        <v>131</v>
      </c>
      <c r="AF237" s="5" t="s">
        <v>216</v>
      </c>
      <c r="AG237" s="5" t="s">
        <v>188</v>
      </c>
      <c r="AH237" s="5" t="s">
        <v>193</v>
      </c>
      <c r="AI237" s="5" t="s">
        <v>228</v>
      </c>
      <c r="AJ237" s="5" t="s">
        <v>203</v>
      </c>
    </row>
    <row r="238" spans="1:36" x14ac:dyDescent="0.35">
      <c r="A238" s="2">
        <v>3</v>
      </c>
      <c r="B238" s="15">
        <v>0.45694444444444443</v>
      </c>
      <c r="C238" s="21" t="s">
        <v>131</v>
      </c>
      <c r="AF238" s="5" t="s">
        <v>230</v>
      </c>
      <c r="AG238" s="5" t="s">
        <v>191</v>
      </c>
    </row>
    <row r="239" spans="1:36" x14ac:dyDescent="0.35">
      <c r="A239" s="2">
        <v>3</v>
      </c>
      <c r="B239" s="15">
        <v>0.45208333333333334</v>
      </c>
      <c r="C239" s="21" t="s">
        <v>131</v>
      </c>
      <c r="Y239" s="16" t="s">
        <v>200</v>
      </c>
      <c r="Z239" s="16" t="s">
        <v>194</v>
      </c>
      <c r="AA239" s="16" t="s">
        <v>189</v>
      </c>
      <c r="AC239" s="16" t="s">
        <v>174</v>
      </c>
      <c r="AD239" s="16" t="s">
        <v>228</v>
      </c>
      <c r="AE239" s="16" t="s">
        <v>189</v>
      </c>
      <c r="AF239" s="5" t="s">
        <v>212</v>
      </c>
      <c r="AG239" s="5" t="s">
        <v>203</v>
      </c>
    </row>
    <row r="240" spans="1:36" x14ac:dyDescent="0.35">
      <c r="A240" s="2">
        <v>3</v>
      </c>
      <c r="B240" s="15">
        <v>0.4375</v>
      </c>
      <c r="C240" s="21" t="s">
        <v>131</v>
      </c>
      <c r="Y240" s="16" t="s">
        <v>200</v>
      </c>
      <c r="Z240" s="16" t="s">
        <v>221</v>
      </c>
      <c r="AA240" s="16" t="s">
        <v>189</v>
      </c>
      <c r="AC240" s="16" t="s">
        <v>174</v>
      </c>
      <c r="AD240" s="16" t="s">
        <v>196</v>
      </c>
      <c r="AE240" s="16" t="s">
        <v>189</v>
      </c>
      <c r="AF240" s="5" t="s">
        <v>212</v>
      </c>
      <c r="AG240" s="5" t="s">
        <v>231</v>
      </c>
      <c r="AH240" s="5" t="s">
        <v>211</v>
      </c>
    </row>
    <row r="241" spans="1:36" x14ac:dyDescent="0.35">
      <c r="A241" s="2">
        <v>3</v>
      </c>
      <c r="B241" s="15">
        <v>0.43055555555555558</v>
      </c>
      <c r="C241" s="21" t="s">
        <v>131</v>
      </c>
      <c r="AF241" s="5" t="s">
        <v>214</v>
      </c>
      <c r="AG241" s="5" t="s">
        <v>199</v>
      </c>
    </row>
    <row r="242" spans="1:36" x14ac:dyDescent="0.35">
      <c r="A242" s="2">
        <v>3</v>
      </c>
      <c r="B242" s="15">
        <v>0.41666666666666669</v>
      </c>
      <c r="C242" s="21" t="s">
        <v>131</v>
      </c>
      <c r="Y242" s="16" t="s">
        <v>224</v>
      </c>
      <c r="Z242" s="16" t="s">
        <v>227</v>
      </c>
      <c r="AA242" s="16" t="s">
        <v>197</v>
      </c>
      <c r="AB242" s="16" t="s">
        <v>189</v>
      </c>
      <c r="AC242" s="16" t="s">
        <v>174</v>
      </c>
      <c r="AD242" s="16" t="s">
        <v>189</v>
      </c>
      <c r="AE242" s="16" t="s">
        <v>189</v>
      </c>
      <c r="AF242" s="5" t="s">
        <v>226</v>
      </c>
      <c r="AG242" s="5" t="s">
        <v>203</v>
      </c>
    </row>
    <row r="243" spans="1:36" x14ac:dyDescent="0.35">
      <c r="A243" s="2">
        <v>3</v>
      </c>
      <c r="B243" s="15">
        <v>0.40833333333333333</v>
      </c>
      <c r="C243" s="21" t="s">
        <v>131</v>
      </c>
      <c r="Y243" s="16" t="s">
        <v>224</v>
      </c>
      <c r="Z243" s="16" t="s">
        <v>217</v>
      </c>
      <c r="AA243" s="16" t="s">
        <v>190</v>
      </c>
      <c r="AC243" s="16" t="s">
        <v>195</v>
      </c>
      <c r="AD243" s="16" t="s">
        <v>189</v>
      </c>
      <c r="AE243" s="16" t="s">
        <v>189</v>
      </c>
    </row>
    <row r="244" spans="1:36" x14ac:dyDescent="0.35">
      <c r="A244" s="2">
        <v>3</v>
      </c>
      <c r="B244" s="15">
        <v>0.39930555555555558</v>
      </c>
      <c r="C244" s="21" t="s">
        <v>131</v>
      </c>
      <c r="AF244" s="5" t="s">
        <v>208</v>
      </c>
      <c r="AG244" s="5" t="s">
        <v>203</v>
      </c>
    </row>
    <row r="245" spans="1:36" x14ac:dyDescent="0.35">
      <c r="A245" s="2">
        <v>3</v>
      </c>
      <c r="B245" s="15">
        <v>0.375</v>
      </c>
      <c r="C245" s="21" t="s">
        <v>131</v>
      </c>
      <c r="Y245" s="16" t="s">
        <v>224</v>
      </c>
      <c r="Z245" s="16" t="s">
        <v>239</v>
      </c>
      <c r="AA245" s="16" t="s">
        <v>212</v>
      </c>
      <c r="AC245" s="16" t="s">
        <v>174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0.37291666666666667</v>
      </c>
      <c r="C246" s="21" t="s">
        <v>131</v>
      </c>
      <c r="Y246" s="16" t="s">
        <v>200</v>
      </c>
      <c r="Z246" s="16" t="s">
        <v>218</v>
      </c>
      <c r="AA246" s="16" t="s">
        <v>189</v>
      </c>
      <c r="AC246" s="16" t="s">
        <v>195</v>
      </c>
      <c r="AD246" s="16" t="s">
        <v>189</v>
      </c>
      <c r="AE246" s="16" t="s">
        <v>189</v>
      </c>
      <c r="AF246" s="5" t="s">
        <v>204</v>
      </c>
      <c r="AG246" s="5" t="s">
        <v>188</v>
      </c>
      <c r="AH246" s="5" t="s">
        <v>236</v>
      </c>
      <c r="AI246" s="5" t="s">
        <v>221</v>
      </c>
      <c r="AJ246" s="5" t="s">
        <v>240</v>
      </c>
    </row>
    <row r="247" spans="1:36" x14ac:dyDescent="0.35">
      <c r="A247" s="2">
        <v>3</v>
      </c>
      <c r="B247" s="15">
        <v>0.36041666666666666</v>
      </c>
      <c r="C247" s="21" t="s">
        <v>131</v>
      </c>
      <c r="Y247" s="16" t="s">
        <v>200</v>
      </c>
      <c r="Z247" s="16" t="s">
        <v>239</v>
      </c>
      <c r="AA247" s="16" t="s">
        <v>189</v>
      </c>
      <c r="AC247" s="16" t="s">
        <v>174</v>
      </c>
      <c r="AD247" s="16" t="s">
        <v>189</v>
      </c>
      <c r="AE247" s="16" t="s">
        <v>189</v>
      </c>
      <c r="AF247" s="5" t="s">
        <v>187</v>
      </c>
      <c r="AG247" s="5" t="s">
        <v>188</v>
      </c>
      <c r="AH247" s="5" t="s">
        <v>189</v>
      </c>
      <c r="AI247" s="5" t="s">
        <v>218</v>
      </c>
      <c r="AJ247" s="5" t="s">
        <v>199</v>
      </c>
    </row>
    <row r="248" spans="1:36" x14ac:dyDescent="0.35">
      <c r="A248" s="2">
        <v>3</v>
      </c>
      <c r="B248" s="15">
        <v>0.3527777777777778</v>
      </c>
      <c r="C248" s="21" t="s">
        <v>131</v>
      </c>
      <c r="Y248" s="16" t="s">
        <v>200</v>
      </c>
      <c r="Z248" s="16" t="s">
        <v>223</v>
      </c>
      <c r="AA248" s="16" t="s">
        <v>239</v>
      </c>
      <c r="AC248" s="16" t="s">
        <v>195</v>
      </c>
      <c r="AD248" s="16" t="s">
        <v>189</v>
      </c>
      <c r="AE248" s="16" t="s">
        <v>189</v>
      </c>
      <c r="AF248" s="5" t="s">
        <v>204</v>
      </c>
      <c r="AG248" s="5" t="s">
        <v>188</v>
      </c>
      <c r="AH248" s="5" t="s">
        <v>189</v>
      </c>
      <c r="AI248" s="5" t="s">
        <v>201</v>
      </c>
      <c r="AJ248" s="5" t="s">
        <v>203</v>
      </c>
    </row>
    <row r="249" spans="1:36" x14ac:dyDescent="0.35">
      <c r="A249" s="2">
        <v>3</v>
      </c>
      <c r="B249" s="15">
        <v>0.3298611111111111</v>
      </c>
      <c r="C249" s="21" t="s">
        <v>131</v>
      </c>
      <c r="Y249" s="16" t="s">
        <v>225</v>
      </c>
      <c r="Z249" s="16" t="s">
        <v>132</v>
      </c>
    </row>
    <row r="250" spans="1:36" x14ac:dyDescent="0.35">
      <c r="A250" s="2">
        <v>3</v>
      </c>
      <c r="B250" s="15">
        <v>0.32291666666666669</v>
      </c>
      <c r="C250" s="21" t="s">
        <v>131</v>
      </c>
      <c r="Y250" s="16" t="s">
        <v>192</v>
      </c>
      <c r="Z250" s="16" t="s">
        <v>194</v>
      </c>
      <c r="AA250" s="16" t="s">
        <v>197</v>
      </c>
      <c r="AB250" s="16" t="s">
        <v>189</v>
      </c>
      <c r="AC250" s="16" t="s">
        <v>174</v>
      </c>
      <c r="AD250" s="16" t="s">
        <v>189</v>
      </c>
      <c r="AE250" s="16" t="s">
        <v>189</v>
      </c>
      <c r="AF250" s="5" t="s">
        <v>197</v>
      </c>
      <c r="AG250" s="5" t="s">
        <v>188</v>
      </c>
      <c r="AH250" s="5" t="s">
        <v>189</v>
      </c>
      <c r="AI250" s="5" t="s">
        <v>226</v>
      </c>
      <c r="AJ250" s="5" t="s">
        <v>219</v>
      </c>
    </row>
    <row r="251" spans="1:36" x14ac:dyDescent="0.35">
      <c r="A251" s="2">
        <v>3</v>
      </c>
      <c r="B251" s="15">
        <v>0.31736111111111109</v>
      </c>
      <c r="C251" s="21" t="s">
        <v>131</v>
      </c>
      <c r="Y251" s="16" t="s">
        <v>200</v>
      </c>
      <c r="Z251" s="16" t="s">
        <v>226</v>
      </c>
      <c r="AA251" s="16" t="s">
        <v>234</v>
      </c>
      <c r="AC251" s="16" t="s">
        <v>192</v>
      </c>
      <c r="AD251" s="16" t="s">
        <v>189</v>
      </c>
      <c r="AE251" s="16" t="s">
        <v>189</v>
      </c>
      <c r="AF251" s="5" t="s">
        <v>228</v>
      </c>
      <c r="AG251" s="5" t="s">
        <v>203</v>
      </c>
      <c r="AH251" s="5" t="s">
        <v>207</v>
      </c>
    </row>
    <row r="252" spans="1:36" x14ac:dyDescent="0.35">
      <c r="A252" s="2">
        <v>3</v>
      </c>
      <c r="B252" s="15">
        <v>0.31041666666666667</v>
      </c>
      <c r="C252" s="21" t="s">
        <v>131</v>
      </c>
      <c r="Y252" s="16" t="s">
        <v>200</v>
      </c>
      <c r="Z252" s="16" t="s">
        <v>207</v>
      </c>
      <c r="AA252" s="16" t="s">
        <v>189</v>
      </c>
      <c r="AC252" s="16" t="s">
        <v>192</v>
      </c>
      <c r="AD252" s="16" t="s">
        <v>189</v>
      </c>
      <c r="AE252" s="16" t="s">
        <v>189</v>
      </c>
      <c r="AF252" s="5" t="s">
        <v>194</v>
      </c>
      <c r="AG252" s="5" t="s">
        <v>199</v>
      </c>
    </row>
    <row r="253" spans="1:36" x14ac:dyDescent="0.35">
      <c r="A253" s="2">
        <v>3</v>
      </c>
      <c r="B253" s="15">
        <v>0.29444444444444445</v>
      </c>
      <c r="C253" s="21" t="s">
        <v>131</v>
      </c>
      <c r="Y253" s="16" t="s">
        <v>200</v>
      </c>
      <c r="Z253" s="16" t="s">
        <v>201</v>
      </c>
      <c r="AA253" s="16" t="s">
        <v>193</v>
      </c>
      <c r="AC253" s="16" t="s">
        <v>174</v>
      </c>
      <c r="AD253" s="16" t="s">
        <v>189</v>
      </c>
      <c r="AE253" s="16" t="s">
        <v>189</v>
      </c>
      <c r="AF253" s="5" t="s">
        <v>213</v>
      </c>
      <c r="AG253" s="5" t="s">
        <v>188</v>
      </c>
      <c r="AH253" s="5" t="s">
        <v>189</v>
      </c>
      <c r="AI253" s="5" t="s">
        <v>193</v>
      </c>
      <c r="AJ253" s="5" t="s">
        <v>219</v>
      </c>
    </row>
    <row r="254" spans="1:36" x14ac:dyDescent="0.35">
      <c r="A254" s="2">
        <v>3</v>
      </c>
      <c r="B254" s="15">
        <v>0.28541666666666665</v>
      </c>
      <c r="C254" s="21" t="s">
        <v>131</v>
      </c>
      <c r="Y254" s="16" t="s">
        <v>200</v>
      </c>
      <c r="Z254" s="16" t="s">
        <v>193</v>
      </c>
      <c r="AA254" s="16" t="s">
        <v>211</v>
      </c>
      <c r="AC254" s="16" t="s">
        <v>195</v>
      </c>
      <c r="AD254" s="16" t="s">
        <v>189</v>
      </c>
      <c r="AE254" s="16" t="s">
        <v>189</v>
      </c>
      <c r="AF254" s="5" t="s">
        <v>201</v>
      </c>
      <c r="AG254" s="5" t="s">
        <v>199</v>
      </c>
    </row>
    <row r="255" spans="1:36" x14ac:dyDescent="0.35">
      <c r="A255" s="2">
        <v>3</v>
      </c>
      <c r="B255" s="15">
        <v>0.27708333333333335</v>
      </c>
      <c r="C255" s="21" t="s">
        <v>131</v>
      </c>
      <c r="Y255" s="16" t="s">
        <v>192</v>
      </c>
      <c r="Z255" s="16" t="s">
        <v>237</v>
      </c>
      <c r="AA255" s="16" t="s">
        <v>197</v>
      </c>
      <c r="AB255" s="16" t="s">
        <v>147</v>
      </c>
      <c r="AC255" s="16" t="s">
        <v>174</v>
      </c>
      <c r="AD255" s="16" t="s">
        <v>189</v>
      </c>
      <c r="AE255" s="16" t="s">
        <v>189</v>
      </c>
      <c r="AF255" s="5" t="s">
        <v>214</v>
      </c>
      <c r="AG255" s="5" t="s">
        <v>203</v>
      </c>
    </row>
    <row r="256" spans="1:36" x14ac:dyDescent="0.35">
      <c r="A256" s="2">
        <v>3</v>
      </c>
      <c r="B256" s="15">
        <v>0.26250000000000001</v>
      </c>
      <c r="C256" s="21" t="s">
        <v>131</v>
      </c>
      <c r="Y256" s="16" t="s">
        <v>192</v>
      </c>
      <c r="Z256" s="16" t="s">
        <v>221</v>
      </c>
      <c r="AA256" s="16" t="s">
        <v>190</v>
      </c>
      <c r="AB256" s="16" t="s">
        <v>189</v>
      </c>
      <c r="AC256" s="16" t="s">
        <v>195</v>
      </c>
      <c r="AD256" s="16" t="s">
        <v>189</v>
      </c>
      <c r="AE256" s="16" t="s">
        <v>189</v>
      </c>
      <c r="AF256" s="5" t="s">
        <v>190</v>
      </c>
      <c r="AG256" s="5" t="s">
        <v>199</v>
      </c>
    </row>
    <row r="257" spans="1:36" x14ac:dyDescent="0.35">
      <c r="A257" s="2">
        <v>3</v>
      </c>
      <c r="B257" s="15">
        <v>0.2590277777777778</v>
      </c>
      <c r="C257" s="21" t="s">
        <v>131</v>
      </c>
      <c r="Y257" s="16" t="s">
        <v>200</v>
      </c>
      <c r="Z257" s="16" t="s">
        <v>218</v>
      </c>
      <c r="AA257" s="16" t="s">
        <v>189</v>
      </c>
      <c r="AC257" s="16" t="s">
        <v>174</v>
      </c>
      <c r="AD257" s="16" t="s">
        <v>189</v>
      </c>
      <c r="AE257" s="16" t="s">
        <v>189</v>
      </c>
      <c r="AF257" s="5" t="s">
        <v>227</v>
      </c>
      <c r="AG257" s="5" t="s">
        <v>203</v>
      </c>
    </row>
    <row r="258" spans="1:36" x14ac:dyDescent="0.35">
      <c r="A258" s="2">
        <v>3</v>
      </c>
      <c r="B258" s="15">
        <v>0.22916666666666666</v>
      </c>
      <c r="C258" s="21" t="s">
        <v>131</v>
      </c>
      <c r="Y258" s="16" t="s">
        <v>225</v>
      </c>
      <c r="Z258" s="16" t="s">
        <v>132</v>
      </c>
      <c r="AF258" s="5" t="s">
        <v>201</v>
      </c>
      <c r="AG258" s="5" t="s">
        <v>188</v>
      </c>
      <c r="AH258" s="5" t="s">
        <v>189</v>
      </c>
      <c r="AI258" s="5" t="s">
        <v>220</v>
      </c>
      <c r="AJ258" s="5" t="s">
        <v>203</v>
      </c>
    </row>
    <row r="259" spans="1:36" x14ac:dyDescent="0.35">
      <c r="A259" s="2">
        <v>3</v>
      </c>
      <c r="B259" s="15">
        <v>0.21527777777777779</v>
      </c>
      <c r="C259" s="21" t="s">
        <v>131</v>
      </c>
      <c r="Y259" s="16" t="s">
        <v>200</v>
      </c>
      <c r="Z259" s="16" t="s">
        <v>217</v>
      </c>
      <c r="AA259" s="16" t="s">
        <v>207</v>
      </c>
      <c r="AC259" s="16" t="s">
        <v>174</v>
      </c>
      <c r="AD259" s="16" t="s">
        <v>189</v>
      </c>
      <c r="AE259" s="16" t="s">
        <v>189</v>
      </c>
      <c r="AF259" s="5" t="s">
        <v>213</v>
      </c>
      <c r="AG259" s="5" t="s">
        <v>188</v>
      </c>
      <c r="AH259" s="5" t="s">
        <v>189</v>
      </c>
      <c r="AI259" s="5" t="s">
        <v>207</v>
      </c>
      <c r="AJ259" s="5" t="s">
        <v>191</v>
      </c>
    </row>
    <row r="260" spans="1:36" x14ac:dyDescent="0.35">
      <c r="A260" s="2">
        <v>3</v>
      </c>
      <c r="B260" s="15">
        <v>0.12152777777777778</v>
      </c>
      <c r="C260" s="21" t="s">
        <v>186</v>
      </c>
      <c r="Y260" s="16" t="s">
        <v>192</v>
      </c>
      <c r="Z260" s="16" t="s">
        <v>217</v>
      </c>
      <c r="AA260" s="16" t="s">
        <v>212</v>
      </c>
      <c r="AB260" s="16" t="s">
        <v>189</v>
      </c>
      <c r="AC260" s="16" t="s">
        <v>195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0.11388888888888889</v>
      </c>
      <c r="C261" s="21" t="s">
        <v>131</v>
      </c>
      <c r="Y261" s="16" t="s">
        <v>200</v>
      </c>
      <c r="Z261" s="16" t="s">
        <v>197</v>
      </c>
      <c r="AA261" s="16" t="s">
        <v>189</v>
      </c>
      <c r="AC261" s="16" t="s">
        <v>195</v>
      </c>
      <c r="AD261" s="16" t="s">
        <v>189</v>
      </c>
      <c r="AE261" s="16" t="s">
        <v>189</v>
      </c>
      <c r="AF261" s="5" t="s">
        <v>194</v>
      </c>
      <c r="AG261" s="5" t="s">
        <v>199</v>
      </c>
    </row>
    <row r="262" spans="1:36" x14ac:dyDescent="0.35">
      <c r="A262" s="2">
        <v>3</v>
      </c>
      <c r="B262" s="15">
        <v>9.930555555555555E-2</v>
      </c>
      <c r="C262" s="21" t="s">
        <v>131</v>
      </c>
      <c r="Y262" s="16" t="s">
        <v>192</v>
      </c>
      <c r="Z262" s="16" t="s">
        <v>237</v>
      </c>
      <c r="AA262" s="16" t="s">
        <v>197</v>
      </c>
      <c r="AB262" s="16" t="s">
        <v>189</v>
      </c>
      <c r="AC262" s="16" t="s">
        <v>174</v>
      </c>
      <c r="AD262" s="16" t="s">
        <v>189</v>
      </c>
      <c r="AE262" s="16" t="s">
        <v>189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5" sqref="K2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241</v>
      </c>
      <c r="C2" s="8" t="s">
        <v>139</v>
      </c>
      <c r="D2" s="8" t="s">
        <v>192</v>
      </c>
      <c r="E2" s="8">
        <v>10.716666666667001</v>
      </c>
      <c r="F2" s="8" t="s">
        <v>130</v>
      </c>
      <c r="G2" s="19" t="s">
        <v>280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0.19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0.13500000000000001</v>
      </c>
    </row>
    <row r="3" spans="1:126" x14ac:dyDescent="0.35">
      <c r="A3" s="8">
        <v>27</v>
      </c>
      <c r="B3" s="8" t="s">
        <v>242</v>
      </c>
      <c r="C3" s="8" t="s">
        <v>139</v>
      </c>
      <c r="D3" s="8" t="s">
        <v>200</v>
      </c>
      <c r="E3" s="8">
        <v>15.416666666667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0.45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0.19</v>
      </c>
      <c r="CN3" s="2">
        <f t="shared" si="4"/>
        <v>0.06</v>
      </c>
      <c r="CO3" s="2">
        <f t="shared" si="5"/>
        <v>0</v>
      </c>
      <c r="CP3" s="2">
        <f t="shared" si="6"/>
        <v>0.125</v>
      </c>
      <c r="CQ3" s="2">
        <f t="shared" si="7"/>
        <v>0.32500000000000001</v>
      </c>
    </row>
    <row r="4" spans="1:126" x14ac:dyDescent="0.35">
      <c r="A4" s="8">
        <v>28</v>
      </c>
      <c r="B4" s="8" t="s">
        <v>243</v>
      </c>
      <c r="C4" s="8" t="s">
        <v>139</v>
      </c>
      <c r="D4" s="8" t="s">
        <v>174</v>
      </c>
      <c r="E4" s="8">
        <v>12.066666666667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0.98</v>
      </c>
      <c r="CK4" s="2">
        <f t="shared" si="2"/>
        <v>0.55500000000000005</v>
      </c>
      <c r="CL4" s="2">
        <f t="shared" si="3"/>
        <v>0.19</v>
      </c>
      <c r="CM4" s="2">
        <f>(0.015*(AY4-AZ4))+(0.035*BA4)-(0.015*BB4)-(0.025*BC4)+(0.015*(AY4-(BD4+BC4)))</f>
        <v>6.5000000000000002E-2</v>
      </c>
      <c r="CN4" s="2">
        <f t="shared" si="4"/>
        <v>9.5000000000000001E-2</v>
      </c>
      <c r="CO4" s="2">
        <f t="shared" si="5"/>
        <v>7.4999999999999997E-2</v>
      </c>
      <c r="CP4" s="2">
        <f t="shared" si="6"/>
        <v>0</v>
      </c>
      <c r="CQ4" s="2">
        <f t="shared" si="7"/>
        <v>0.98</v>
      </c>
    </row>
    <row r="5" spans="1:126" x14ac:dyDescent="0.35">
      <c r="A5" s="8">
        <v>97</v>
      </c>
      <c r="B5" s="8" t="s">
        <v>244</v>
      </c>
      <c r="C5" s="8" t="s">
        <v>139</v>
      </c>
      <c r="D5" s="8" t="s">
        <v>192</v>
      </c>
      <c r="E5" s="8">
        <v>16.850000000000001</v>
      </c>
      <c r="F5" s="8" t="s">
        <v>130</v>
      </c>
      <c r="G5" s="19" t="s">
        <v>280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4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1.27</v>
      </c>
      <c r="CK5" s="2">
        <f>(0.075*H5)+(0.07*L5)+(0.055*M5)+(0.055*N5)+(0.095*J5)+(0.09*O5)+(0.05*P5)+(0.05*R5)+(0.05*S5)+(0.05*AB5)+0.25</f>
        <v>1.1000000000000001</v>
      </c>
      <c r="CL5" s="2">
        <f t="shared" si="3"/>
        <v>1.0000000000000016E-2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4.4999999999999998E-2</v>
      </c>
      <c r="CP5" s="2">
        <f t="shared" si="6"/>
        <v>0.09</v>
      </c>
      <c r="CQ5" s="2">
        <f t="shared" si="7"/>
        <v>1.18</v>
      </c>
    </row>
    <row r="6" spans="1:126" x14ac:dyDescent="0.35">
      <c r="A6" s="8">
        <v>90</v>
      </c>
      <c r="B6" s="8" t="s">
        <v>245</v>
      </c>
      <c r="C6" s="8" t="s">
        <v>139</v>
      </c>
      <c r="D6" s="8" t="s">
        <v>174</v>
      </c>
      <c r="E6" s="8">
        <v>10.216666666667001</v>
      </c>
      <c r="F6" s="8" t="s">
        <v>130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5.5E-2</v>
      </c>
      <c r="CK6" s="2">
        <f t="shared" si="2"/>
        <v>0.14500000000000002</v>
      </c>
      <c r="CL6" s="2">
        <f t="shared" si="3"/>
        <v>-0.09</v>
      </c>
      <c r="CM6" s="2">
        <f t="shared" si="9"/>
        <v>0</v>
      </c>
      <c r="CN6" s="2">
        <f t="shared" si="4"/>
        <v>-0.11500000000000002</v>
      </c>
      <c r="CO6" s="2">
        <f t="shared" si="5"/>
        <v>0.06</v>
      </c>
      <c r="CP6" s="2">
        <f t="shared" si="6"/>
        <v>5.5E-2</v>
      </c>
      <c r="CQ6" s="2">
        <f t="shared" si="7"/>
        <v>0</v>
      </c>
    </row>
    <row r="7" spans="1:126" x14ac:dyDescent="0.35">
      <c r="A7" s="8">
        <v>25</v>
      </c>
      <c r="B7" s="8" t="s">
        <v>246</v>
      </c>
      <c r="C7" s="8" t="s">
        <v>139</v>
      </c>
      <c r="D7" s="8" t="s">
        <v>200</v>
      </c>
      <c r="E7" s="8">
        <v>17.633333333332999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0.13500000000000001</v>
      </c>
      <c r="CK7" s="2">
        <f t="shared" si="2"/>
        <v>7.4999999999999997E-2</v>
      </c>
      <c r="CL7" s="2">
        <f t="shared" si="3"/>
        <v>-4.4999999999999998E-2</v>
      </c>
      <c r="CM7" s="2">
        <f t="shared" si="9"/>
        <v>0.105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0.13500000000000001</v>
      </c>
    </row>
    <row r="8" spans="1:126" x14ac:dyDescent="0.35">
      <c r="A8" s="8">
        <v>2</v>
      </c>
      <c r="B8" s="8" t="s">
        <v>247</v>
      </c>
      <c r="C8" s="8" t="s">
        <v>139</v>
      </c>
      <c r="D8" s="8" t="s">
        <v>200</v>
      </c>
      <c r="E8" s="8">
        <v>17.75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7</v>
      </c>
      <c r="L8" s="9">
        <f>COUNTIFS(Tracking!G:G,A8,Tracking!D:D,C8,Tracking!C:C,"5v5")</f>
        <v>5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13</v>
      </c>
      <c r="AL8" s="5">
        <f>COUNTIFS(Tracking!AF:AF,A8&amp;C8,Tracking!C:C,"5v5")-AT8</f>
        <v>10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7</v>
      </c>
      <c r="AT8" s="5">
        <f>COUNTIFS(Tracking!AF:AF,A8&amp;C8,Tracking!C:C,"5v5",Tracking!AG:AG,"BOT")+COUNTIFS(Tracking!AF:AF,A8&amp;C8,Tracking!C:C,"5v5",Tracking!AG:AG,"FEX")</f>
        <v>4</v>
      </c>
      <c r="AU8" s="5">
        <f>COUNTIFS(Tracking!AF:AF,A8&amp;C8,Tracking!C:C,"5v5",Tracking!AG:AG,"EXC")</f>
        <v>7</v>
      </c>
      <c r="AV8" s="5">
        <f>COUNTIFS(Tracking!AF:AF,A8&amp;C8,Tracking!C:C,"5v5",Tracking!AG:AG,"FEX")+COUNTIFS(Tracking!AI:AI,A8&amp;C8,Tracking!C:C,"5v5",Tracking!AJ:AJ,"FEX")</f>
        <v>4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1.2750000000000004</v>
      </c>
      <c r="CK8" s="2">
        <f>(0.075*H8)+(0.07*L8)+(0.055*M8)+(0.055*N8)+(0.095*J8)+(0.09*O8)+(0.05*P8)+(0.05*R8)+(0.05*S8)+(0.05*AB8)+0.2</f>
        <v>1.0150000000000001</v>
      </c>
      <c r="CL8" s="2">
        <f t="shared" si="3"/>
        <v>0.09</v>
      </c>
      <c r="CM8" s="2">
        <f t="shared" si="9"/>
        <v>7.9999999999999988E-2</v>
      </c>
      <c r="CN8" s="2">
        <f t="shared" si="4"/>
        <v>0</v>
      </c>
      <c r="CO8" s="2">
        <f t="shared" si="5"/>
        <v>0</v>
      </c>
      <c r="CP8" s="2">
        <f t="shared" si="6"/>
        <v>0.09</v>
      </c>
      <c r="CQ8" s="2">
        <f t="shared" si="7"/>
        <v>1.1850000000000003</v>
      </c>
    </row>
    <row r="9" spans="1:126" x14ac:dyDescent="0.35">
      <c r="A9" s="8">
        <v>91</v>
      </c>
      <c r="B9" s="8" t="s">
        <v>248</v>
      </c>
      <c r="C9" s="8" t="s">
        <v>139</v>
      </c>
      <c r="D9" s="8" t="s">
        <v>195</v>
      </c>
      <c r="E9" s="8">
        <v>12.366666666666999</v>
      </c>
      <c r="F9" s="8" t="s">
        <v>130</v>
      </c>
      <c r="G9" s="19" t="s">
        <v>280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5.5E-2</v>
      </c>
      <c r="CK9" s="2">
        <f t="shared" si="2"/>
        <v>0</v>
      </c>
      <c r="CL9" s="2">
        <f t="shared" si="3"/>
        <v>-4.4999999999999998E-2</v>
      </c>
      <c r="CM9" s="2">
        <f t="shared" si="9"/>
        <v>0</v>
      </c>
      <c r="CN9" s="2">
        <f t="shared" si="4"/>
        <v>2.5000000000000001E-2</v>
      </c>
      <c r="CO9" s="2">
        <f t="shared" si="5"/>
        <v>7.4999999999999997E-2</v>
      </c>
      <c r="CP9" s="2">
        <f t="shared" si="6"/>
        <v>0</v>
      </c>
      <c r="CQ9" s="2">
        <f t="shared" si="7"/>
        <v>5.5E-2</v>
      </c>
    </row>
    <row r="10" spans="1:126" x14ac:dyDescent="0.35">
      <c r="A10" s="8">
        <v>96</v>
      </c>
      <c r="B10" s="8" t="s">
        <v>249</v>
      </c>
      <c r="C10" s="8" t="s">
        <v>139</v>
      </c>
      <c r="D10" s="8" t="s">
        <v>200</v>
      </c>
      <c r="E10" s="8">
        <v>14.916666666667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0.36499999999999999</v>
      </c>
      <c r="CK10" s="2">
        <f t="shared" si="2"/>
        <v>0.2</v>
      </c>
      <c r="CL10" s="2">
        <f t="shared" si="3"/>
        <v>0</v>
      </c>
      <c r="CM10" s="2">
        <f t="shared" si="9"/>
        <v>-3.0000000000000013E-2</v>
      </c>
      <c r="CN10" s="2">
        <f t="shared" si="4"/>
        <v>0.19500000000000001</v>
      </c>
      <c r="CO10" s="2">
        <f t="shared" si="5"/>
        <v>0</v>
      </c>
      <c r="CP10" s="2">
        <f t="shared" si="6"/>
        <v>0</v>
      </c>
      <c r="CQ10" s="2">
        <f t="shared" si="7"/>
        <v>0.36499999999999999</v>
      </c>
    </row>
    <row r="11" spans="1:126" x14ac:dyDescent="0.35">
      <c r="A11" s="8">
        <v>53</v>
      </c>
      <c r="B11" s="8" t="s">
        <v>250</v>
      </c>
      <c r="C11" s="8" t="s">
        <v>139</v>
      </c>
      <c r="D11" s="8" t="s">
        <v>195</v>
      </c>
      <c r="E11" s="8">
        <v>9.65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2.9999999999999992E-2</v>
      </c>
      <c r="CK11" s="2">
        <f t="shared" si="2"/>
        <v>0</v>
      </c>
      <c r="CL11" s="2">
        <f t="shared" si="3"/>
        <v>0</v>
      </c>
      <c r="CM11" s="2">
        <f t="shared" si="9"/>
        <v>0.03</v>
      </c>
      <c r="CN11" s="2">
        <f t="shared" si="4"/>
        <v>-7.0000000000000007E-2</v>
      </c>
      <c r="CO11" s="2">
        <f t="shared" si="5"/>
        <v>1.4999999999999999E-2</v>
      </c>
      <c r="CP11" s="2">
        <f t="shared" si="6"/>
        <v>5.5E-2</v>
      </c>
      <c r="CQ11" s="2">
        <f t="shared" si="7"/>
        <v>-2.5000000000000008E-2</v>
      </c>
    </row>
    <row r="12" spans="1:126" x14ac:dyDescent="0.35">
      <c r="A12" s="8">
        <v>29</v>
      </c>
      <c r="B12" s="8" t="s">
        <v>251</v>
      </c>
      <c r="C12" s="8" t="s">
        <v>139</v>
      </c>
      <c r="D12" s="8" t="s">
        <v>192</v>
      </c>
      <c r="E12" s="8">
        <v>15.083333333333</v>
      </c>
      <c r="F12" s="8" t="s">
        <v>130</v>
      </c>
      <c r="G12" s="19" t="s">
        <v>280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0.93500000000000005</v>
      </c>
      <c r="CK12" s="2">
        <f t="shared" si="2"/>
        <v>0.49</v>
      </c>
      <c r="CL12" s="2">
        <f t="shared" si="3"/>
        <v>0.32500000000000001</v>
      </c>
      <c r="CM12" s="2">
        <f t="shared" si="9"/>
        <v>0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7.0000000000000007E-2</v>
      </c>
      <c r="CQ12" s="2">
        <f t="shared" si="7"/>
        <v>0.86499999999999999</v>
      </c>
    </row>
    <row r="13" spans="1:126" x14ac:dyDescent="0.35">
      <c r="A13" s="8">
        <v>14</v>
      </c>
      <c r="B13" s="8" t="s">
        <v>252</v>
      </c>
      <c r="C13" s="8" t="s">
        <v>139</v>
      </c>
      <c r="D13" s="8" t="s">
        <v>200</v>
      </c>
      <c r="E13" s="8">
        <v>14.833333333333</v>
      </c>
      <c r="F13" s="8" t="s">
        <v>130</v>
      </c>
      <c r="G13" s="19" t="s">
        <v>280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0.76</v>
      </c>
      <c r="CK13" s="2">
        <f>(0.075*H13)+(0.07*L13)+(0.055*M13)+(0.055*N13)+(0.095*J13)+(0.09*O13)+(0.05*P13)+(0.05*R13)+(0.05*S13)+(0.05*AB13)+0.15</f>
        <v>0.505</v>
      </c>
      <c r="CL13" s="2">
        <f t="shared" si="3"/>
        <v>0</v>
      </c>
      <c r="CM13" s="2">
        <f t="shared" si="9"/>
        <v>6.9999999999999993E-2</v>
      </c>
      <c r="CN13" s="2">
        <f t="shared" si="4"/>
        <v>0.15500000000000003</v>
      </c>
      <c r="CO13" s="2">
        <f t="shared" si="5"/>
        <v>0.03</v>
      </c>
      <c r="CP13" s="2">
        <f t="shared" si="6"/>
        <v>0</v>
      </c>
      <c r="CQ13" s="2">
        <f t="shared" si="7"/>
        <v>0.76</v>
      </c>
    </row>
    <row r="14" spans="1:126" x14ac:dyDescent="0.35">
      <c r="A14" s="8">
        <v>13</v>
      </c>
      <c r="B14" s="8" t="s">
        <v>253</v>
      </c>
      <c r="C14" s="8" t="s">
        <v>139</v>
      </c>
      <c r="D14" s="8" t="s">
        <v>192</v>
      </c>
      <c r="E14" s="8">
        <v>10.883333333333001</v>
      </c>
      <c r="F14" s="8" t="s">
        <v>130</v>
      </c>
      <c r="G14" s="19" t="s">
        <v>280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0.03</v>
      </c>
      <c r="CK14" s="2">
        <f t="shared" si="2"/>
        <v>0</v>
      </c>
      <c r="CL14" s="2">
        <f t="shared" si="3"/>
        <v>0</v>
      </c>
      <c r="CM14" s="2">
        <f t="shared" si="9"/>
        <v>0.03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0.03</v>
      </c>
    </row>
    <row r="15" spans="1:126" x14ac:dyDescent="0.35">
      <c r="A15" s="8">
        <v>93</v>
      </c>
      <c r="B15" s="8" t="s">
        <v>254</v>
      </c>
      <c r="C15" s="8" t="s">
        <v>139</v>
      </c>
      <c r="D15" s="8" t="s">
        <v>192</v>
      </c>
      <c r="E15" s="8">
        <v>10.7</v>
      </c>
      <c r="F15" s="8" t="s">
        <v>130</v>
      </c>
      <c r="G15" s="19" t="s">
        <v>280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9.999999999999995E-3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-3.5000000000000003E-2</v>
      </c>
      <c r="CO15" s="2">
        <f t="shared" si="5"/>
        <v>4.4999999999999998E-2</v>
      </c>
      <c r="CP15" s="2">
        <f t="shared" si="6"/>
        <v>0</v>
      </c>
      <c r="CQ15" s="2">
        <f t="shared" si="7"/>
        <v>9.999999999999995E-3</v>
      </c>
    </row>
    <row r="16" spans="1:126" x14ac:dyDescent="0.35">
      <c r="A16" s="8">
        <v>21</v>
      </c>
      <c r="B16" s="8" t="s">
        <v>255</v>
      </c>
      <c r="C16" s="8" t="s">
        <v>139</v>
      </c>
      <c r="D16" s="8" t="s">
        <v>192</v>
      </c>
      <c r="E16" s="8">
        <v>11.266666666667</v>
      </c>
      <c r="F16" s="8" t="s">
        <v>130</v>
      </c>
      <c r="G16" s="19" t="s">
        <v>280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0.04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0.04</v>
      </c>
    </row>
    <row r="17" spans="1:95" x14ac:dyDescent="0.35">
      <c r="A17" s="8">
        <v>51</v>
      </c>
      <c r="B17" s="8" t="s">
        <v>256</v>
      </c>
      <c r="C17" s="8" t="s">
        <v>139</v>
      </c>
      <c r="D17" s="8" t="s">
        <v>200</v>
      </c>
      <c r="E17" s="8">
        <v>13.633333333333001</v>
      </c>
      <c r="F17" s="8" t="s">
        <v>130</v>
      </c>
      <c r="G17" s="19" t="s">
        <v>280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19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4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0.15999999999999998</v>
      </c>
      <c r="CK17" s="2">
        <f t="shared" si="2"/>
        <v>7.4999999999999997E-2</v>
      </c>
      <c r="CL17" s="2">
        <f t="shared" si="3"/>
        <v>0</v>
      </c>
      <c r="CM17" s="2">
        <f t="shared" si="9"/>
        <v>9.5000000000000001E-2</v>
      </c>
      <c r="CN17" s="2">
        <f t="shared" si="4"/>
        <v>-1.0000000000000009E-2</v>
      </c>
      <c r="CO17" s="2">
        <f t="shared" si="5"/>
        <v>0</v>
      </c>
      <c r="CP17" s="2">
        <f t="shared" si="6"/>
        <v>0</v>
      </c>
      <c r="CQ17" s="2">
        <f t="shared" si="7"/>
        <v>0.15999999999999998</v>
      </c>
    </row>
    <row r="18" spans="1:95" x14ac:dyDescent="0.35">
      <c r="A18" s="8">
        <v>92</v>
      </c>
      <c r="B18" s="8" t="s">
        <v>257</v>
      </c>
      <c r="C18" s="8" t="s">
        <v>139</v>
      </c>
      <c r="D18" s="8" t="s">
        <v>174</v>
      </c>
      <c r="E18" s="8">
        <v>10.183333333333</v>
      </c>
      <c r="F18" s="8" t="s">
        <v>130</v>
      </c>
      <c r="G18" s="19" t="s">
        <v>280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0.16000000000000003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0.14500000000000002</v>
      </c>
      <c r="CO18" s="2">
        <f t="shared" si="5"/>
        <v>1.4999999999999999E-2</v>
      </c>
      <c r="CP18" s="2">
        <f t="shared" si="6"/>
        <v>0</v>
      </c>
      <c r="CQ18" s="2">
        <f t="shared" si="7"/>
        <v>0.16000000000000003</v>
      </c>
    </row>
    <row r="19" spans="1:95" x14ac:dyDescent="0.35">
      <c r="A19" s="8">
        <v>33</v>
      </c>
      <c r="B19" s="8" t="s">
        <v>258</v>
      </c>
      <c r="C19" s="8" t="s">
        <v>139</v>
      </c>
      <c r="D19" s="8" t="s">
        <v>195</v>
      </c>
      <c r="E19" s="8">
        <v>11.166666666667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0.33499999999999996</v>
      </c>
      <c r="CK19" s="2">
        <f t="shared" si="2"/>
        <v>0.185</v>
      </c>
      <c r="CL19" s="2">
        <f t="shared" si="3"/>
        <v>4.4999999999999998E-2</v>
      </c>
      <c r="CM19" s="2">
        <f t="shared" si="9"/>
        <v>0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0.33499999999999996</v>
      </c>
    </row>
    <row r="20" spans="1:95" x14ac:dyDescent="0.35">
      <c r="A20" s="8">
        <v>10</v>
      </c>
      <c r="B20" s="8" t="s">
        <v>259</v>
      </c>
      <c r="C20" s="8" t="s">
        <v>132</v>
      </c>
      <c r="D20" s="8" t="s">
        <v>195</v>
      </c>
      <c r="E20" s="8">
        <v>7.9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0.03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0.03</v>
      </c>
      <c r="CP20" s="2">
        <f t="shared" si="6"/>
        <v>0</v>
      </c>
      <c r="CQ20" s="2">
        <f t="shared" si="7"/>
        <v>0.03</v>
      </c>
    </row>
    <row r="21" spans="1:95" x14ac:dyDescent="0.35">
      <c r="A21" s="8">
        <v>5</v>
      </c>
      <c r="B21" s="8" t="s">
        <v>260</v>
      </c>
      <c r="C21" s="8" t="s">
        <v>132</v>
      </c>
      <c r="D21" s="8" t="s">
        <v>200</v>
      </c>
      <c r="E21" s="8">
        <v>16.866666666667001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0.76</v>
      </c>
      <c r="CK21" s="2">
        <f t="shared" si="2"/>
        <v>0.42000000000000004</v>
      </c>
      <c r="CL21" s="2">
        <f t="shared" si="3"/>
        <v>0</v>
      </c>
      <c r="CM21" s="2">
        <f t="shared" si="9"/>
        <v>0.22</v>
      </c>
      <c r="CN21" s="2">
        <f t="shared" si="4"/>
        <v>0.12000000000000001</v>
      </c>
      <c r="CO21" s="2">
        <f t="shared" si="5"/>
        <v>0</v>
      </c>
      <c r="CP21" s="2">
        <f t="shared" si="6"/>
        <v>0</v>
      </c>
      <c r="CQ21" s="2">
        <f t="shared" si="7"/>
        <v>0.76</v>
      </c>
    </row>
    <row r="22" spans="1:95" x14ac:dyDescent="0.35">
      <c r="A22" s="8">
        <v>16</v>
      </c>
      <c r="B22" s="8" t="s">
        <v>261</v>
      </c>
      <c r="C22" s="8" t="s">
        <v>132</v>
      </c>
      <c r="D22" s="8" t="s">
        <v>192</v>
      </c>
      <c r="E22" s="8">
        <v>14.083333333333</v>
      </c>
      <c r="F22" s="8" t="s">
        <v>130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1.2749999999999999</v>
      </c>
      <c r="CK22" s="2">
        <f>(0.075*H22)+(0.07*L22)+(0.055*M22)+(0.055*N22)+(0.095*J22)+(0.09*O22)+(0.05*P22)+(0.05*R22)+(0.05*S22)+(0.05*AB22)+0.2</f>
        <v>0.87000000000000011</v>
      </c>
      <c r="CL22" s="2">
        <f t="shared" si="3"/>
        <v>0.17</v>
      </c>
      <c r="CM22" s="2">
        <f t="shared" si="9"/>
        <v>6.5000000000000002E-2</v>
      </c>
      <c r="CN22" s="2">
        <f t="shared" si="4"/>
        <v>9.5000000000000001E-2</v>
      </c>
      <c r="CO22" s="2">
        <f t="shared" si="5"/>
        <v>7.4999999999999997E-2</v>
      </c>
      <c r="CP22" s="2">
        <f t="shared" si="6"/>
        <v>0</v>
      </c>
      <c r="CQ22" s="2">
        <f t="shared" si="7"/>
        <v>1.2749999999999999</v>
      </c>
    </row>
    <row r="23" spans="1:95" x14ac:dyDescent="0.35">
      <c r="A23" s="8">
        <v>15</v>
      </c>
      <c r="B23" s="8" t="s">
        <v>262</v>
      </c>
      <c r="C23" s="8" t="s">
        <v>132</v>
      </c>
      <c r="D23" s="8" t="s">
        <v>192</v>
      </c>
      <c r="E23" s="8">
        <v>11.033333333332999</v>
      </c>
      <c r="F23" s="8" t="s">
        <v>130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0.86499999999999999</v>
      </c>
      <c r="CK23" s="2">
        <f>(0.075*H23)+(0.07*L23)+(0.055*M23)+(0.055*N23)+(0.095*J23)+(0.09*O23)+(0.05*P23)+(0.05*R23)+(0.05*S23)+(0.05*AB23)+0.2</f>
        <v>0.66500000000000004</v>
      </c>
      <c r="CL23" s="2">
        <f t="shared" si="3"/>
        <v>0</v>
      </c>
      <c r="CM23" s="2">
        <f t="shared" si="9"/>
        <v>0.03</v>
      </c>
      <c r="CN23" s="2">
        <f t="shared" si="4"/>
        <v>9.5000000000000001E-2</v>
      </c>
      <c r="CO23" s="2">
        <f t="shared" si="5"/>
        <v>7.4999999999999997E-2</v>
      </c>
      <c r="CP23" s="2">
        <f t="shared" si="6"/>
        <v>0</v>
      </c>
      <c r="CQ23" s="2">
        <f t="shared" si="7"/>
        <v>0.86499999999999999</v>
      </c>
    </row>
    <row r="24" spans="1:95" x14ac:dyDescent="0.35">
      <c r="A24" s="8">
        <v>63</v>
      </c>
      <c r="B24" s="8" t="s">
        <v>263</v>
      </c>
      <c r="C24" s="8" t="s">
        <v>132</v>
      </c>
      <c r="D24" s="8" t="s">
        <v>195</v>
      </c>
      <c r="E24" s="8">
        <v>11.116666666666999</v>
      </c>
      <c r="F24" s="8" t="s">
        <v>130</v>
      </c>
      <c r="G24" s="19" t="s">
        <v>280</v>
      </c>
      <c r="H24" s="9">
        <f>COUNTIFS(Tracking!E:E,A24,Tracking!D:D,C24,Tracking!C:C,"5v5")</f>
        <v>5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3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5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8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3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3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2.3900000000000006</v>
      </c>
      <c r="CK24" s="2">
        <f>(0.075*H24)+(0.07*L24)+(0.055*M24)+(0.055*N24)+(0.095*J24)+(0.09*O24)+(0.05*P24)+(0.05*R24)+(0.05*S24)+(0.05*AB24)+0.5</f>
        <v>1.6650000000000003</v>
      </c>
      <c r="CL24" s="2">
        <f t="shared" si="3"/>
        <v>0.48</v>
      </c>
      <c r="CM24" s="2">
        <f t="shared" si="9"/>
        <v>1.4999999999999999E-2</v>
      </c>
      <c r="CN24" s="2">
        <f t="shared" si="4"/>
        <v>9.5000000000000001E-2</v>
      </c>
      <c r="CO24" s="2">
        <f t="shared" si="5"/>
        <v>0.13500000000000001</v>
      </c>
      <c r="CP24" s="2">
        <f t="shared" si="6"/>
        <v>0</v>
      </c>
      <c r="CQ24" s="2">
        <f t="shared" si="7"/>
        <v>2.3900000000000006</v>
      </c>
    </row>
    <row r="25" spans="1:95" x14ac:dyDescent="0.35">
      <c r="A25" s="8">
        <v>23</v>
      </c>
      <c r="B25" s="8" t="s">
        <v>264</v>
      </c>
      <c r="C25" s="8" t="s">
        <v>132</v>
      </c>
      <c r="D25" s="8" t="s">
        <v>192</v>
      </c>
      <c r="E25" s="8">
        <v>14.4</v>
      </c>
      <c r="F25" s="8" t="s">
        <v>130</v>
      </c>
      <c r="G25" s="19" t="s">
        <v>280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6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0.58499999999999996</v>
      </c>
      <c r="CK25" s="2">
        <f t="shared" si="2"/>
        <v>0.36499999999999999</v>
      </c>
      <c r="CL25" s="2">
        <f t="shared" si="3"/>
        <v>4.4999999999999998E-2</v>
      </c>
      <c r="CM25" s="2">
        <f t="shared" si="9"/>
        <v>1.4999999999999999E-2</v>
      </c>
      <c r="CN25" s="2">
        <f t="shared" si="4"/>
        <v>0</v>
      </c>
      <c r="CO25" s="2">
        <f t="shared" si="5"/>
        <v>0.09</v>
      </c>
      <c r="CP25" s="2">
        <f t="shared" si="6"/>
        <v>7.0000000000000007E-2</v>
      </c>
      <c r="CQ25" s="2">
        <f t="shared" si="7"/>
        <v>0.51500000000000001</v>
      </c>
    </row>
    <row r="26" spans="1:95" x14ac:dyDescent="0.35">
      <c r="A26" s="8">
        <v>7</v>
      </c>
      <c r="B26" s="8" t="s">
        <v>265</v>
      </c>
      <c r="C26" s="8" t="s">
        <v>132</v>
      </c>
      <c r="D26" s="8" t="s">
        <v>200</v>
      </c>
      <c r="E26" s="8">
        <v>14.283333333332999</v>
      </c>
      <c r="F26" s="8" t="s">
        <v>130</v>
      </c>
      <c r="G26" s="19" t="s">
        <v>280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0.14500000000000002</v>
      </c>
      <c r="CK26" s="2">
        <f t="shared" si="2"/>
        <v>0</v>
      </c>
      <c r="CL26" s="2">
        <f t="shared" si="3"/>
        <v>0</v>
      </c>
      <c r="CM26" s="2">
        <f t="shared" si="9"/>
        <v>0.105</v>
      </c>
      <c r="CN26" s="2">
        <f t="shared" si="4"/>
        <v>2.5000000000000001E-2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0.14500000000000002</v>
      </c>
    </row>
    <row r="27" spans="1:95" x14ac:dyDescent="0.35">
      <c r="A27" s="8">
        <v>27</v>
      </c>
      <c r="B27" s="8" t="s">
        <v>266</v>
      </c>
      <c r="C27" s="8" t="s">
        <v>132</v>
      </c>
      <c r="D27" s="8" t="s">
        <v>192</v>
      </c>
      <c r="E27" s="8">
        <v>11.316666666667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7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0.89500000000000013</v>
      </c>
      <c r="CK27" s="2">
        <f>(0.075*H27)+(0.07*L27)+(0.055*M27)+(0.055*N27)+(0.095*J27)+(0.09*O27)+(0.05*P27)+(0.05*R27)+(0.05*S27)+(0.05*AB27)+0.2</f>
        <v>0.76</v>
      </c>
      <c r="CL27" s="2">
        <f t="shared" si="3"/>
        <v>0</v>
      </c>
      <c r="CM27" s="2">
        <f t="shared" si="9"/>
        <v>0</v>
      </c>
      <c r="CN27" s="2">
        <f t="shared" si="4"/>
        <v>5.0000000000000017E-2</v>
      </c>
      <c r="CO27" s="2">
        <f t="shared" si="5"/>
        <v>0.03</v>
      </c>
      <c r="CP27" s="2">
        <f t="shared" si="6"/>
        <v>5.5E-2</v>
      </c>
      <c r="CQ27" s="2">
        <f t="shared" si="7"/>
        <v>0.84000000000000008</v>
      </c>
    </row>
    <row r="28" spans="1:95" x14ac:dyDescent="0.35">
      <c r="A28" s="8">
        <v>17</v>
      </c>
      <c r="B28" s="8" t="s">
        <v>267</v>
      </c>
      <c r="C28" s="8" t="s">
        <v>132</v>
      </c>
      <c r="D28" s="8" t="s">
        <v>192</v>
      </c>
      <c r="E28" s="8">
        <v>12.75</v>
      </c>
      <c r="F28" s="8" t="s">
        <v>130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0.67499999999999993</v>
      </c>
      <c r="CK28" s="2">
        <f t="shared" si="2"/>
        <v>0.20499999999999999</v>
      </c>
      <c r="CL28" s="2">
        <f t="shared" si="3"/>
        <v>0.09</v>
      </c>
      <c r="CM28" s="2">
        <f t="shared" si="9"/>
        <v>9.5000000000000001E-2</v>
      </c>
      <c r="CN28" s="2">
        <f t="shared" si="4"/>
        <v>6.0000000000000005E-2</v>
      </c>
      <c r="CO28" s="2">
        <f t="shared" si="5"/>
        <v>0.13500000000000001</v>
      </c>
      <c r="CP28" s="2">
        <f t="shared" si="6"/>
        <v>0.09</v>
      </c>
      <c r="CQ28" s="2">
        <f t="shared" si="7"/>
        <v>0.58499999999999996</v>
      </c>
    </row>
    <row r="29" spans="1:95" x14ac:dyDescent="0.35">
      <c r="A29" s="8">
        <v>42</v>
      </c>
      <c r="B29" s="8" t="s">
        <v>268</v>
      </c>
      <c r="C29" s="8" t="s">
        <v>132</v>
      </c>
      <c r="D29" s="8" t="s">
        <v>200</v>
      </c>
      <c r="E29" s="8">
        <v>18.116666666667001</v>
      </c>
      <c r="F29" s="8" t="s">
        <v>130</v>
      </c>
      <c r="G29" s="19" t="s">
        <v>280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7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</v>
      </c>
      <c r="CK29" s="2">
        <f t="shared" si="2"/>
        <v>5.5E-2</v>
      </c>
      <c r="CL29" s="2">
        <f t="shared" si="3"/>
        <v>0</v>
      </c>
      <c r="CM29" s="2">
        <f t="shared" si="9"/>
        <v>0.255</v>
      </c>
      <c r="CN29" s="2">
        <f t="shared" si="4"/>
        <v>0.21000000000000002</v>
      </c>
      <c r="CO29" s="2">
        <f t="shared" si="5"/>
        <v>0</v>
      </c>
      <c r="CP29" s="2">
        <f t="shared" si="6"/>
        <v>0</v>
      </c>
      <c r="CQ29" s="2">
        <f t="shared" si="7"/>
        <v>0.52</v>
      </c>
    </row>
    <row r="30" spans="1:95" x14ac:dyDescent="0.35">
      <c r="A30" s="8">
        <v>12</v>
      </c>
      <c r="B30" s="8" t="s">
        <v>269</v>
      </c>
      <c r="C30" s="8" t="s">
        <v>132</v>
      </c>
      <c r="D30" s="8" t="s">
        <v>195</v>
      </c>
      <c r="E30" s="8">
        <v>8.5833333333333002</v>
      </c>
      <c r="F30" s="8" t="s">
        <v>130</v>
      </c>
      <c r="G30" s="19" t="s">
        <v>280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0.36000000000000004</v>
      </c>
      <c r="CK30" s="2">
        <f t="shared" si="2"/>
        <v>5.5E-2</v>
      </c>
      <c r="CL30" s="2">
        <f t="shared" si="3"/>
        <v>4.4999999999999998E-2</v>
      </c>
      <c r="CM30" s="2">
        <f t="shared" si="9"/>
        <v>0</v>
      </c>
      <c r="CN30" s="2">
        <f t="shared" si="4"/>
        <v>0.21500000000000002</v>
      </c>
      <c r="CO30" s="2">
        <f t="shared" si="5"/>
        <v>4.4999999999999998E-2</v>
      </c>
      <c r="CP30" s="2">
        <f t="shared" si="6"/>
        <v>0</v>
      </c>
      <c r="CQ30" s="2">
        <f t="shared" si="7"/>
        <v>0.36000000000000004</v>
      </c>
    </row>
    <row r="31" spans="1:95" x14ac:dyDescent="0.35">
      <c r="A31" s="8">
        <v>19</v>
      </c>
      <c r="B31" s="8" t="s">
        <v>270</v>
      </c>
      <c r="C31" s="8" t="s">
        <v>132</v>
      </c>
      <c r="D31" s="8" t="s">
        <v>195</v>
      </c>
      <c r="E31" s="8">
        <v>12.066666666667</v>
      </c>
      <c r="F31" s="8" t="s">
        <v>130</v>
      </c>
      <c r="G31" s="19" t="s">
        <v>280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0.80500000000000005</v>
      </c>
      <c r="CK31" s="2">
        <f>(0.075*H31)+(0.07*L31)+(0.055*M31)+(0.055*N31)+(0.095*J31)+(0.09*O31)+(0.05*P31)+(0.05*R31)+(0.05*S31)+(0.05*AB31)+0.2</f>
        <v>0.73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0.03</v>
      </c>
      <c r="CP31" s="2">
        <f t="shared" si="6"/>
        <v>0</v>
      </c>
      <c r="CQ31" s="2">
        <f t="shared" si="7"/>
        <v>0.80500000000000005</v>
      </c>
    </row>
    <row r="32" spans="1:95" x14ac:dyDescent="0.35">
      <c r="A32" s="8">
        <v>88</v>
      </c>
      <c r="B32" s="8" t="s">
        <v>271</v>
      </c>
      <c r="C32" s="8" t="s">
        <v>132</v>
      </c>
      <c r="D32" s="8" t="s">
        <v>200</v>
      </c>
      <c r="E32" s="8">
        <v>15.266666666667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0.375</v>
      </c>
      <c r="CK32" s="2">
        <f t="shared" si="2"/>
        <v>0.18</v>
      </c>
      <c r="CL32" s="2">
        <f t="shared" si="3"/>
        <v>0</v>
      </c>
      <c r="CM32" s="2">
        <f t="shared" si="9"/>
        <v>7.4999999999999997E-2</v>
      </c>
      <c r="CN32" s="2">
        <f t="shared" si="4"/>
        <v>0.12000000000000001</v>
      </c>
      <c r="CO32" s="2">
        <f t="shared" si="5"/>
        <v>0</v>
      </c>
      <c r="CP32" s="2">
        <f t="shared" si="6"/>
        <v>0</v>
      </c>
      <c r="CQ32" s="2">
        <f t="shared" si="7"/>
        <v>0.375</v>
      </c>
    </row>
    <row r="33" spans="1:95" x14ac:dyDescent="0.35">
      <c r="A33" s="8">
        <v>77</v>
      </c>
      <c r="B33" s="8" t="s">
        <v>272</v>
      </c>
      <c r="C33" s="8" t="s">
        <v>132</v>
      </c>
      <c r="D33" s="8" t="s">
        <v>200</v>
      </c>
      <c r="E33" s="8">
        <v>14.05</v>
      </c>
      <c r="F33" s="8" t="s">
        <v>130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0.30500000000000005</v>
      </c>
      <c r="CK33" s="2">
        <f t="shared" si="2"/>
        <v>0.18</v>
      </c>
      <c r="CL33" s="2">
        <f t="shared" si="3"/>
        <v>0</v>
      </c>
      <c r="CM33" s="2">
        <f t="shared" si="9"/>
        <v>8.4999999999999992E-2</v>
      </c>
      <c r="CN33" s="2">
        <f t="shared" si="4"/>
        <v>4.0000000000000008E-2</v>
      </c>
      <c r="CO33" s="2">
        <f t="shared" si="5"/>
        <v>0</v>
      </c>
      <c r="CP33" s="2">
        <f t="shared" si="6"/>
        <v>0</v>
      </c>
      <c r="CQ33" s="2">
        <f t="shared" si="7"/>
        <v>0.30500000000000005</v>
      </c>
    </row>
    <row r="34" spans="1:95" x14ac:dyDescent="0.35">
      <c r="A34" s="8">
        <v>9</v>
      </c>
      <c r="B34" s="8" t="s">
        <v>273</v>
      </c>
      <c r="C34" s="8" t="s">
        <v>132</v>
      </c>
      <c r="D34" s="8" t="s">
        <v>192</v>
      </c>
      <c r="E34" s="8">
        <v>14.95</v>
      </c>
      <c r="F34" s="8" t="s">
        <v>130</v>
      </c>
      <c r="G34" s="19" t="s">
        <v>280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10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3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2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1.4499999999999997</v>
      </c>
      <c r="CK34" s="2">
        <f>(0.075*H34)+(0.07*L34)+(0.055*M34)+(0.055*N34)+(0.095*J34)+(0.09*O34)+(0.05*P34)+(0.05*R34)+(0.05*S34)+(0.05*AB34)+0.25</f>
        <v>0.84499999999999997</v>
      </c>
      <c r="CL34" s="2">
        <f t="shared" si="3"/>
        <v>0.34499999999999997</v>
      </c>
      <c r="CM34" s="2">
        <f t="shared" si="9"/>
        <v>9.5000000000000001E-2</v>
      </c>
      <c r="CN34" s="2">
        <f t="shared" si="4"/>
        <v>3.5000000000000003E-2</v>
      </c>
      <c r="CO34" s="2">
        <f t="shared" si="5"/>
        <v>7.4999999999999997E-2</v>
      </c>
      <c r="CP34" s="2">
        <f t="shared" si="6"/>
        <v>5.5E-2</v>
      </c>
      <c r="CQ34" s="2">
        <f t="shared" si="7"/>
        <v>1.3949999999999998</v>
      </c>
    </row>
    <row r="35" spans="1:95" x14ac:dyDescent="0.35">
      <c r="A35" s="8">
        <v>13</v>
      </c>
      <c r="B35" s="8" t="s">
        <v>274</v>
      </c>
      <c r="C35" s="8" t="s">
        <v>132</v>
      </c>
      <c r="D35" s="8" t="s">
        <v>192</v>
      </c>
      <c r="E35" s="8">
        <v>14.883333333333001</v>
      </c>
      <c r="F35" s="8" t="s">
        <v>130</v>
      </c>
      <c r="G35" s="19" t="s">
        <v>280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7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9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1.5249999999999999</v>
      </c>
      <c r="CK35" s="2">
        <f>(0.075*H35)+(0.07*L35)+(0.055*M35)+(0.055*N35)+(0.095*J35)+(0.09*O35)+(0.05*P35)+(0.05*R35)+(0.05*S35)+(0.05*AB35)+0.25</f>
        <v>1.1499999999999999</v>
      </c>
      <c r="CL35" s="2">
        <f t="shared" si="3"/>
        <v>0.14499999999999999</v>
      </c>
      <c r="CM35" s="2">
        <f t="shared" si="9"/>
        <v>1.4999999999999999E-2</v>
      </c>
      <c r="CN35" s="2">
        <f t="shared" si="4"/>
        <v>0.15500000000000003</v>
      </c>
      <c r="CO35" s="2">
        <f t="shared" si="5"/>
        <v>0.06</v>
      </c>
      <c r="CP35" s="2">
        <f t="shared" si="6"/>
        <v>0</v>
      </c>
      <c r="CQ35" s="2">
        <f t="shared" si="7"/>
        <v>1.5249999999999999</v>
      </c>
    </row>
    <row r="36" spans="1:95" x14ac:dyDescent="0.35">
      <c r="A36" s="8">
        <v>3</v>
      </c>
      <c r="B36" s="8" t="s">
        <v>275</v>
      </c>
      <c r="C36" s="8" t="s">
        <v>132</v>
      </c>
      <c r="D36" s="8" t="s">
        <v>200</v>
      </c>
      <c r="E36" s="8">
        <v>15.816666666667</v>
      </c>
      <c r="F36" s="8" t="s">
        <v>130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8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3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0.74500000000000011</v>
      </c>
      <c r="CK36" s="2">
        <f t="shared" si="2"/>
        <v>0.22</v>
      </c>
      <c r="CL36" s="2">
        <f t="shared" si="3"/>
        <v>3.5000000000000003E-2</v>
      </c>
      <c r="CM36" s="2">
        <f t="shared" si="9"/>
        <v>0.27500000000000002</v>
      </c>
      <c r="CN36" s="2">
        <f t="shared" si="4"/>
        <v>0.18000000000000002</v>
      </c>
      <c r="CO36" s="2">
        <f t="shared" si="5"/>
        <v>0</v>
      </c>
      <c r="CP36" s="2">
        <f t="shared" si="6"/>
        <v>3.5000000000000003E-2</v>
      </c>
      <c r="CQ36" s="2">
        <f t="shared" si="7"/>
        <v>0.71000000000000008</v>
      </c>
    </row>
    <row r="37" spans="1:95" x14ac:dyDescent="0.35">
      <c r="A37" s="8">
        <v>92</v>
      </c>
      <c r="B37" s="8" t="s">
        <v>276</v>
      </c>
      <c r="C37" s="8" t="s">
        <v>132</v>
      </c>
      <c r="D37" s="8" t="s">
        <v>195</v>
      </c>
      <c r="E37" s="8">
        <v>7.85</v>
      </c>
      <c r="F37" s="8" t="s">
        <v>130</v>
      </c>
      <c r="G37" s="19" t="s">
        <v>280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</v>
      </c>
      <c r="CK37" s="2">
        <f t="shared" si="2"/>
        <v>7.0000000000000007E-2</v>
      </c>
      <c r="CL37" s="2">
        <f t="shared" si="3"/>
        <v>0</v>
      </c>
      <c r="CM37" s="2">
        <f t="shared" si="9"/>
        <v>0</v>
      </c>
      <c r="CN37" s="2">
        <f t="shared" si="4"/>
        <v>3.5000000000000003E-2</v>
      </c>
      <c r="CO37" s="2">
        <f t="shared" si="5"/>
        <v>0.03</v>
      </c>
      <c r="CP37" s="2">
        <f t="shared" si="6"/>
        <v>5.5E-2</v>
      </c>
      <c r="CQ37" s="2">
        <f t="shared" si="7"/>
        <v>0.13500000000000001</v>
      </c>
    </row>
    <row r="38" spans="1:95" x14ac:dyDescent="0.35">
      <c r="A38" s="8">
        <v>72</v>
      </c>
      <c r="B38" s="8" t="s">
        <v>277</v>
      </c>
      <c r="C38" s="8" t="s">
        <v>132</v>
      </c>
      <c r="D38" s="8" t="s">
        <v>278</v>
      </c>
      <c r="E38" s="8">
        <v>47.066699999999997</v>
      </c>
      <c r="F38" s="8" t="s">
        <v>130</v>
      </c>
      <c r="G38" s="19" t="s">
        <v>280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279</v>
      </c>
      <c r="C39" s="8" t="s">
        <v>139</v>
      </c>
      <c r="D39" s="8" t="s">
        <v>278</v>
      </c>
      <c r="E39" s="8">
        <v>47.066699999999997</v>
      </c>
      <c r="F39" s="8" t="s">
        <v>130</v>
      </c>
      <c r="G39" s="19" t="s">
        <v>280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2025-06-17T20:29:53Z</dcterms:modified>
</cp:coreProperties>
</file>