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23EE222C-1794-43B6-9FE4-B2757A13205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8" i="2" l="1"/>
  <c r="CP22" i="2"/>
  <c r="CP33" i="2"/>
  <c r="CK36" i="2"/>
  <c r="CK35" i="2"/>
  <c r="CK30" i="2"/>
  <c r="CK26" i="2"/>
  <c r="CK20" i="2"/>
  <c r="CK19" i="2"/>
  <c r="CK17" i="2"/>
  <c r="CK16" i="2"/>
  <c r="CK14" i="2"/>
  <c r="CK6" i="2"/>
  <c r="CK3" i="2"/>
  <c r="CK4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P13" i="2"/>
  <c r="CP10" i="2"/>
  <c r="CK27" i="2"/>
  <c r="CK24" i="2"/>
  <c r="CK21" i="2"/>
  <c r="CK33" i="2"/>
  <c r="CP24" i="2"/>
  <c r="CP19" i="2"/>
  <c r="CP6" i="2"/>
  <c r="CP36" i="2"/>
  <c r="CP30" i="2"/>
  <c r="CP4" i="2"/>
  <c r="CP25" i="2"/>
  <c r="CP16" i="2"/>
  <c r="CK12" i="2"/>
  <c r="CK9" i="2"/>
  <c r="CP8" i="2"/>
  <c r="CP27" i="2"/>
  <c r="CP12" i="2"/>
  <c r="CP9" i="2"/>
  <c r="CK5" i="2"/>
  <c r="CK18" i="2"/>
  <c r="CP15" i="2"/>
  <c r="CK8" i="2"/>
  <c r="CP5" i="2"/>
  <c r="CK32" i="2"/>
  <c r="CK29" i="2"/>
  <c r="CP26" i="2"/>
  <c r="CP23" i="2"/>
  <c r="CP37" i="2"/>
  <c r="CK15" i="2"/>
  <c r="CK23" i="2"/>
  <c r="CP18" i="2"/>
  <c r="CP35" i="2"/>
  <c r="CP32" i="2"/>
  <c r="CP29" i="2"/>
  <c r="CP7" i="2"/>
  <c r="CP34" i="2"/>
  <c r="CK11" i="2"/>
  <c r="CP20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<sst xmlns="http://schemas.openxmlformats.org/spreadsheetml/2006/main" count="3592" uniqueCount="276">
  <si>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</si>
  <si>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</si>
  <si>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</si>
  <si>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</si>
  <si>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</si>
  <si>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</si>
  <si>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</si>
  <si>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</si>
  <si>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</si>
  <si>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</si>
  <si>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</si>
  <si>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</si>
  <si>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</si>
  <si>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</si>
  <si>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</si>
  <si>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</si>
  <si>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</si>
  <si>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</si>
  <si>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</si>
  <si>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</si>
  <si>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</si>
  <si>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</si>
  <si>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</si>
  <si>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</si>
  <si>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</si>
  <si>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</si>
  <si>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</si>
  <si>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</si>
  <si>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</si>
  <si>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</si>
  <si>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</si>
  <si>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</si>
  <si>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</si>
  <si>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</si>
  <si>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</si>
  <si>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</si>
  <si>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</si>
  <si>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</si>
  <si>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</si>
  <si>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</si>
  <si>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</si>
  <si>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</si>
  <si>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</si>
  <si>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</si>
  <si>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</si>
  <si>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</si>
  <si>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</si>
  <si>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</si>
  <si>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</si>
  <si>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</si>
  <si>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</si>
  <si>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</si>
  <si>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</si>
  <si>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</si>
  <si>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</si>
  <si>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</si>
  <si>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</si>
  <si>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</si>
  <si>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</si>
  <si>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</si>
  <si>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</si>
  <si>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</si>
  <si>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</si>
  <si>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</si>
  <si>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</si>
  <si>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</si>
  <si>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</si>
  <si>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</si>
  <si>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</si>
  <si>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</si>
  <si>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</si>
  <si>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</si>
  <si>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</si>
  <si>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</si>
  <si>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</si>
  <si>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</si>
  <si>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</si>
  <si>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</si>
  <si>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</si>
  <si>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</si>
  <si>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</si>
  <si>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</si>
  <si>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</si>
  <si>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</si>
  <si>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</si>
  <si>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</si>
  <si>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</si>
  <si>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</si>
  <si>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</si>
  <si>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</si>
  <si>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</si>
  <si>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</si>
  <si>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</si>
  <si>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</si>
  <si>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</si>
  <si>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</si>
  <si>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</si>
  <si>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</si>
  <si>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</si>
  <si>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</si>
  <si>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</si>
  <si>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</si>
  <si>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</si>
  <si>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</si>
  <si>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</si>
  <si>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</si>
  <si>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</si>
  <si>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</si>
  <si>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</si>
  <si>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</si>
  <si>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</si>
  <si>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</si>
  <si>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</si>
  <si>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</si>
  <si>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</si>
  <si>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</si>
  <si>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</si>
  <si>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</si>
  <si>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</si>
  <si>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</si>
  <si>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</si>
  <si>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</si>
  <si>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</si>
  <si>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</si>
  <si>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</si>
  <si>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</si>
  <si>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</si>
  <si>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</si>
  <si>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</si>
  <si>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</si>
  <si>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</si>
  <si>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</si>
  <si>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</si>
  <si>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</si>
  <si>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or</t>
  </si>
  <si>
    <t>oell</t>
  </si>
  <si>
    <t>c</t>
  </si>
  <si>
    <t>oz</t>
  </si>
  <si>
    <t>opl</t>
  </si>
  <si>
    <t>oc</t>
  </si>
  <si>
    <t>y</t>
  </si>
  <si>
    <t>dz</t>
  </si>
  <si>
    <t>controlled breakout</t>
  </si>
  <si>
    <t>ofp</t>
  </si>
  <si>
    <t>oz faceoff</t>
  </si>
  <si>
    <t>nr</t>
  </si>
  <si>
    <t>r</t>
  </si>
  <si>
    <t>nz</t>
  </si>
  <si>
    <t>nz reload</t>
  </si>
  <si>
    <t>DAL</t>
  </si>
  <si>
    <t>f</t>
  </si>
  <si>
    <t>orrr</t>
  </si>
  <si>
    <t>dl</t>
  </si>
  <si>
    <t>dz exit</t>
  </si>
  <si>
    <t>1 on 0</t>
  </si>
  <si>
    <t>W</t>
  </si>
  <si>
    <t>ol</t>
  </si>
  <si>
    <t>Y</t>
  </si>
  <si>
    <t>o</t>
  </si>
  <si>
    <t>nl</t>
  </si>
  <si>
    <t>nz turnover</t>
  </si>
  <si>
    <t>dz counter</t>
  </si>
  <si>
    <t>5v4</t>
  </si>
  <si>
    <t>opr</t>
  </si>
  <si>
    <t>b</t>
  </si>
  <si>
    <t>nc</t>
  </si>
  <si>
    <t>dr</t>
  </si>
  <si>
    <t>O</t>
  </si>
  <si>
    <t>orrc</t>
  </si>
  <si>
    <t>s</t>
  </si>
  <si>
    <t>t</t>
  </si>
  <si>
    <t>oelpl</t>
  </si>
  <si>
    <t>T</t>
  </si>
  <si>
    <t>oelc</t>
  </si>
  <si>
    <t>4v5</t>
  </si>
  <si>
    <t>2 on 1</t>
  </si>
  <si>
    <t>dsr</t>
  </si>
  <si>
    <t>oelpr</t>
  </si>
  <si>
    <t>a</t>
  </si>
  <si>
    <t>D</t>
  </si>
  <si>
    <t>96DAL</t>
  </si>
  <si>
    <t>N</t>
  </si>
  <si>
    <t>R</t>
  </si>
  <si>
    <t>7COL</t>
  </si>
  <si>
    <t>EXC</t>
  </si>
  <si>
    <t>88COL</t>
  </si>
  <si>
    <t>MEX</t>
  </si>
  <si>
    <t>C</t>
  </si>
  <si>
    <t>44DAL</t>
  </si>
  <si>
    <t>L</t>
  </si>
  <si>
    <t>27COL</t>
  </si>
  <si>
    <t>55DAL</t>
  </si>
  <si>
    <t>46DAL</t>
  </si>
  <si>
    <t>23DAL</t>
  </si>
  <si>
    <t>CLE</t>
  </si>
  <si>
    <t>55COL</t>
  </si>
  <si>
    <t>42COL</t>
  </si>
  <si>
    <t>PEX</t>
  </si>
  <si>
    <t>13COL</t>
  </si>
  <si>
    <t>29DAL</t>
  </si>
  <si>
    <t>10COL</t>
  </si>
  <si>
    <t>28DAL</t>
  </si>
  <si>
    <t>64DAL</t>
  </si>
  <si>
    <t>6COL</t>
  </si>
  <si>
    <t>94COL</t>
  </si>
  <si>
    <t>F</t>
  </si>
  <si>
    <t>63DAL</t>
  </si>
  <si>
    <t>15DAL</t>
  </si>
  <si>
    <t>10DAL</t>
  </si>
  <si>
    <t>62COL</t>
  </si>
  <si>
    <t>8COL</t>
  </si>
  <si>
    <t>91DAL</t>
  </si>
  <si>
    <t>27DAL</t>
  </si>
  <si>
    <t>CEX</t>
  </si>
  <si>
    <t>FEX</t>
  </si>
  <si>
    <t>24DAL</t>
  </si>
  <si>
    <t>25COL</t>
  </si>
  <si>
    <t>53DAL</t>
  </si>
  <si>
    <t>X</t>
  </si>
  <si>
    <t>29COL</t>
  </si>
  <si>
    <t>14DAL</t>
  </si>
  <si>
    <t>49COL</t>
  </si>
  <si>
    <t>NJ</t>
  </si>
  <si>
    <t>17COL</t>
  </si>
  <si>
    <t>95DAL</t>
  </si>
  <si>
    <t>6DAL</t>
  </si>
  <si>
    <t>BOT</t>
  </si>
  <si>
    <t>8C9OL</t>
  </si>
  <si>
    <t>18COL</t>
  </si>
  <si>
    <t>28COL</t>
  </si>
  <si>
    <t>11COL</t>
  </si>
  <si>
    <t>18DAL</t>
  </si>
  <si>
    <t>39COL</t>
  </si>
  <si>
    <t>224DAL</t>
  </si>
  <si>
    <t>44DAN</t>
  </si>
  <si>
    <t>46DAL`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</si>
  <si>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</si>
  <si>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</si>
  <si>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</si>
  <si>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</si>
  <si>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</si>
  <si>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</si>
  <si>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</si>
  <si>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</si>
  <si>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</si>
  <si>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</si>
  <si>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</si>
  <si>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</si>
  <si>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</si>
  <si>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</si>
  <si>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</si>
  <si>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</si>
  <si>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</si>
  <si>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</si>
  <si>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Artturi Lehkonen</t>
  </si>
  <si>
    <t>Brock Nelson</t>
  </si>
  <si>
    <t>Cale Makar</t>
  </si>
  <si>
    <t>Charlie Coyle</t>
  </si>
  <si>
    <t>Devon Toews</t>
  </si>
  <si>
    <t>Erik Johnson</t>
  </si>
  <si>
    <t>Jack Drury</t>
  </si>
  <si>
    <t>Joel Kiviranta</t>
  </si>
  <si>
    <t>Jonathan Drouin</t>
  </si>
  <si>
    <t>Josh Manson</t>
  </si>
  <si>
    <t>Logan O'Connor</t>
  </si>
  <si>
    <t>Martin Necas</t>
  </si>
  <si>
    <t>Miles Wood</t>
  </si>
  <si>
    <t>Nathan MacKinnon</t>
  </si>
  <si>
    <t>Parker Kelly</t>
  </si>
  <si>
    <t>Ryan Lindgren</t>
  </si>
  <si>
    <t>Samuel Girard</t>
  </si>
  <si>
    <t>Valeri Nichushkin</t>
  </si>
  <si>
    <t>Mackenzie Blackwood</t>
  </si>
  <si>
    <t>G</t>
  </si>
  <si>
    <t>Jake Oettinger</t>
  </si>
  <si>
    <t>DAL vs. COL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</si>
</sst>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36" activePane="bottomRight" state="frozen"/>
      <selection pane="topRight" activeCell="D1" sqref="D1"/>
      <selection pane="bottomLeft" activeCell="A2" sqref="A2"/>
      <selection pane="bottomRight" activeCell="A2" sqref="A2:XFD3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7</v>
      </c>
      <c r="F2" s="1" t="s">
        <v>133</v>
      </c>
      <c r="G2" s="1">
        <v>29</v>
      </c>
      <c r="H2" s="1">
        <v>88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30162</v>
      </c>
      <c r="X2" s="1">
        <v>45768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132</v>
      </c>
      <c r="E3" s="1">
        <v>55</v>
      </c>
      <c r="F3" s="1" t="s">
        <v>133</v>
      </c>
      <c r="G3" s="1">
        <v>11</v>
      </c>
      <c r="H3" s="1">
        <v>27</v>
      </c>
      <c r="J3" s="1" t="s">
        <v>138</v>
      </c>
      <c r="K3" s="1" t="s">
        <v>139</v>
      </c>
      <c r="N3" s="1" t="s">
        <v>140</v>
      </c>
      <c r="P3" s="1" t="s">
        <v>136</v>
      </c>
      <c r="Q3" s="1" t="s">
        <v>141</v>
      </c>
      <c r="R3" s="1" t="s">
        <v>142</v>
      </c>
      <c r="U3" s="1">
        <v>0</v>
      </c>
      <c r="V3" s="1">
        <v>29</v>
      </c>
      <c r="W3" s="1">
        <v>30162</v>
      </c>
      <c r="X3" s="1">
        <v>45768</v>
      </c>
      <c r="AK3" s="7"/>
      <c r="AL3" s="7"/>
    </row>
    <row r="4" spans="1:40" x14ac:dyDescent="0.35">
      <c r="A4" s="7">
        <v>1</v>
      </c>
      <c r="B4" s="15">
        <v>0.78472222222222221</v>
      </c>
      <c r="C4" s="21" t="s">
        <v>131</v>
      </c>
      <c r="D4" s="1" t="s">
        <v>132</v>
      </c>
      <c r="E4" s="1">
        <v>55</v>
      </c>
      <c r="F4" s="1" t="s">
        <v>133</v>
      </c>
      <c r="G4" s="1">
        <v>11</v>
      </c>
      <c r="J4" s="1" t="s">
        <v>143</v>
      </c>
      <c r="N4" s="1" t="s">
        <v>140</v>
      </c>
      <c r="Q4" s="1" t="s">
        <v>137</v>
      </c>
      <c r="R4" s="1" t="s">
        <v>144</v>
      </c>
      <c r="U4" s="1">
        <v>0</v>
      </c>
      <c r="V4" s="1">
        <v>29</v>
      </c>
      <c r="W4" s="1">
        <v>30162</v>
      </c>
      <c r="X4" s="1">
        <v>45768</v>
      </c>
      <c r="AK4" s="7"/>
      <c r="AL4" s="7"/>
    </row>
    <row r="5" spans="1:40" x14ac:dyDescent="0.35">
      <c r="A5" s="7">
        <v>1</v>
      </c>
      <c r="B5" s="14">
        <v>0.76597222222222228</v>
      </c>
      <c r="C5" s="21" t="s">
        <v>131</v>
      </c>
      <c r="D5" s="1" t="s">
        <v>132</v>
      </c>
      <c r="E5" s="1">
        <v>13</v>
      </c>
      <c r="F5" s="1" t="s">
        <v>133</v>
      </c>
      <c r="G5" s="1">
        <v>27</v>
      </c>
      <c r="J5" s="1" t="s">
        <v>145</v>
      </c>
      <c r="M5" s="1" t="s">
        <v>140</v>
      </c>
      <c r="N5" s="1" t="s">
        <v>140</v>
      </c>
      <c r="P5" s="1" t="s">
        <v>146</v>
      </c>
      <c r="Q5" s="1" t="s">
        <v>147</v>
      </c>
      <c r="R5" s="1" t="s">
        <v>148</v>
      </c>
      <c r="U5" s="1">
        <v>0</v>
      </c>
      <c r="V5" s="1">
        <v>29</v>
      </c>
      <c r="W5" s="1">
        <v>30162</v>
      </c>
      <c r="X5" s="1">
        <v>45768</v>
      </c>
      <c r="AK5" s="7"/>
      <c r="AL5" s="7"/>
    </row>
    <row r="6" spans="1:40" x14ac:dyDescent="0.35">
      <c r="A6" s="2">
        <v>1</v>
      </c>
      <c r="B6" s="15">
        <v>0.71736111111111112</v>
      </c>
      <c r="C6" s="21" t="s">
        <v>131</v>
      </c>
      <c r="D6" s="1" t="s">
        <v>149</v>
      </c>
      <c r="E6" s="1">
        <v>10</v>
      </c>
      <c r="F6" s="1" t="s">
        <v>133</v>
      </c>
      <c r="N6" s="1" t="s">
        <v>140</v>
      </c>
      <c r="P6" s="1" t="s">
        <v>150</v>
      </c>
      <c r="Q6" s="1" t="s">
        <v>137</v>
      </c>
      <c r="U6" s="1">
        <v>0</v>
      </c>
      <c r="V6" s="1">
        <v>39</v>
      </c>
      <c r="W6" s="1">
        <v>30162</v>
      </c>
      <c r="X6" s="1">
        <v>45768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131</v>
      </c>
      <c r="D7" s="1" t="s">
        <v>132</v>
      </c>
      <c r="E7" s="1">
        <v>62</v>
      </c>
      <c r="F7" s="1" t="s">
        <v>133</v>
      </c>
      <c r="G7" s="1">
        <v>29</v>
      </c>
      <c r="H7" s="1">
        <v>88</v>
      </c>
      <c r="I7" s="1">
        <v>62</v>
      </c>
      <c r="J7" s="1" t="s">
        <v>151</v>
      </c>
      <c r="K7" s="1" t="s">
        <v>134</v>
      </c>
      <c r="L7" s="1" t="s">
        <v>152</v>
      </c>
      <c r="M7" s="1" t="s">
        <v>140</v>
      </c>
      <c r="N7" s="1" t="s">
        <v>140</v>
      </c>
      <c r="P7" s="1" t="s">
        <v>146</v>
      </c>
      <c r="Q7" s="1" t="s">
        <v>141</v>
      </c>
      <c r="R7" s="1" t="s">
        <v>153</v>
      </c>
      <c r="S7" s="1" t="s">
        <v>154</v>
      </c>
      <c r="U7" s="1">
        <v>0</v>
      </c>
      <c r="V7" s="1">
        <v>29</v>
      </c>
      <c r="W7" s="1">
        <v>30162</v>
      </c>
      <c r="X7" s="1">
        <v>45768</v>
      </c>
      <c r="AK7" s="7"/>
      <c r="AL7" s="7"/>
    </row>
    <row r="8" spans="1:40" x14ac:dyDescent="0.35">
      <c r="A8" s="7">
        <v>1</v>
      </c>
      <c r="B8" s="15">
        <v>0.56388888888888888</v>
      </c>
      <c r="C8" s="21" t="s">
        <v>131</v>
      </c>
      <c r="D8" s="1" t="s">
        <v>149</v>
      </c>
      <c r="E8" s="1">
        <v>14</v>
      </c>
      <c r="F8" s="1" t="s">
        <v>155</v>
      </c>
      <c r="G8" s="1">
        <v>53</v>
      </c>
      <c r="H8" s="1">
        <v>23</v>
      </c>
      <c r="J8" s="1" t="s">
        <v>156</v>
      </c>
      <c r="K8" s="1" t="s">
        <v>156</v>
      </c>
      <c r="M8" s="1" t="s">
        <v>157</v>
      </c>
      <c r="N8" s="1" t="s">
        <v>157</v>
      </c>
      <c r="P8" s="1" t="s">
        <v>150</v>
      </c>
      <c r="Q8" s="1" t="s">
        <v>137</v>
      </c>
      <c r="U8" s="1">
        <v>0</v>
      </c>
      <c r="V8" s="1">
        <v>39</v>
      </c>
      <c r="W8" s="1">
        <v>30162</v>
      </c>
      <c r="X8" s="1">
        <v>45768</v>
      </c>
      <c r="AK8" s="7"/>
      <c r="AL8" s="7"/>
    </row>
    <row r="9" spans="1:40" x14ac:dyDescent="0.35">
      <c r="A9" s="2">
        <v>1</v>
      </c>
      <c r="B9" s="15">
        <v>0.54166666666666663</v>
      </c>
      <c r="C9" s="21" t="s">
        <v>131</v>
      </c>
      <c r="D9" s="1" t="s">
        <v>149</v>
      </c>
      <c r="E9" s="1">
        <v>55</v>
      </c>
      <c r="F9" s="1" t="s">
        <v>158</v>
      </c>
      <c r="G9" s="1">
        <v>27</v>
      </c>
      <c r="H9" s="1">
        <v>55</v>
      </c>
      <c r="J9" s="1" t="s">
        <v>156</v>
      </c>
      <c r="K9" s="1" t="s">
        <v>159</v>
      </c>
      <c r="P9" s="1" t="s">
        <v>136</v>
      </c>
      <c r="Q9" s="1" t="s">
        <v>147</v>
      </c>
      <c r="R9" s="1" t="s">
        <v>160</v>
      </c>
      <c r="U9" s="1">
        <v>0</v>
      </c>
      <c r="V9" s="1">
        <v>39</v>
      </c>
      <c r="W9" s="1">
        <v>30162</v>
      </c>
      <c r="X9" s="1">
        <v>45768</v>
      </c>
      <c r="AK9" s="7"/>
      <c r="AL9" s="7"/>
    </row>
    <row r="10" spans="1:40" x14ac:dyDescent="0.35">
      <c r="A10" s="2">
        <v>1</v>
      </c>
      <c r="B10" s="15">
        <v>0.53611111111111109</v>
      </c>
      <c r="C10" s="21" t="s">
        <v>131</v>
      </c>
      <c r="D10" s="1" t="s">
        <v>132</v>
      </c>
      <c r="E10" s="1">
        <v>6</v>
      </c>
      <c r="F10" s="1" t="s">
        <v>133</v>
      </c>
      <c r="G10" s="1">
        <v>27</v>
      </c>
      <c r="J10" s="1" t="s">
        <v>156</v>
      </c>
      <c r="N10" s="1" t="s">
        <v>140</v>
      </c>
      <c r="P10" s="1" t="s">
        <v>146</v>
      </c>
      <c r="Q10" s="1" t="s">
        <v>141</v>
      </c>
      <c r="R10" s="1" t="s">
        <v>161</v>
      </c>
      <c r="U10" s="1">
        <v>0</v>
      </c>
      <c r="V10" s="1">
        <v>29</v>
      </c>
      <c r="W10" s="1">
        <v>30162</v>
      </c>
      <c r="X10" s="1">
        <v>45768</v>
      </c>
      <c r="AK10" s="7"/>
      <c r="AL10" s="7"/>
    </row>
    <row r="11" spans="1:40" x14ac:dyDescent="0.35">
      <c r="A11" s="2">
        <v>1</v>
      </c>
      <c r="B11" s="15">
        <v>0.46597222222222223</v>
      </c>
      <c r="C11" s="21" t="s">
        <v>162</v>
      </c>
      <c r="D11" s="1" t="s">
        <v>132</v>
      </c>
      <c r="E11" s="1">
        <v>29</v>
      </c>
      <c r="F11" s="1" t="s">
        <v>133</v>
      </c>
      <c r="G11" s="1">
        <v>8</v>
      </c>
      <c r="H11" s="1">
        <v>27</v>
      </c>
      <c r="I11" s="1">
        <v>8</v>
      </c>
      <c r="J11" s="1" t="s">
        <v>134</v>
      </c>
      <c r="K11" s="1" t="s">
        <v>163</v>
      </c>
      <c r="L11" s="1" t="s">
        <v>134</v>
      </c>
      <c r="M11" s="1" t="s">
        <v>140</v>
      </c>
      <c r="N11" s="1" t="s">
        <v>140</v>
      </c>
      <c r="O11" s="1" t="s">
        <v>140</v>
      </c>
      <c r="T11" s="1" t="s">
        <v>140</v>
      </c>
      <c r="U11" s="1">
        <v>0</v>
      </c>
      <c r="V11" s="1">
        <v>29</v>
      </c>
      <c r="W11" s="1">
        <v>30162</v>
      </c>
      <c r="X11" s="1">
        <v>45768</v>
      </c>
      <c r="AK11" s="7"/>
      <c r="AL11" s="7"/>
    </row>
    <row r="12" spans="1:40" x14ac:dyDescent="0.35">
      <c r="A12" s="2">
        <v>1</v>
      </c>
      <c r="B12" s="15">
        <v>0.43958333333333333</v>
      </c>
      <c r="C12" s="21" t="s">
        <v>131</v>
      </c>
      <c r="D12" s="1" t="s">
        <v>149</v>
      </c>
      <c r="E12" s="1">
        <v>96</v>
      </c>
      <c r="F12" s="1" t="s">
        <v>164</v>
      </c>
      <c r="G12" s="1">
        <v>53</v>
      </c>
      <c r="H12" s="1">
        <v>44</v>
      </c>
      <c r="I12" s="1">
        <v>55</v>
      </c>
      <c r="J12" s="1" t="s">
        <v>165</v>
      </c>
      <c r="K12" s="1" t="s">
        <v>166</v>
      </c>
      <c r="L12" s="1" t="s">
        <v>166</v>
      </c>
      <c r="M12" s="1" t="s">
        <v>140</v>
      </c>
      <c r="N12" s="1" t="s">
        <v>140</v>
      </c>
      <c r="P12" s="1" t="s">
        <v>146</v>
      </c>
      <c r="Q12" s="1" t="s">
        <v>141</v>
      </c>
      <c r="R12" s="1" t="s">
        <v>153</v>
      </c>
      <c r="U12" s="1">
        <v>-1</v>
      </c>
      <c r="V12" s="1">
        <v>39</v>
      </c>
      <c r="W12" s="1">
        <v>30162</v>
      </c>
      <c r="X12" s="1">
        <v>45768</v>
      </c>
      <c r="AK12" s="7"/>
      <c r="AL12" s="7"/>
    </row>
    <row r="13" spans="1:40" x14ac:dyDescent="0.35">
      <c r="A13" s="7">
        <v>1</v>
      </c>
      <c r="B13" s="15">
        <v>0.41458333333333336</v>
      </c>
      <c r="C13" s="21" t="s">
        <v>131</v>
      </c>
      <c r="D13" s="1" t="s">
        <v>132</v>
      </c>
      <c r="E13" s="1">
        <v>49</v>
      </c>
      <c r="F13" s="1" t="s">
        <v>133</v>
      </c>
      <c r="N13" s="1" t="s">
        <v>140</v>
      </c>
      <c r="P13" s="1" t="s">
        <v>150</v>
      </c>
      <c r="Q13" s="1" t="s">
        <v>137</v>
      </c>
      <c r="U13" s="1">
        <v>-1</v>
      </c>
      <c r="V13" s="1">
        <v>29</v>
      </c>
      <c r="W13" s="1">
        <v>30162</v>
      </c>
      <c r="X13" s="1">
        <v>45768</v>
      </c>
      <c r="AK13" s="7"/>
      <c r="AL13" s="7"/>
    </row>
    <row r="14" spans="1:40" x14ac:dyDescent="0.35">
      <c r="A14" s="2">
        <v>1</v>
      </c>
      <c r="B14" s="15">
        <v>0.37847222222222221</v>
      </c>
      <c r="C14" s="21" t="s">
        <v>131</v>
      </c>
      <c r="D14" s="1" t="s">
        <v>132</v>
      </c>
      <c r="E14" s="1">
        <v>18</v>
      </c>
      <c r="F14" s="1" t="s">
        <v>164</v>
      </c>
      <c r="G14" s="1">
        <v>17</v>
      </c>
      <c r="H14" s="1">
        <v>25</v>
      </c>
      <c r="J14" s="1" t="s">
        <v>135</v>
      </c>
      <c r="K14" s="1" t="s">
        <v>135</v>
      </c>
      <c r="M14" s="1" t="s">
        <v>140</v>
      </c>
      <c r="P14" s="1" t="s">
        <v>150</v>
      </c>
      <c r="Q14" s="1" t="s">
        <v>137</v>
      </c>
      <c r="U14" s="1">
        <v>-1</v>
      </c>
      <c r="V14" s="1">
        <v>29</v>
      </c>
      <c r="W14" s="1">
        <v>30162</v>
      </c>
      <c r="X14" s="1">
        <v>45768</v>
      </c>
      <c r="AK14" s="7"/>
      <c r="AL14" s="7"/>
    </row>
    <row r="15" spans="1:40" x14ac:dyDescent="0.35">
      <c r="A15" s="2">
        <v>1</v>
      </c>
      <c r="B15" s="15">
        <v>0.36249999999999999</v>
      </c>
      <c r="C15" s="21" t="s">
        <v>131</v>
      </c>
      <c r="D15" s="1" t="s">
        <v>132</v>
      </c>
      <c r="E15" s="1">
        <v>62</v>
      </c>
      <c r="F15" s="1" t="s">
        <v>167</v>
      </c>
      <c r="G15" s="1">
        <v>8</v>
      </c>
      <c r="J15" s="1" t="s">
        <v>139</v>
      </c>
      <c r="M15" s="1" t="s">
        <v>140</v>
      </c>
      <c r="N15" s="1" t="s">
        <v>140</v>
      </c>
      <c r="Q15" s="1" t="s">
        <v>137</v>
      </c>
      <c r="R15" s="1" t="s">
        <v>144</v>
      </c>
      <c r="U15" s="1">
        <v>-1</v>
      </c>
      <c r="V15" s="1">
        <v>29</v>
      </c>
      <c r="W15" s="1">
        <v>30162</v>
      </c>
      <c r="X15" s="1">
        <v>45768</v>
      </c>
      <c r="AK15" s="7"/>
      <c r="AL15" s="7"/>
    </row>
    <row r="16" spans="1:40" x14ac:dyDescent="0.35">
      <c r="A16" s="2">
        <v>1</v>
      </c>
      <c r="B16" s="15">
        <v>0.34930555555555554</v>
      </c>
      <c r="C16" s="21" t="s">
        <v>131</v>
      </c>
      <c r="D16" s="1" t="s">
        <v>149</v>
      </c>
      <c r="E16" s="1">
        <v>18</v>
      </c>
      <c r="F16" s="1" t="s">
        <v>133</v>
      </c>
      <c r="P16" s="1" t="s">
        <v>146</v>
      </c>
      <c r="Q16" s="1" t="s">
        <v>141</v>
      </c>
      <c r="R16" s="1" t="s">
        <v>153</v>
      </c>
      <c r="U16" s="1">
        <v>-1</v>
      </c>
      <c r="V16" s="1">
        <v>39</v>
      </c>
      <c r="W16" s="1">
        <v>30162</v>
      </c>
      <c r="X16" s="1">
        <v>45768</v>
      </c>
      <c r="AK16" s="7"/>
      <c r="AL16" s="7"/>
    </row>
    <row r="17" spans="1:38" x14ac:dyDescent="0.35">
      <c r="A17" s="2">
        <v>1</v>
      </c>
      <c r="B17" s="15">
        <v>0.33541666666666664</v>
      </c>
      <c r="C17" s="21" t="s">
        <v>131</v>
      </c>
      <c r="D17" s="1" t="s">
        <v>132</v>
      </c>
      <c r="E17" s="1">
        <v>6</v>
      </c>
      <c r="F17" s="1" t="s">
        <v>155</v>
      </c>
      <c r="G17" s="1">
        <v>28</v>
      </c>
      <c r="J17" s="1" t="s">
        <v>138</v>
      </c>
      <c r="N17" s="1" t="s">
        <v>157</v>
      </c>
      <c r="P17" s="1" t="s">
        <v>150</v>
      </c>
      <c r="Q17" s="1" t="s">
        <v>137</v>
      </c>
      <c r="U17" s="1">
        <v>-1</v>
      </c>
      <c r="V17" s="1">
        <v>29</v>
      </c>
      <c r="W17" s="1">
        <v>30162</v>
      </c>
      <c r="X17" s="1">
        <v>45768</v>
      </c>
      <c r="AK17" s="7"/>
      <c r="AL17" s="7"/>
    </row>
    <row r="18" spans="1:38" x14ac:dyDescent="0.35">
      <c r="A18" s="2">
        <v>1</v>
      </c>
      <c r="B18" s="15">
        <v>0.2361111111111111</v>
      </c>
      <c r="C18" s="21" t="s">
        <v>131</v>
      </c>
      <c r="D18" s="1" t="s">
        <v>149</v>
      </c>
      <c r="E18" s="1">
        <v>24</v>
      </c>
      <c r="F18" s="1" t="s">
        <v>133</v>
      </c>
      <c r="G18" s="1">
        <v>63</v>
      </c>
      <c r="H18" s="1">
        <v>64</v>
      </c>
      <c r="I18" s="1">
        <v>28</v>
      </c>
      <c r="J18" s="1" t="s">
        <v>159</v>
      </c>
      <c r="K18" s="1" t="s">
        <v>159</v>
      </c>
      <c r="L18" s="1" t="s">
        <v>152</v>
      </c>
      <c r="N18" s="1" t="s">
        <v>140</v>
      </c>
      <c r="P18" s="1" t="s">
        <v>146</v>
      </c>
      <c r="Q18" s="1" t="s">
        <v>141</v>
      </c>
      <c r="R18" s="1" t="s">
        <v>153</v>
      </c>
      <c r="U18" s="1">
        <v>-1</v>
      </c>
      <c r="V18" s="1">
        <v>39</v>
      </c>
      <c r="W18" s="1">
        <v>30162</v>
      </c>
      <c r="X18" s="1">
        <v>45768</v>
      </c>
      <c r="AK18" s="7"/>
      <c r="AL18" s="7"/>
    </row>
    <row r="19" spans="1:38" x14ac:dyDescent="0.35">
      <c r="A19" s="7">
        <v>1</v>
      </c>
      <c r="B19" s="15">
        <v>0.21180555555555555</v>
      </c>
      <c r="C19" s="21" t="s">
        <v>131</v>
      </c>
      <c r="D19" s="1" t="s">
        <v>149</v>
      </c>
      <c r="E19" s="1">
        <v>15</v>
      </c>
      <c r="F19" s="1" t="s">
        <v>133</v>
      </c>
      <c r="G19" s="1">
        <v>10</v>
      </c>
      <c r="J19" s="1" t="s">
        <v>152</v>
      </c>
      <c r="N19" s="1" t="s">
        <v>140</v>
      </c>
      <c r="P19" s="1" t="s">
        <v>146</v>
      </c>
      <c r="Q19" s="1" t="s">
        <v>141</v>
      </c>
      <c r="R19" s="1" t="s">
        <v>153</v>
      </c>
      <c r="U19" s="1">
        <v>-1</v>
      </c>
      <c r="V19" s="1">
        <v>39</v>
      </c>
      <c r="W19" s="1">
        <v>30162</v>
      </c>
      <c r="X19" s="1">
        <v>45768</v>
      </c>
      <c r="AK19" s="7"/>
      <c r="AL19" s="7"/>
    </row>
    <row r="20" spans="1:38" x14ac:dyDescent="0.35">
      <c r="A20" s="2">
        <v>1</v>
      </c>
      <c r="B20" s="15">
        <v>0.19652777777777777</v>
      </c>
      <c r="C20" s="21" t="s">
        <v>131</v>
      </c>
      <c r="D20" s="1" t="s">
        <v>132</v>
      </c>
      <c r="E20" s="1">
        <v>8</v>
      </c>
      <c r="F20" s="1" t="s">
        <v>155</v>
      </c>
      <c r="G20" s="1">
        <v>29</v>
      </c>
      <c r="J20" s="1" t="s">
        <v>163</v>
      </c>
      <c r="N20" s="1" t="s">
        <v>157</v>
      </c>
      <c r="O20" s="1" t="s">
        <v>157</v>
      </c>
      <c r="Q20" s="1" t="s">
        <v>137</v>
      </c>
      <c r="R20" s="1" t="s">
        <v>144</v>
      </c>
      <c r="U20" s="1">
        <v>-1</v>
      </c>
      <c r="V20" s="1">
        <v>29</v>
      </c>
      <c r="W20" s="1">
        <v>30162</v>
      </c>
      <c r="X20" s="1">
        <v>45768</v>
      </c>
      <c r="AK20" s="7"/>
      <c r="AL20" s="7"/>
    </row>
    <row r="21" spans="1:38" x14ac:dyDescent="0.35">
      <c r="A21" s="7">
        <v>1</v>
      </c>
      <c r="B21" s="15">
        <v>0.18333333333333332</v>
      </c>
      <c r="C21" s="21" t="s">
        <v>131</v>
      </c>
      <c r="D21" s="1" t="s">
        <v>132</v>
      </c>
      <c r="E21" s="1">
        <v>7</v>
      </c>
      <c r="F21" s="1" t="s">
        <v>133</v>
      </c>
      <c r="G21" s="1">
        <v>8</v>
      </c>
      <c r="J21" s="1" t="s">
        <v>134</v>
      </c>
      <c r="P21" s="1" t="s">
        <v>150</v>
      </c>
      <c r="Q21" s="1" t="s">
        <v>137</v>
      </c>
      <c r="U21" s="1">
        <v>-1</v>
      </c>
      <c r="V21" s="1">
        <v>29</v>
      </c>
      <c r="W21" s="1">
        <v>30162</v>
      </c>
      <c r="X21" s="1">
        <v>45768</v>
      </c>
      <c r="AK21" s="7"/>
      <c r="AL21" s="7"/>
    </row>
    <row r="22" spans="1:38" x14ac:dyDescent="0.35">
      <c r="A22" s="7">
        <v>1</v>
      </c>
      <c r="B22" s="15">
        <v>0.1701388888888889</v>
      </c>
      <c r="C22" s="21" t="s">
        <v>131</v>
      </c>
      <c r="D22" s="1" t="s">
        <v>132</v>
      </c>
      <c r="E22" s="1">
        <v>11</v>
      </c>
      <c r="F22" s="1" t="s">
        <v>133</v>
      </c>
      <c r="N22" s="1" t="s">
        <v>140</v>
      </c>
      <c r="P22" s="1" t="s">
        <v>150</v>
      </c>
      <c r="Q22" s="1" t="s">
        <v>137</v>
      </c>
      <c r="U22" s="1">
        <v>-1</v>
      </c>
      <c r="V22" s="1">
        <v>29</v>
      </c>
      <c r="W22" s="1">
        <v>30162</v>
      </c>
      <c r="X22" s="1">
        <v>45768</v>
      </c>
      <c r="AK22" s="7"/>
      <c r="AL22" s="7"/>
    </row>
    <row r="23" spans="1:38" x14ac:dyDescent="0.35">
      <c r="A23" s="2">
        <v>1</v>
      </c>
      <c r="B23" s="15">
        <v>0.16597222222222222</v>
      </c>
      <c r="C23" s="21" t="s">
        <v>131</v>
      </c>
      <c r="D23" s="1" t="s">
        <v>132</v>
      </c>
      <c r="E23" s="1">
        <v>55</v>
      </c>
      <c r="F23" s="1" t="s">
        <v>133</v>
      </c>
      <c r="G23" s="1">
        <v>62</v>
      </c>
      <c r="J23" s="1" t="s">
        <v>138</v>
      </c>
      <c r="P23" s="1" t="s">
        <v>150</v>
      </c>
      <c r="Q23" s="1" t="s">
        <v>137</v>
      </c>
      <c r="U23" s="1">
        <v>-1</v>
      </c>
      <c r="V23" s="1">
        <v>29</v>
      </c>
      <c r="W23" s="1">
        <v>30162</v>
      </c>
      <c r="X23" s="1">
        <v>45768</v>
      </c>
      <c r="AK23" s="7"/>
      <c r="AL23" s="7"/>
    </row>
    <row r="24" spans="1:38" x14ac:dyDescent="0.35">
      <c r="A24" s="7">
        <v>1</v>
      </c>
      <c r="B24" s="15">
        <v>0.15902777777777777</v>
      </c>
      <c r="C24" s="21" t="s">
        <v>131</v>
      </c>
      <c r="D24" s="1" t="s">
        <v>132</v>
      </c>
      <c r="E24" s="1">
        <v>55</v>
      </c>
      <c r="F24" s="1" t="s">
        <v>155</v>
      </c>
      <c r="G24" s="1">
        <v>42</v>
      </c>
      <c r="H24" s="1">
        <v>13</v>
      </c>
      <c r="J24" s="1" t="s">
        <v>168</v>
      </c>
      <c r="K24" s="1" t="s">
        <v>134</v>
      </c>
      <c r="M24" s="1" t="s">
        <v>157</v>
      </c>
      <c r="N24" s="1" t="s">
        <v>157</v>
      </c>
      <c r="P24" s="1" t="s">
        <v>136</v>
      </c>
      <c r="Q24" s="1" t="s">
        <v>137</v>
      </c>
      <c r="U24" s="1">
        <v>-1</v>
      </c>
      <c r="V24" s="1">
        <v>29</v>
      </c>
      <c r="W24" s="1">
        <v>30162</v>
      </c>
      <c r="X24" s="1">
        <v>45768</v>
      </c>
      <c r="AK24" s="7"/>
      <c r="AL24" s="7"/>
    </row>
    <row r="25" spans="1:38" x14ac:dyDescent="0.35">
      <c r="A25" s="2">
        <v>1</v>
      </c>
      <c r="B25" s="15">
        <v>0.12986111111111112</v>
      </c>
      <c r="C25" s="21" t="s">
        <v>131</v>
      </c>
      <c r="D25" s="1" t="s">
        <v>149</v>
      </c>
      <c r="E25" s="1">
        <v>46</v>
      </c>
      <c r="F25" s="1" t="s">
        <v>169</v>
      </c>
      <c r="N25" s="1" t="s">
        <v>140</v>
      </c>
      <c r="P25" s="1" t="s">
        <v>150</v>
      </c>
      <c r="Q25" s="1" t="s">
        <v>137</v>
      </c>
      <c r="U25" s="1">
        <v>-1</v>
      </c>
      <c r="V25" s="1">
        <v>39</v>
      </c>
      <c r="W25" s="1">
        <v>30162</v>
      </c>
      <c r="X25" s="1">
        <v>45768</v>
      </c>
      <c r="AK25" s="7"/>
      <c r="AL25" s="7"/>
    </row>
    <row r="26" spans="1:38" x14ac:dyDescent="0.35">
      <c r="A26" s="7">
        <v>1</v>
      </c>
      <c r="B26" s="15">
        <v>0.10347222222222222</v>
      </c>
      <c r="C26" s="21" t="s">
        <v>131</v>
      </c>
      <c r="D26" s="1" t="s">
        <v>149</v>
      </c>
      <c r="E26" s="1">
        <v>64</v>
      </c>
      <c r="F26" s="1" t="s">
        <v>133</v>
      </c>
      <c r="G26" s="1">
        <v>63</v>
      </c>
      <c r="J26" s="1" t="s">
        <v>152</v>
      </c>
      <c r="M26" s="1" t="s">
        <v>140</v>
      </c>
      <c r="N26" s="1" t="s">
        <v>140</v>
      </c>
      <c r="P26" s="1" t="s">
        <v>146</v>
      </c>
      <c r="Q26" s="1" t="s">
        <v>141</v>
      </c>
      <c r="R26" s="1" t="s">
        <v>153</v>
      </c>
      <c r="U26" s="1">
        <v>-1</v>
      </c>
      <c r="V26" s="1">
        <v>39</v>
      </c>
      <c r="W26" s="1">
        <v>30162</v>
      </c>
      <c r="X26" s="1">
        <v>45768</v>
      </c>
      <c r="AK26" s="7"/>
      <c r="AL26" s="7"/>
    </row>
    <row r="27" spans="1:38" x14ac:dyDescent="0.35">
      <c r="A27" s="2">
        <v>1</v>
      </c>
      <c r="B27" s="15">
        <v>9.4444444444444442E-2</v>
      </c>
      <c r="C27" s="21" t="s">
        <v>162</v>
      </c>
      <c r="D27" s="1" t="s">
        <v>149</v>
      </c>
      <c r="E27" s="1">
        <v>96</v>
      </c>
      <c r="F27" s="1" t="s">
        <v>133</v>
      </c>
      <c r="G27" s="1">
        <v>55</v>
      </c>
      <c r="H27" s="1">
        <v>96</v>
      </c>
      <c r="I27" s="1">
        <v>55</v>
      </c>
      <c r="J27" s="1" t="s">
        <v>156</v>
      </c>
      <c r="K27" s="1" t="s">
        <v>163</v>
      </c>
      <c r="L27" s="1" t="s">
        <v>134</v>
      </c>
      <c r="M27" s="1" t="s">
        <v>140</v>
      </c>
      <c r="Q27" s="1" t="s">
        <v>137</v>
      </c>
      <c r="R27" s="1" t="s">
        <v>144</v>
      </c>
      <c r="U27" s="1">
        <v>-1</v>
      </c>
      <c r="V27" s="1">
        <v>39</v>
      </c>
      <c r="W27" s="1">
        <v>30162</v>
      </c>
      <c r="X27" s="1">
        <v>45768</v>
      </c>
      <c r="AK27" s="7"/>
      <c r="AL27" s="7"/>
    </row>
    <row r="28" spans="1:38" x14ac:dyDescent="0.35">
      <c r="A28" s="7">
        <v>1</v>
      </c>
      <c r="B28" s="14">
        <v>3.6805555555555557E-2</v>
      </c>
      <c r="C28" s="21" t="s">
        <v>162</v>
      </c>
      <c r="D28" s="1" t="s">
        <v>149</v>
      </c>
      <c r="E28" s="1">
        <v>91</v>
      </c>
      <c r="F28" s="1" t="s">
        <v>158</v>
      </c>
      <c r="G28" s="1">
        <v>27</v>
      </c>
      <c r="H28" s="1">
        <v>14</v>
      </c>
      <c r="I28" s="1">
        <v>64</v>
      </c>
      <c r="J28" s="1" t="s">
        <v>151</v>
      </c>
      <c r="K28" s="1" t="s">
        <v>135</v>
      </c>
      <c r="L28" s="1" t="s">
        <v>156</v>
      </c>
      <c r="M28" s="1" t="s">
        <v>140</v>
      </c>
      <c r="N28" s="1" t="s">
        <v>140</v>
      </c>
      <c r="P28" s="1" t="s">
        <v>136</v>
      </c>
      <c r="Q28" s="1" t="s">
        <v>147</v>
      </c>
      <c r="T28" s="1" t="s">
        <v>140</v>
      </c>
      <c r="U28" s="1">
        <v>-1</v>
      </c>
      <c r="V28" s="1">
        <v>39</v>
      </c>
      <c r="W28" s="1">
        <v>30162</v>
      </c>
      <c r="X28" s="1">
        <v>45768</v>
      </c>
      <c r="AK28" s="7"/>
      <c r="AL28" s="7"/>
    </row>
    <row r="29" spans="1:38" x14ac:dyDescent="0.35">
      <c r="A29" s="7">
        <v>1</v>
      </c>
      <c r="B29" s="14">
        <v>2.0833333333333332E-2</v>
      </c>
      <c r="C29" s="21" t="s">
        <v>131</v>
      </c>
      <c r="D29" s="1" t="s">
        <v>149</v>
      </c>
      <c r="E29" s="1">
        <v>15</v>
      </c>
      <c r="F29" s="1" t="s">
        <v>133</v>
      </c>
      <c r="G29" s="1">
        <v>10</v>
      </c>
      <c r="J29" s="1" t="s">
        <v>166</v>
      </c>
      <c r="M29" s="1" t="s">
        <v>140</v>
      </c>
      <c r="N29" s="1" t="s">
        <v>140</v>
      </c>
      <c r="P29" s="1" t="s">
        <v>146</v>
      </c>
      <c r="Q29" s="1" t="s">
        <v>141</v>
      </c>
      <c r="R29" s="1" t="s">
        <v>153</v>
      </c>
      <c r="U29" s="1">
        <v>0</v>
      </c>
      <c r="V29" s="1">
        <v>39</v>
      </c>
      <c r="W29" s="1">
        <v>30162</v>
      </c>
      <c r="X29" s="1">
        <v>45768</v>
      </c>
      <c r="AK29" s="7"/>
      <c r="AL29" s="7"/>
    </row>
    <row r="30" spans="1:38" x14ac:dyDescent="0.35">
      <c r="A30" s="2">
        <v>1</v>
      </c>
      <c r="B30" s="15">
        <v>2.013888888888889E-2</v>
      </c>
      <c r="C30" s="21" t="s">
        <v>131</v>
      </c>
      <c r="D30" s="1" t="s">
        <v>149</v>
      </c>
      <c r="E30" s="1">
        <v>15</v>
      </c>
      <c r="F30" s="1" t="s">
        <v>146</v>
      </c>
      <c r="M30" s="1" t="s">
        <v>140</v>
      </c>
      <c r="N30" s="1" t="s">
        <v>140</v>
      </c>
      <c r="P30" s="1" t="s">
        <v>146</v>
      </c>
      <c r="Q30" s="1" t="s">
        <v>141</v>
      </c>
      <c r="R30" s="1" t="s">
        <v>153</v>
      </c>
      <c r="U30" s="1">
        <v>0</v>
      </c>
      <c r="V30" s="1">
        <v>39</v>
      </c>
      <c r="W30" s="1">
        <v>30162</v>
      </c>
      <c r="X30" s="1">
        <v>45768</v>
      </c>
      <c r="AK30" s="7"/>
      <c r="AL30" s="7"/>
    </row>
    <row r="31" spans="1:38" x14ac:dyDescent="0.35">
      <c r="A31" s="7">
        <v>1</v>
      </c>
      <c r="B31" s="14">
        <v>1.9444444444444445E-2</v>
      </c>
      <c r="C31" s="21" t="s">
        <v>131</v>
      </c>
      <c r="D31" s="1" t="s">
        <v>149</v>
      </c>
      <c r="E31" s="1">
        <v>18</v>
      </c>
      <c r="F31" s="1" t="s">
        <v>146</v>
      </c>
      <c r="M31" s="1" t="s">
        <v>140</v>
      </c>
      <c r="N31" s="1" t="s">
        <v>140</v>
      </c>
      <c r="P31" s="1" t="s">
        <v>146</v>
      </c>
      <c r="Q31" s="1" t="s">
        <v>141</v>
      </c>
      <c r="R31" s="1" t="s">
        <v>153</v>
      </c>
      <c r="U31" s="1">
        <v>0</v>
      </c>
      <c r="V31" s="1">
        <v>39</v>
      </c>
      <c r="W31" s="1">
        <v>30162</v>
      </c>
      <c r="X31" s="1">
        <v>45768</v>
      </c>
      <c r="AK31" s="7"/>
      <c r="AL31" s="7"/>
    </row>
    <row r="32" spans="1:38" x14ac:dyDescent="0.35">
      <c r="A32" s="2">
        <v>1</v>
      </c>
      <c r="B32" s="15">
        <v>7.6388888888888886E-3</v>
      </c>
      <c r="C32" s="21" t="s">
        <v>131</v>
      </c>
      <c r="D32" s="1" t="s">
        <v>132</v>
      </c>
      <c r="E32" s="1">
        <v>88</v>
      </c>
      <c r="F32" s="1" t="s">
        <v>170</v>
      </c>
      <c r="G32" s="1">
        <v>29</v>
      </c>
      <c r="H32" s="1">
        <v>88</v>
      </c>
      <c r="I32" s="1">
        <v>7</v>
      </c>
      <c r="J32" s="1" t="s">
        <v>156</v>
      </c>
      <c r="K32" s="1" t="s">
        <v>145</v>
      </c>
      <c r="L32" s="1" t="s">
        <v>166</v>
      </c>
      <c r="M32" s="1" t="s">
        <v>140</v>
      </c>
      <c r="P32" s="1" t="s">
        <v>146</v>
      </c>
      <c r="Q32" s="1" t="s">
        <v>141</v>
      </c>
      <c r="R32" s="1" t="s">
        <v>153</v>
      </c>
      <c r="U32" s="1">
        <v>0</v>
      </c>
      <c r="V32" s="1">
        <v>29</v>
      </c>
      <c r="W32" s="1">
        <v>30162</v>
      </c>
      <c r="X32" s="1">
        <v>45768</v>
      </c>
      <c r="AK32" s="7"/>
      <c r="AL32" s="7"/>
    </row>
    <row r="33" spans="1:38" x14ac:dyDescent="0.35">
      <c r="A33" s="2">
        <v>2</v>
      </c>
      <c r="B33" s="15">
        <v>0.81597222222222221</v>
      </c>
      <c r="C33" s="21" t="s">
        <v>131</v>
      </c>
      <c r="D33" s="1" t="s">
        <v>132</v>
      </c>
      <c r="E33" s="1">
        <v>62</v>
      </c>
      <c r="F33" s="1" t="s">
        <v>167</v>
      </c>
      <c r="G33" s="1">
        <v>8</v>
      </c>
      <c r="H33" s="1">
        <v>62</v>
      </c>
      <c r="I33" s="1">
        <v>8</v>
      </c>
      <c r="J33" s="1" t="s">
        <v>156</v>
      </c>
      <c r="K33" s="1" t="s">
        <v>145</v>
      </c>
      <c r="L33" s="1" t="s">
        <v>145</v>
      </c>
      <c r="P33" s="1" t="s">
        <v>146</v>
      </c>
      <c r="Q33" s="1" t="s">
        <v>141</v>
      </c>
      <c r="R33" s="1" t="s">
        <v>161</v>
      </c>
      <c r="U33" s="1">
        <v>0</v>
      </c>
      <c r="V33" s="1">
        <v>29</v>
      </c>
      <c r="W33" s="1">
        <v>30162</v>
      </c>
      <c r="X33" s="1">
        <v>45768</v>
      </c>
      <c r="AK33" s="7"/>
      <c r="AL33" s="7"/>
    </row>
    <row r="34" spans="1:38" x14ac:dyDescent="0.35">
      <c r="A34" s="7">
        <v>2</v>
      </c>
      <c r="B34" s="15">
        <v>0.7729166666666667</v>
      </c>
      <c r="C34" s="21" t="s">
        <v>131</v>
      </c>
      <c r="D34" s="1" t="s">
        <v>149</v>
      </c>
      <c r="E34" s="1">
        <v>46</v>
      </c>
      <c r="F34" s="1" t="s">
        <v>155</v>
      </c>
      <c r="G34" s="1">
        <v>64</v>
      </c>
      <c r="J34" s="1" t="s">
        <v>138</v>
      </c>
      <c r="N34" s="1" t="s">
        <v>157</v>
      </c>
      <c r="P34" s="1" t="s">
        <v>150</v>
      </c>
      <c r="Q34" s="1" t="s">
        <v>137</v>
      </c>
      <c r="U34" s="1">
        <v>0</v>
      </c>
      <c r="V34" s="1">
        <v>39</v>
      </c>
      <c r="W34" s="1">
        <v>30162</v>
      </c>
      <c r="X34" s="1">
        <v>45768</v>
      </c>
      <c r="AK34" s="7"/>
      <c r="AL34" s="7"/>
    </row>
    <row r="35" spans="1:38" x14ac:dyDescent="0.35">
      <c r="A35" s="2">
        <v>2</v>
      </c>
      <c r="B35" s="15">
        <v>0.76944444444444449</v>
      </c>
      <c r="C35" s="21" t="s">
        <v>131</v>
      </c>
      <c r="D35" s="1" t="s">
        <v>149</v>
      </c>
      <c r="E35" s="1">
        <v>28</v>
      </c>
      <c r="F35" s="1" t="s">
        <v>155</v>
      </c>
      <c r="G35" s="1">
        <v>95</v>
      </c>
      <c r="J35" s="1" t="s">
        <v>163</v>
      </c>
      <c r="Q35" s="1" t="s">
        <v>137</v>
      </c>
      <c r="R35" s="1" t="s">
        <v>144</v>
      </c>
      <c r="U35" s="1">
        <v>0</v>
      </c>
      <c r="V35" s="1">
        <v>39</v>
      </c>
      <c r="W35" s="1">
        <v>30162</v>
      </c>
      <c r="X35" s="1">
        <v>45768</v>
      </c>
      <c r="AK35" s="7"/>
      <c r="AL35" s="7"/>
    </row>
    <row r="36" spans="1:38" x14ac:dyDescent="0.35">
      <c r="A36" s="7">
        <v>2</v>
      </c>
      <c r="B36" s="15">
        <v>0.74097222222222225</v>
      </c>
      <c r="C36" s="21" t="s">
        <v>131</v>
      </c>
      <c r="D36" s="1" t="s">
        <v>132</v>
      </c>
      <c r="E36" s="1">
        <v>18</v>
      </c>
      <c r="F36" s="1" t="s">
        <v>170</v>
      </c>
      <c r="G36" s="1">
        <v>6</v>
      </c>
      <c r="H36" s="1">
        <v>17</v>
      </c>
      <c r="J36" s="1" t="s">
        <v>169</v>
      </c>
      <c r="K36" s="1" t="s">
        <v>171</v>
      </c>
      <c r="M36" s="1" t="s">
        <v>140</v>
      </c>
      <c r="N36" s="1" t="s">
        <v>140</v>
      </c>
      <c r="O36" s="1" t="s">
        <v>140</v>
      </c>
      <c r="P36" s="1" t="s">
        <v>150</v>
      </c>
      <c r="Q36" s="1" t="s">
        <v>137</v>
      </c>
      <c r="U36" s="1">
        <v>0</v>
      </c>
      <c r="V36" s="1">
        <v>29</v>
      </c>
      <c r="W36" s="1">
        <v>30162</v>
      </c>
      <c r="X36" s="1">
        <v>45768</v>
      </c>
      <c r="AK36" s="7"/>
      <c r="AL36" s="7"/>
    </row>
    <row r="37" spans="1:38" x14ac:dyDescent="0.35">
      <c r="A37" s="7">
        <v>2</v>
      </c>
      <c r="B37" s="15">
        <v>0.7104166666666667</v>
      </c>
      <c r="C37" s="21" t="s">
        <v>131</v>
      </c>
      <c r="D37" s="1" t="s">
        <v>132</v>
      </c>
      <c r="E37" s="1">
        <v>29</v>
      </c>
      <c r="F37" s="1" t="s">
        <v>133</v>
      </c>
      <c r="N37" s="1" t="s">
        <v>140</v>
      </c>
      <c r="P37" s="1" t="s">
        <v>146</v>
      </c>
      <c r="Q37" s="1" t="s">
        <v>147</v>
      </c>
      <c r="R37" s="1" t="s">
        <v>160</v>
      </c>
      <c r="U37" s="1">
        <v>0</v>
      </c>
      <c r="V37" s="1">
        <v>29</v>
      </c>
      <c r="W37" s="1">
        <v>30162</v>
      </c>
      <c r="X37" s="1">
        <v>45768</v>
      </c>
      <c r="AK37" s="7"/>
      <c r="AL37" s="7"/>
    </row>
    <row r="38" spans="1:38" x14ac:dyDescent="0.35">
      <c r="A38" s="7">
        <v>2</v>
      </c>
      <c r="B38" s="15">
        <v>0.70902777777777781</v>
      </c>
      <c r="C38" s="21" t="s">
        <v>131</v>
      </c>
      <c r="D38" s="1" t="s">
        <v>132</v>
      </c>
      <c r="E38" s="1">
        <v>62</v>
      </c>
      <c r="F38" s="1" t="s">
        <v>146</v>
      </c>
      <c r="M38" s="1" t="s">
        <v>140</v>
      </c>
      <c r="N38" s="1" t="s">
        <v>140</v>
      </c>
      <c r="P38" s="1" t="s">
        <v>146</v>
      </c>
      <c r="Q38" s="1" t="s">
        <v>147</v>
      </c>
      <c r="R38" s="1" t="s">
        <v>160</v>
      </c>
      <c r="U38" s="1">
        <v>0</v>
      </c>
      <c r="V38" s="1">
        <v>29</v>
      </c>
      <c r="W38" s="1">
        <v>30162</v>
      </c>
      <c r="X38" s="1">
        <v>45768</v>
      </c>
      <c r="AK38" s="7"/>
      <c r="AL38" s="7"/>
    </row>
    <row r="39" spans="1:38" x14ac:dyDescent="0.35">
      <c r="A39" s="2">
        <v>2</v>
      </c>
      <c r="B39" s="15">
        <v>0.68541666666666667</v>
      </c>
      <c r="C39" s="21" t="s">
        <v>131</v>
      </c>
      <c r="D39" s="1" t="s">
        <v>149</v>
      </c>
      <c r="E39" s="1">
        <v>55</v>
      </c>
      <c r="F39" s="1" t="s">
        <v>133</v>
      </c>
      <c r="G39" s="1">
        <v>18</v>
      </c>
      <c r="J39" s="1" t="s">
        <v>134</v>
      </c>
      <c r="M39" s="1" t="s">
        <v>140</v>
      </c>
      <c r="N39" s="1" t="s">
        <v>140</v>
      </c>
      <c r="O39" s="1" t="s">
        <v>140</v>
      </c>
      <c r="P39" s="1" t="s">
        <v>150</v>
      </c>
      <c r="Q39" s="1" t="s">
        <v>137</v>
      </c>
      <c r="T39" s="1" t="s">
        <v>140</v>
      </c>
      <c r="U39" s="1">
        <v>0</v>
      </c>
      <c r="V39" s="1">
        <v>39</v>
      </c>
      <c r="W39" s="1">
        <v>30162</v>
      </c>
      <c r="X39" s="1">
        <v>45768</v>
      </c>
      <c r="AK39" s="7"/>
      <c r="AL39" s="7"/>
    </row>
    <row r="40" spans="1:38" x14ac:dyDescent="0.35">
      <c r="A40" s="7">
        <v>2</v>
      </c>
      <c r="B40" s="15">
        <v>0.63680555555555551</v>
      </c>
      <c r="C40" s="21" t="s">
        <v>131</v>
      </c>
      <c r="D40" s="1" t="s">
        <v>132</v>
      </c>
      <c r="E40" s="1">
        <v>18</v>
      </c>
      <c r="F40" s="1" t="s">
        <v>133</v>
      </c>
      <c r="G40" s="1">
        <v>25</v>
      </c>
      <c r="J40" s="1" t="s">
        <v>134</v>
      </c>
      <c r="M40" s="1" t="s">
        <v>140</v>
      </c>
      <c r="N40" s="1" t="s">
        <v>140</v>
      </c>
      <c r="P40" s="1" t="s">
        <v>150</v>
      </c>
      <c r="Q40" s="1" t="s">
        <v>137</v>
      </c>
      <c r="T40" s="1" t="s">
        <v>140</v>
      </c>
      <c r="U40" s="1">
        <v>1</v>
      </c>
      <c r="V40" s="1">
        <v>29</v>
      </c>
      <c r="W40" s="1">
        <v>30162</v>
      </c>
      <c r="X40" s="1">
        <v>45768</v>
      </c>
      <c r="AK40" s="7"/>
      <c r="AL40" s="7"/>
    </row>
    <row r="41" spans="1:38" x14ac:dyDescent="0.35">
      <c r="A41" s="7">
        <v>2</v>
      </c>
      <c r="B41" s="14">
        <v>0.57013888888888886</v>
      </c>
      <c r="C41" s="21" t="s">
        <v>162</v>
      </c>
      <c r="D41" s="1" t="s">
        <v>132</v>
      </c>
      <c r="E41" s="1">
        <v>8</v>
      </c>
      <c r="F41" s="1" t="s">
        <v>158</v>
      </c>
      <c r="G41" s="1">
        <v>27</v>
      </c>
      <c r="H41" s="1">
        <v>13</v>
      </c>
      <c r="I41" s="1">
        <v>27</v>
      </c>
      <c r="J41" s="1" t="s">
        <v>163</v>
      </c>
      <c r="K41" s="1" t="s">
        <v>134</v>
      </c>
      <c r="L41" s="1" t="s">
        <v>134</v>
      </c>
      <c r="N41" s="1" t="s">
        <v>140</v>
      </c>
      <c r="O41" s="1" t="s">
        <v>140</v>
      </c>
      <c r="Q41" s="1" t="s">
        <v>137</v>
      </c>
      <c r="R41" s="1" t="s">
        <v>144</v>
      </c>
      <c r="U41" s="1">
        <v>0</v>
      </c>
      <c r="V41" s="1">
        <v>29</v>
      </c>
      <c r="W41" s="1">
        <v>30162</v>
      </c>
      <c r="X41" s="1">
        <v>45768</v>
      </c>
      <c r="AK41" s="7"/>
      <c r="AL41" s="7"/>
    </row>
    <row r="42" spans="1:38" x14ac:dyDescent="0.35">
      <c r="A42" s="2">
        <v>2</v>
      </c>
      <c r="B42" s="15">
        <v>0.5493055555555556</v>
      </c>
      <c r="C42" s="21" t="s">
        <v>162</v>
      </c>
      <c r="D42" s="1" t="s">
        <v>132</v>
      </c>
      <c r="E42" s="1">
        <v>8</v>
      </c>
      <c r="F42" s="1" t="s">
        <v>133</v>
      </c>
      <c r="G42" s="1">
        <v>29</v>
      </c>
      <c r="H42" s="1">
        <v>8</v>
      </c>
      <c r="J42" s="1" t="s">
        <v>138</v>
      </c>
      <c r="K42" s="1" t="s">
        <v>156</v>
      </c>
      <c r="M42" s="1" t="s">
        <v>140</v>
      </c>
      <c r="N42" s="1" t="s">
        <v>140</v>
      </c>
      <c r="U42" s="1">
        <v>0</v>
      </c>
      <c r="V42" s="1">
        <v>29</v>
      </c>
      <c r="W42" s="1">
        <v>30162</v>
      </c>
      <c r="X42" s="1">
        <v>45768</v>
      </c>
      <c r="AK42" s="7"/>
      <c r="AL42" s="7"/>
    </row>
    <row r="43" spans="1:38" x14ac:dyDescent="0.35">
      <c r="A43" s="7">
        <v>2</v>
      </c>
      <c r="B43" s="15">
        <v>0.54305555555555551</v>
      </c>
      <c r="C43" s="21" t="s">
        <v>162</v>
      </c>
      <c r="D43" s="1" t="s">
        <v>132</v>
      </c>
      <c r="E43" s="1">
        <v>13</v>
      </c>
      <c r="F43" s="1" t="s">
        <v>133</v>
      </c>
      <c r="G43" s="1">
        <v>29</v>
      </c>
      <c r="J43" s="1" t="s">
        <v>156</v>
      </c>
      <c r="U43" s="1">
        <v>0</v>
      </c>
      <c r="V43" s="1">
        <v>29</v>
      </c>
      <c r="W43" s="1">
        <v>30162</v>
      </c>
      <c r="X43" s="1">
        <v>45768</v>
      </c>
      <c r="AK43" s="7"/>
      <c r="AL43" s="7"/>
    </row>
    <row r="44" spans="1:38" x14ac:dyDescent="0.35">
      <c r="A44" s="2">
        <v>2</v>
      </c>
      <c r="B44" s="15">
        <v>0.44236111111111109</v>
      </c>
      <c r="C44" s="21" t="s">
        <v>131</v>
      </c>
      <c r="D44" s="1" t="s">
        <v>149</v>
      </c>
      <c r="E44" s="1">
        <v>96</v>
      </c>
      <c r="F44" s="1" t="s">
        <v>172</v>
      </c>
      <c r="G44" s="1">
        <v>28</v>
      </c>
      <c r="H44" s="1">
        <v>6</v>
      </c>
      <c r="I44" s="1">
        <v>24</v>
      </c>
      <c r="J44" s="1" t="s">
        <v>169</v>
      </c>
      <c r="K44" s="1" t="s">
        <v>156</v>
      </c>
      <c r="L44" s="1" t="s">
        <v>138</v>
      </c>
      <c r="P44" s="1" t="s">
        <v>136</v>
      </c>
      <c r="Q44" s="1" t="s">
        <v>137</v>
      </c>
      <c r="U44" s="1">
        <v>0</v>
      </c>
      <c r="V44" s="1">
        <v>39</v>
      </c>
      <c r="W44" s="1">
        <v>30162</v>
      </c>
      <c r="X44" s="1">
        <v>45768</v>
      </c>
      <c r="AK44" s="7"/>
      <c r="AL44" s="7"/>
    </row>
    <row r="45" spans="1:38" x14ac:dyDescent="0.35">
      <c r="A45" s="7">
        <v>2</v>
      </c>
      <c r="B45" s="14">
        <v>0.40763888888888888</v>
      </c>
      <c r="C45" s="21" t="s">
        <v>131</v>
      </c>
      <c r="D45" s="1" t="s">
        <v>132</v>
      </c>
      <c r="E45" s="1">
        <v>94</v>
      </c>
      <c r="F45" s="1" t="s">
        <v>155</v>
      </c>
      <c r="G45" s="1">
        <v>7</v>
      </c>
      <c r="H45" s="1">
        <v>28</v>
      </c>
      <c r="I45" s="1">
        <v>7</v>
      </c>
      <c r="J45" s="1" t="s">
        <v>156</v>
      </c>
      <c r="K45" s="1" t="s">
        <v>156</v>
      </c>
      <c r="L45" s="1" t="s">
        <v>156</v>
      </c>
      <c r="P45" s="1" t="s">
        <v>150</v>
      </c>
      <c r="Q45" s="1" t="s">
        <v>137</v>
      </c>
      <c r="U45" s="1">
        <v>0</v>
      </c>
      <c r="V45" s="1">
        <v>29</v>
      </c>
      <c r="W45" s="1">
        <v>30162</v>
      </c>
      <c r="X45" s="1">
        <v>45768</v>
      </c>
      <c r="AK45" s="7"/>
      <c r="AL45" s="7"/>
    </row>
    <row r="46" spans="1:38" x14ac:dyDescent="0.35">
      <c r="A46" s="7">
        <v>2</v>
      </c>
      <c r="B46" s="15">
        <v>0.3125</v>
      </c>
      <c r="C46" s="21" t="s">
        <v>131</v>
      </c>
      <c r="D46" s="1" t="s">
        <v>149</v>
      </c>
      <c r="E46" s="1">
        <v>24</v>
      </c>
      <c r="F46" s="1" t="s">
        <v>155</v>
      </c>
      <c r="G46" s="1">
        <v>64</v>
      </c>
      <c r="H46" s="1">
        <v>23</v>
      </c>
      <c r="J46" s="1" t="s">
        <v>156</v>
      </c>
      <c r="K46" s="1" t="s">
        <v>156</v>
      </c>
      <c r="M46" s="1" t="s">
        <v>157</v>
      </c>
      <c r="N46" s="1" t="s">
        <v>157</v>
      </c>
      <c r="Q46" s="1" t="s">
        <v>137</v>
      </c>
      <c r="R46" s="1" t="s">
        <v>144</v>
      </c>
      <c r="U46" s="1">
        <v>0</v>
      </c>
      <c r="V46" s="1">
        <v>39</v>
      </c>
      <c r="W46" s="1">
        <v>30162</v>
      </c>
      <c r="X46" s="1">
        <v>45768</v>
      </c>
      <c r="AK46" s="7"/>
      <c r="AL46" s="7"/>
    </row>
    <row r="47" spans="1:38" x14ac:dyDescent="0.35">
      <c r="A47" s="2">
        <v>2</v>
      </c>
      <c r="B47" s="15">
        <v>0.27777777777777779</v>
      </c>
      <c r="C47" s="21" t="s">
        <v>131</v>
      </c>
      <c r="D47" s="1" t="s">
        <v>149</v>
      </c>
      <c r="E47" s="1">
        <v>63</v>
      </c>
      <c r="F47" s="1" t="s">
        <v>133</v>
      </c>
      <c r="G47" s="1">
        <v>55</v>
      </c>
      <c r="H47" s="1">
        <v>46</v>
      </c>
      <c r="J47" s="1" t="s">
        <v>152</v>
      </c>
      <c r="K47" s="1" t="s">
        <v>152</v>
      </c>
      <c r="N47" s="1" t="s">
        <v>140</v>
      </c>
      <c r="P47" s="1" t="s">
        <v>146</v>
      </c>
      <c r="Q47" s="1" t="s">
        <v>141</v>
      </c>
      <c r="R47" s="1" t="s">
        <v>153</v>
      </c>
      <c r="U47" s="1">
        <v>0</v>
      </c>
      <c r="V47" s="1">
        <v>39</v>
      </c>
      <c r="W47" s="1">
        <v>30162</v>
      </c>
      <c r="X47" s="1">
        <v>45768</v>
      </c>
      <c r="AK47" s="7"/>
      <c r="AL47" s="7"/>
    </row>
    <row r="48" spans="1:38" x14ac:dyDescent="0.35">
      <c r="A48" s="7">
        <v>2</v>
      </c>
      <c r="B48" s="14">
        <v>0.27569444444444446</v>
      </c>
      <c r="C48" s="21" t="s">
        <v>131</v>
      </c>
      <c r="D48" s="1" t="s">
        <v>149</v>
      </c>
      <c r="E48" s="1">
        <v>53</v>
      </c>
      <c r="F48" s="1" t="s">
        <v>170</v>
      </c>
      <c r="G48" s="1">
        <v>55</v>
      </c>
      <c r="J48" s="1" t="s">
        <v>169</v>
      </c>
      <c r="P48" s="1" t="s">
        <v>150</v>
      </c>
      <c r="Q48" s="1" t="s">
        <v>137</v>
      </c>
      <c r="U48" s="1">
        <v>0</v>
      </c>
      <c r="AK48" s="7"/>
      <c r="AL48" s="7"/>
    </row>
    <row r="49" spans="1:38" x14ac:dyDescent="0.35">
      <c r="A49" s="7">
        <v>2</v>
      </c>
      <c r="B49" s="15">
        <v>0.26805555555555555</v>
      </c>
      <c r="C49" s="21" t="s">
        <v>131</v>
      </c>
      <c r="D49" s="1" t="s">
        <v>132</v>
      </c>
      <c r="E49" s="1">
        <v>11</v>
      </c>
      <c r="F49" s="1" t="s">
        <v>133</v>
      </c>
      <c r="G49" s="1">
        <v>13</v>
      </c>
      <c r="J49" s="1" t="s">
        <v>156</v>
      </c>
      <c r="M49" s="1" t="s">
        <v>140</v>
      </c>
      <c r="N49" s="1" t="s">
        <v>140</v>
      </c>
      <c r="P49" s="1" t="s">
        <v>150</v>
      </c>
      <c r="Q49" s="1" t="s">
        <v>137</v>
      </c>
      <c r="U49" s="1">
        <v>0</v>
      </c>
      <c r="V49" s="1">
        <v>29</v>
      </c>
      <c r="W49" s="1">
        <v>30162</v>
      </c>
      <c r="X49" s="1">
        <v>45768</v>
      </c>
      <c r="AK49" s="7"/>
      <c r="AL49" s="7"/>
    </row>
    <row r="50" spans="1:38" x14ac:dyDescent="0.35">
      <c r="A50" s="7">
        <v>2</v>
      </c>
      <c r="B50" s="15">
        <v>0.21249999999999999</v>
      </c>
      <c r="C50" s="21" t="s">
        <v>131</v>
      </c>
      <c r="D50" s="1" t="s">
        <v>149</v>
      </c>
      <c r="E50" s="1">
        <v>28</v>
      </c>
      <c r="F50" s="1" t="s">
        <v>158</v>
      </c>
      <c r="G50" s="1">
        <v>95</v>
      </c>
      <c r="H50" s="1">
        <v>91</v>
      </c>
      <c r="I50" s="1">
        <v>28</v>
      </c>
      <c r="J50" s="1" t="s">
        <v>163</v>
      </c>
      <c r="K50" s="1" t="s">
        <v>173</v>
      </c>
      <c r="L50" s="1" t="s">
        <v>134</v>
      </c>
      <c r="N50" s="1" t="s">
        <v>140</v>
      </c>
      <c r="O50" s="1" t="s">
        <v>140</v>
      </c>
      <c r="P50" s="1" t="s">
        <v>136</v>
      </c>
      <c r="Q50" s="1" t="s">
        <v>137</v>
      </c>
      <c r="U50" s="1">
        <v>0</v>
      </c>
      <c r="V50" s="1">
        <v>39</v>
      </c>
      <c r="W50" s="1">
        <v>30162</v>
      </c>
      <c r="X50" s="1">
        <v>45768</v>
      </c>
      <c r="AK50" s="7"/>
      <c r="AL50" s="7"/>
    </row>
    <row r="51" spans="1:38" x14ac:dyDescent="0.35">
      <c r="A51" s="2">
        <v>2</v>
      </c>
      <c r="B51" s="15">
        <v>0.20416666666666666</v>
      </c>
      <c r="C51" s="21" t="s">
        <v>131</v>
      </c>
      <c r="D51" s="1" t="s">
        <v>149</v>
      </c>
      <c r="E51" s="1">
        <v>46</v>
      </c>
      <c r="F51" s="1" t="s">
        <v>155</v>
      </c>
      <c r="G51" s="1">
        <v>64</v>
      </c>
      <c r="J51" s="1" t="s">
        <v>163</v>
      </c>
      <c r="P51" s="1" t="s">
        <v>150</v>
      </c>
      <c r="Q51" s="1" t="s">
        <v>137</v>
      </c>
      <c r="U51" s="1">
        <v>0</v>
      </c>
      <c r="V51" s="1">
        <v>39</v>
      </c>
      <c r="W51" s="1">
        <v>30162</v>
      </c>
      <c r="X51" s="1">
        <v>45768</v>
      </c>
      <c r="AK51" s="7"/>
      <c r="AL51" s="7"/>
    </row>
    <row r="52" spans="1:38" x14ac:dyDescent="0.35">
      <c r="A52" s="7">
        <v>2</v>
      </c>
      <c r="B52" s="14">
        <v>0.19375000000000001</v>
      </c>
      <c r="C52" s="21" t="s">
        <v>162</v>
      </c>
      <c r="D52" s="1" t="s">
        <v>149</v>
      </c>
      <c r="E52" s="1">
        <v>95</v>
      </c>
      <c r="F52" s="1" t="s">
        <v>172</v>
      </c>
      <c r="G52" s="1">
        <v>24</v>
      </c>
      <c r="H52" s="1">
        <v>96</v>
      </c>
      <c r="I52" s="1">
        <v>24</v>
      </c>
      <c r="J52" s="1" t="s">
        <v>134</v>
      </c>
      <c r="K52" s="1" t="s">
        <v>134</v>
      </c>
      <c r="L52" s="1" t="s">
        <v>134</v>
      </c>
      <c r="M52" s="1" t="s">
        <v>157</v>
      </c>
      <c r="N52" s="1" t="s">
        <v>157</v>
      </c>
      <c r="Q52" s="1" t="s">
        <v>137</v>
      </c>
      <c r="R52" s="1" t="s">
        <v>144</v>
      </c>
      <c r="U52" s="1">
        <v>0</v>
      </c>
      <c r="V52" s="1">
        <v>39</v>
      </c>
      <c r="W52" s="1">
        <v>30162</v>
      </c>
      <c r="X52" s="1">
        <v>45768</v>
      </c>
      <c r="AK52" s="7"/>
      <c r="AL52" s="7"/>
    </row>
    <row r="53" spans="1:38" x14ac:dyDescent="0.35">
      <c r="A53" s="7">
        <v>2</v>
      </c>
      <c r="B53" s="14">
        <v>0.19236111111111112</v>
      </c>
      <c r="C53" s="21" t="s">
        <v>162</v>
      </c>
      <c r="D53" s="1" t="s">
        <v>149</v>
      </c>
      <c r="E53" s="1">
        <v>95</v>
      </c>
      <c r="F53" s="1" t="s">
        <v>146</v>
      </c>
      <c r="M53" s="1" t="s">
        <v>140</v>
      </c>
      <c r="N53" s="1" t="s">
        <v>140</v>
      </c>
      <c r="Q53" s="1" t="s">
        <v>137</v>
      </c>
      <c r="R53" s="1" t="s">
        <v>144</v>
      </c>
      <c r="U53" s="1">
        <v>0</v>
      </c>
      <c r="V53" s="1">
        <v>39</v>
      </c>
      <c r="W53" s="1">
        <v>30162</v>
      </c>
      <c r="X53" s="1">
        <v>45768</v>
      </c>
      <c r="AK53" s="7"/>
      <c r="AL53" s="7"/>
    </row>
    <row r="54" spans="1:38" x14ac:dyDescent="0.35">
      <c r="A54" s="2">
        <v>2</v>
      </c>
      <c r="B54" s="15">
        <v>0.17569444444444443</v>
      </c>
      <c r="C54" s="21" t="s">
        <v>162</v>
      </c>
      <c r="D54" s="1" t="s">
        <v>149</v>
      </c>
      <c r="E54" s="1">
        <v>24</v>
      </c>
      <c r="F54" s="1" t="s">
        <v>170</v>
      </c>
      <c r="G54" s="1">
        <v>55</v>
      </c>
      <c r="H54" s="1">
        <v>53</v>
      </c>
      <c r="J54" s="1" t="s">
        <v>156</v>
      </c>
      <c r="K54" s="1" t="s">
        <v>156</v>
      </c>
      <c r="P54" s="1" t="s">
        <v>146</v>
      </c>
      <c r="Q54" s="1" t="s">
        <v>141</v>
      </c>
      <c r="U54" s="1">
        <v>0</v>
      </c>
      <c r="V54" s="1">
        <v>39</v>
      </c>
      <c r="W54" s="1">
        <v>30162</v>
      </c>
      <c r="X54" s="1">
        <v>45768</v>
      </c>
      <c r="AK54" s="7"/>
      <c r="AL54" s="7"/>
    </row>
    <row r="55" spans="1:38" x14ac:dyDescent="0.35">
      <c r="A55" s="7">
        <v>2</v>
      </c>
      <c r="B55" s="15">
        <v>0.14930555555555555</v>
      </c>
      <c r="C55" s="21" t="s">
        <v>174</v>
      </c>
      <c r="D55" s="1" t="s">
        <v>132</v>
      </c>
      <c r="E55" s="1">
        <v>17</v>
      </c>
      <c r="F55" s="1" t="s">
        <v>133</v>
      </c>
      <c r="G55" s="1">
        <v>25</v>
      </c>
      <c r="J55" s="1" t="s">
        <v>134</v>
      </c>
      <c r="M55" s="1" t="s">
        <v>140</v>
      </c>
      <c r="N55" s="1" t="s">
        <v>140</v>
      </c>
      <c r="P55" s="1" t="s">
        <v>146</v>
      </c>
      <c r="Q55" s="1" t="s">
        <v>141</v>
      </c>
      <c r="S55" s="1" t="s">
        <v>175</v>
      </c>
      <c r="U55" s="1">
        <v>0</v>
      </c>
      <c r="V55" s="1">
        <v>29</v>
      </c>
      <c r="W55" s="1">
        <v>30162</v>
      </c>
      <c r="X55" s="1">
        <v>45768</v>
      </c>
      <c r="AK55" s="7"/>
      <c r="AL55" s="7"/>
    </row>
    <row r="56" spans="1:38" x14ac:dyDescent="0.35">
      <c r="A56" s="7">
        <v>2</v>
      </c>
      <c r="B56" s="15">
        <v>0.1423611111111111</v>
      </c>
      <c r="C56" s="21" t="s">
        <v>162</v>
      </c>
      <c r="D56" s="1" t="s">
        <v>149</v>
      </c>
      <c r="E56" s="1">
        <v>95</v>
      </c>
      <c r="F56" s="1" t="s">
        <v>133</v>
      </c>
      <c r="G56" s="1">
        <v>24</v>
      </c>
      <c r="H56" s="1">
        <v>55</v>
      </c>
      <c r="J56" s="1" t="s">
        <v>156</v>
      </c>
      <c r="K56" s="1" t="s">
        <v>176</v>
      </c>
      <c r="N56" s="1" t="s">
        <v>140</v>
      </c>
      <c r="U56" s="1">
        <v>0</v>
      </c>
      <c r="V56" s="1">
        <v>39</v>
      </c>
      <c r="W56" s="1">
        <v>30162</v>
      </c>
      <c r="X56" s="1">
        <v>45768</v>
      </c>
      <c r="AK56" s="7"/>
      <c r="AL56" s="7"/>
    </row>
    <row r="57" spans="1:38" x14ac:dyDescent="0.35">
      <c r="A57" s="7">
        <v>2</v>
      </c>
      <c r="B57" s="14">
        <v>0.13263888888888889</v>
      </c>
      <c r="C57" s="21" t="s">
        <v>162</v>
      </c>
      <c r="D57" s="1" t="s">
        <v>149</v>
      </c>
      <c r="E57" s="1">
        <v>53</v>
      </c>
      <c r="F57" s="1" t="s">
        <v>172</v>
      </c>
      <c r="G57" s="1">
        <v>64</v>
      </c>
      <c r="H57" s="1">
        <v>23</v>
      </c>
      <c r="J57" s="1" t="s">
        <v>156</v>
      </c>
      <c r="K57" s="1" t="s">
        <v>139</v>
      </c>
      <c r="U57" s="1">
        <v>0</v>
      </c>
      <c r="V57" s="1">
        <v>39</v>
      </c>
      <c r="W57" s="1">
        <v>30162</v>
      </c>
      <c r="X57" s="1">
        <v>45768</v>
      </c>
      <c r="AK57" s="7"/>
      <c r="AL57" s="7"/>
    </row>
    <row r="58" spans="1:38" x14ac:dyDescent="0.35">
      <c r="A58" s="7">
        <v>2</v>
      </c>
      <c r="B58" s="14">
        <v>0.13125000000000001</v>
      </c>
      <c r="C58" s="21" t="s">
        <v>162</v>
      </c>
      <c r="D58" s="1" t="s">
        <v>149</v>
      </c>
      <c r="E58" s="1">
        <v>53</v>
      </c>
      <c r="F58" s="1" t="s">
        <v>167</v>
      </c>
      <c r="G58" s="1">
        <v>96</v>
      </c>
      <c r="J58" s="1" t="s">
        <v>134</v>
      </c>
      <c r="U58" s="1">
        <v>0</v>
      </c>
      <c r="V58" s="1">
        <v>39</v>
      </c>
      <c r="W58" s="1">
        <v>30162</v>
      </c>
      <c r="X58" s="1">
        <v>45768</v>
      </c>
      <c r="AK58" s="7"/>
      <c r="AL58" s="7"/>
    </row>
    <row r="59" spans="1:38" x14ac:dyDescent="0.35">
      <c r="A59" s="2">
        <v>2</v>
      </c>
      <c r="B59" s="15">
        <v>0.12361111111111112</v>
      </c>
      <c r="C59" s="21" t="s">
        <v>162</v>
      </c>
      <c r="D59" s="1" t="s">
        <v>149</v>
      </c>
      <c r="E59" s="1">
        <v>14</v>
      </c>
      <c r="F59" s="1" t="s">
        <v>167</v>
      </c>
      <c r="G59" s="1">
        <v>53</v>
      </c>
      <c r="H59" s="1">
        <v>96</v>
      </c>
      <c r="J59" s="1" t="s">
        <v>156</v>
      </c>
      <c r="K59" s="1" t="s">
        <v>156</v>
      </c>
      <c r="M59" s="1" t="s">
        <v>157</v>
      </c>
      <c r="N59" s="1" t="s">
        <v>157</v>
      </c>
      <c r="U59" s="1">
        <v>0</v>
      </c>
      <c r="V59" s="1">
        <v>39</v>
      </c>
      <c r="W59" s="1">
        <v>30162</v>
      </c>
      <c r="X59" s="1">
        <v>45768</v>
      </c>
      <c r="AK59" s="7"/>
      <c r="AL59" s="7"/>
    </row>
    <row r="60" spans="1:38" x14ac:dyDescent="0.35">
      <c r="A60" s="2">
        <v>2</v>
      </c>
      <c r="B60" s="15">
        <v>6.25E-2</v>
      </c>
      <c r="C60" s="21" t="s">
        <v>162</v>
      </c>
      <c r="D60" s="1" t="s">
        <v>149</v>
      </c>
      <c r="E60" s="1">
        <v>23</v>
      </c>
      <c r="F60" s="1" t="s">
        <v>167</v>
      </c>
      <c r="G60" s="1">
        <v>64</v>
      </c>
      <c r="H60" s="1">
        <v>23</v>
      </c>
      <c r="J60" s="1" t="s">
        <v>138</v>
      </c>
      <c r="K60" s="1" t="s">
        <v>139</v>
      </c>
      <c r="N60" s="1" t="s">
        <v>157</v>
      </c>
      <c r="O60" s="1" t="s">
        <v>157</v>
      </c>
      <c r="U60" s="1">
        <v>0</v>
      </c>
      <c r="V60" s="1">
        <v>39</v>
      </c>
      <c r="W60" s="1">
        <v>30162</v>
      </c>
      <c r="X60" s="1">
        <v>45768</v>
      </c>
      <c r="AK60" s="7"/>
      <c r="AL60" s="7"/>
    </row>
    <row r="61" spans="1:38" x14ac:dyDescent="0.35">
      <c r="A61" s="2">
        <v>2</v>
      </c>
      <c r="B61" s="15">
        <v>3.4722222222222224E-2</v>
      </c>
      <c r="C61" s="21" t="s">
        <v>131</v>
      </c>
      <c r="D61" s="1" t="s">
        <v>149</v>
      </c>
      <c r="E61" s="1">
        <v>27</v>
      </c>
      <c r="F61" s="1" t="s">
        <v>158</v>
      </c>
      <c r="G61" s="1">
        <v>18</v>
      </c>
      <c r="H61" s="1">
        <v>23</v>
      </c>
      <c r="J61" s="1" t="s">
        <v>138</v>
      </c>
      <c r="K61" s="1" t="s">
        <v>165</v>
      </c>
      <c r="P61" s="1" t="s">
        <v>146</v>
      </c>
      <c r="Q61" s="1" t="s">
        <v>141</v>
      </c>
      <c r="R61" s="1" t="s">
        <v>142</v>
      </c>
      <c r="U61" s="1">
        <v>0</v>
      </c>
      <c r="V61" s="1">
        <v>39</v>
      </c>
      <c r="W61" s="1">
        <v>30162</v>
      </c>
      <c r="X61" s="1">
        <v>45768</v>
      </c>
      <c r="AK61" s="7"/>
      <c r="AL61" s="7"/>
    </row>
    <row r="62" spans="1:38" x14ac:dyDescent="0.35">
      <c r="A62" s="2">
        <v>2</v>
      </c>
      <c r="B62" s="15">
        <v>2.2222222222222223E-2</v>
      </c>
      <c r="C62" s="21" t="s">
        <v>131</v>
      </c>
      <c r="D62" s="1" t="s">
        <v>132</v>
      </c>
      <c r="E62" s="1">
        <v>25</v>
      </c>
      <c r="F62" s="1" t="s">
        <v>164</v>
      </c>
      <c r="G62" s="1">
        <v>62</v>
      </c>
      <c r="H62" s="1">
        <v>49</v>
      </c>
      <c r="I62" s="1">
        <v>29</v>
      </c>
      <c r="J62" s="1" t="s">
        <v>156</v>
      </c>
      <c r="K62" s="1" t="s">
        <v>156</v>
      </c>
      <c r="L62" s="1" t="s">
        <v>166</v>
      </c>
      <c r="M62" s="1" t="s">
        <v>140</v>
      </c>
      <c r="N62" s="1" t="s">
        <v>140</v>
      </c>
      <c r="P62" s="1" t="s">
        <v>146</v>
      </c>
      <c r="Q62" s="1" t="s">
        <v>141</v>
      </c>
      <c r="R62" s="1" t="s">
        <v>153</v>
      </c>
      <c r="T62" s="1" t="s">
        <v>140</v>
      </c>
      <c r="U62" s="1">
        <v>0</v>
      </c>
      <c r="V62" s="1">
        <v>29</v>
      </c>
      <c r="W62" s="1">
        <v>30162</v>
      </c>
      <c r="X62" s="1">
        <v>45768</v>
      </c>
      <c r="AK62" s="7"/>
      <c r="AL62" s="7"/>
    </row>
    <row r="63" spans="1:38" x14ac:dyDescent="0.35">
      <c r="A63" s="2">
        <v>3</v>
      </c>
      <c r="B63" s="15">
        <v>1.3888888888888889E-3</v>
      </c>
      <c r="C63" s="21" t="s">
        <v>131</v>
      </c>
      <c r="D63" s="1" t="s">
        <v>149</v>
      </c>
      <c r="E63" s="1">
        <v>55</v>
      </c>
      <c r="F63" s="1" t="s">
        <v>133</v>
      </c>
      <c r="G63" s="1">
        <v>63</v>
      </c>
      <c r="J63" s="1" t="s">
        <v>138</v>
      </c>
      <c r="Q63" s="1" t="s">
        <v>137</v>
      </c>
      <c r="R63" s="1" t="s">
        <v>144</v>
      </c>
      <c r="U63" s="1">
        <v>-1</v>
      </c>
      <c r="V63" s="1">
        <v>39</v>
      </c>
      <c r="W63" s="1">
        <v>30162</v>
      </c>
      <c r="X63" s="1">
        <v>45768</v>
      </c>
      <c r="AK63" s="7"/>
      <c r="AL63" s="7"/>
    </row>
    <row r="64" spans="1:38" x14ac:dyDescent="0.35">
      <c r="A64" s="2">
        <v>3</v>
      </c>
      <c r="B64" s="15">
        <v>0.69444444444444442</v>
      </c>
      <c r="C64" s="21" t="s">
        <v>131</v>
      </c>
      <c r="D64" s="1" t="s">
        <v>149</v>
      </c>
      <c r="E64" s="1">
        <v>14</v>
      </c>
      <c r="F64" s="1" t="s">
        <v>133</v>
      </c>
      <c r="M64" s="1" t="s">
        <v>140</v>
      </c>
      <c r="N64" s="1" t="s">
        <v>140</v>
      </c>
      <c r="P64" s="1" t="s">
        <v>150</v>
      </c>
      <c r="Q64" s="1" t="s">
        <v>137</v>
      </c>
      <c r="U64" s="1">
        <v>-1</v>
      </c>
      <c r="V64" s="1">
        <v>39</v>
      </c>
      <c r="W64" s="1">
        <v>30162</v>
      </c>
      <c r="X64" s="1">
        <v>45768</v>
      </c>
      <c r="AK64" s="7"/>
      <c r="AL64" s="7"/>
    </row>
    <row r="65" spans="1:38" x14ac:dyDescent="0.35">
      <c r="A65" s="2">
        <v>3</v>
      </c>
      <c r="B65" s="15">
        <v>0.69374999999999998</v>
      </c>
      <c r="C65" s="21" t="s">
        <v>131</v>
      </c>
      <c r="D65" s="1" t="s">
        <v>149</v>
      </c>
      <c r="E65" s="1">
        <v>14</v>
      </c>
      <c r="F65" s="1" t="s">
        <v>146</v>
      </c>
      <c r="M65" s="1" t="s">
        <v>140</v>
      </c>
      <c r="N65" s="1" t="s">
        <v>140</v>
      </c>
      <c r="P65" s="1" t="s">
        <v>150</v>
      </c>
      <c r="Q65" s="1" t="s">
        <v>137</v>
      </c>
      <c r="U65" s="1">
        <v>-1</v>
      </c>
      <c r="V65" s="1">
        <v>39</v>
      </c>
      <c r="W65" s="1">
        <v>30162</v>
      </c>
      <c r="X65" s="1">
        <v>45768</v>
      </c>
      <c r="AK65" s="7"/>
      <c r="AL65" s="7"/>
    </row>
    <row r="66" spans="1:38" x14ac:dyDescent="0.35">
      <c r="A66" s="2">
        <v>3</v>
      </c>
      <c r="B66" s="15">
        <v>0.62638888888888888</v>
      </c>
      <c r="C66" s="21" t="s">
        <v>131</v>
      </c>
      <c r="D66" s="1" t="s">
        <v>132</v>
      </c>
      <c r="E66" s="1">
        <v>8</v>
      </c>
      <c r="F66" s="1" t="s">
        <v>133</v>
      </c>
      <c r="G66" s="1">
        <v>17</v>
      </c>
      <c r="J66" s="1" t="s">
        <v>177</v>
      </c>
      <c r="N66" s="1" t="s">
        <v>140</v>
      </c>
      <c r="O66" s="1" t="s">
        <v>140</v>
      </c>
      <c r="P66" s="1" t="s">
        <v>150</v>
      </c>
      <c r="Q66" s="1" t="s">
        <v>137</v>
      </c>
      <c r="U66" s="1">
        <v>-1</v>
      </c>
      <c r="V66" s="1">
        <v>29</v>
      </c>
      <c r="W66" s="1">
        <v>30162</v>
      </c>
      <c r="X66" s="1">
        <v>45768</v>
      </c>
      <c r="AK66" s="7"/>
      <c r="AL66" s="7"/>
    </row>
    <row r="67" spans="1:38" x14ac:dyDescent="0.35">
      <c r="A67" s="2">
        <v>3</v>
      </c>
      <c r="B67" s="15">
        <v>0.61111111111111116</v>
      </c>
      <c r="C67" s="23" t="s">
        <v>131</v>
      </c>
      <c r="D67" s="1" t="s">
        <v>132</v>
      </c>
      <c r="E67" s="1">
        <v>42</v>
      </c>
      <c r="F67" s="1" t="s">
        <v>133</v>
      </c>
      <c r="G67" s="1">
        <v>10</v>
      </c>
      <c r="H67" s="1">
        <v>28</v>
      </c>
      <c r="J67" s="1" t="s">
        <v>134</v>
      </c>
      <c r="K67" s="1" t="s">
        <v>152</v>
      </c>
      <c r="N67" s="1" t="s">
        <v>140</v>
      </c>
      <c r="P67" s="1" t="s">
        <v>146</v>
      </c>
      <c r="Q67" s="1" t="s">
        <v>141</v>
      </c>
      <c r="R67" s="1" t="s">
        <v>153</v>
      </c>
      <c r="U67" s="1">
        <v>-1</v>
      </c>
      <c r="V67" s="1">
        <v>29</v>
      </c>
      <c r="W67" s="1">
        <v>30162</v>
      </c>
      <c r="X67" s="1">
        <v>45768</v>
      </c>
      <c r="AK67" s="7"/>
      <c r="AL67" s="7"/>
    </row>
    <row r="68" spans="1:38" x14ac:dyDescent="0.35">
      <c r="A68" s="2">
        <v>3</v>
      </c>
      <c r="B68" s="15">
        <v>0.50069444444444444</v>
      </c>
      <c r="C68" s="21" t="s">
        <v>131</v>
      </c>
      <c r="D68" s="1" t="s">
        <v>132</v>
      </c>
      <c r="E68" s="1">
        <v>62</v>
      </c>
      <c r="F68" s="1" t="s">
        <v>155</v>
      </c>
      <c r="G68" s="1">
        <v>29</v>
      </c>
      <c r="J68" s="1" t="s">
        <v>134</v>
      </c>
      <c r="M68" s="1" t="s">
        <v>157</v>
      </c>
      <c r="N68" s="1" t="s">
        <v>157</v>
      </c>
      <c r="P68" s="1" t="s">
        <v>146</v>
      </c>
      <c r="Q68" s="1" t="s">
        <v>141</v>
      </c>
      <c r="R68" s="1" t="s">
        <v>161</v>
      </c>
      <c r="U68" s="1">
        <v>-1</v>
      </c>
      <c r="V68" s="1">
        <v>29</v>
      </c>
      <c r="W68" s="1">
        <v>30162</v>
      </c>
      <c r="X68" s="1">
        <v>45768</v>
      </c>
      <c r="AK68" s="7"/>
      <c r="AL68" s="7"/>
    </row>
    <row r="69" spans="1:38" x14ac:dyDescent="0.35">
      <c r="A69" s="2">
        <v>3</v>
      </c>
      <c r="B69" s="15">
        <v>0.45763888888888887</v>
      </c>
      <c r="C69" s="21" t="s">
        <v>131</v>
      </c>
      <c r="D69" s="1" t="s">
        <v>132</v>
      </c>
      <c r="E69" s="1">
        <v>8</v>
      </c>
      <c r="F69" s="1" t="s">
        <v>133</v>
      </c>
      <c r="N69" s="1" t="s">
        <v>140</v>
      </c>
      <c r="Q69" s="1" t="s">
        <v>137</v>
      </c>
      <c r="R69" s="1" t="s">
        <v>144</v>
      </c>
      <c r="U69" s="1">
        <v>-1</v>
      </c>
      <c r="V69" s="1">
        <v>29</v>
      </c>
      <c r="W69" s="1">
        <v>30162</v>
      </c>
      <c r="X69" s="1">
        <v>45768</v>
      </c>
      <c r="AK69" s="7"/>
      <c r="AL69" s="7"/>
    </row>
    <row r="70" spans="1:38" x14ac:dyDescent="0.35">
      <c r="A70" s="2">
        <v>3</v>
      </c>
      <c r="B70" s="15">
        <v>0.4513888888888889</v>
      </c>
      <c r="C70" s="21" t="s">
        <v>131</v>
      </c>
      <c r="D70" s="1" t="s">
        <v>149</v>
      </c>
      <c r="E70" s="1">
        <v>24</v>
      </c>
      <c r="F70" s="1" t="s">
        <v>164</v>
      </c>
      <c r="G70" s="1">
        <v>96</v>
      </c>
      <c r="J70" s="1" t="s">
        <v>156</v>
      </c>
      <c r="M70" s="1" t="s">
        <v>140</v>
      </c>
      <c r="N70" s="1" t="s">
        <v>140</v>
      </c>
      <c r="P70" s="1" t="s">
        <v>150</v>
      </c>
      <c r="Q70" s="1" t="s">
        <v>137</v>
      </c>
      <c r="U70" s="1">
        <v>-1</v>
      </c>
      <c r="V70" s="1">
        <v>39</v>
      </c>
      <c r="W70" s="1">
        <v>30162</v>
      </c>
      <c r="X70" s="1">
        <v>45768</v>
      </c>
      <c r="AK70" s="7"/>
      <c r="AL70" s="7"/>
    </row>
    <row r="71" spans="1:38" x14ac:dyDescent="0.35">
      <c r="A71" s="2">
        <v>3</v>
      </c>
      <c r="B71" s="15">
        <v>0.40972222222222221</v>
      </c>
      <c r="C71" s="21" t="s">
        <v>131</v>
      </c>
      <c r="D71" s="1" t="s">
        <v>149</v>
      </c>
      <c r="E71" s="1">
        <v>53</v>
      </c>
      <c r="F71" s="1" t="s">
        <v>133</v>
      </c>
      <c r="P71" s="1" t="s">
        <v>150</v>
      </c>
      <c r="Q71" s="1" t="s">
        <v>137</v>
      </c>
      <c r="U71" s="1">
        <v>-1</v>
      </c>
      <c r="V71" s="1">
        <v>39</v>
      </c>
      <c r="W71" s="1">
        <v>30162</v>
      </c>
      <c r="X71" s="1">
        <v>45768</v>
      </c>
      <c r="AK71" s="7"/>
      <c r="AL71" s="7"/>
    </row>
    <row r="72" spans="1:38" x14ac:dyDescent="0.35">
      <c r="A72" s="2">
        <v>3</v>
      </c>
      <c r="B72" s="15">
        <v>0.40694444444444444</v>
      </c>
      <c r="C72" s="21" t="s">
        <v>131</v>
      </c>
      <c r="D72" s="1" t="s">
        <v>149</v>
      </c>
      <c r="E72" s="1">
        <v>63</v>
      </c>
      <c r="F72" s="1" t="s">
        <v>146</v>
      </c>
      <c r="M72" s="1" t="s">
        <v>140</v>
      </c>
      <c r="N72" s="1" t="s">
        <v>140</v>
      </c>
      <c r="P72" s="1" t="s">
        <v>150</v>
      </c>
      <c r="Q72" s="1" t="s">
        <v>137</v>
      </c>
      <c r="T72" s="1" t="s">
        <v>140</v>
      </c>
      <c r="U72" s="1">
        <v>-1</v>
      </c>
      <c r="V72" s="1">
        <v>39</v>
      </c>
      <c r="W72" s="1">
        <v>30162</v>
      </c>
      <c r="X72" s="1">
        <v>45768</v>
      </c>
      <c r="AK72" s="7"/>
      <c r="AL72" s="7"/>
    </row>
    <row r="73" spans="1:38" x14ac:dyDescent="0.35">
      <c r="A73" s="2">
        <v>3</v>
      </c>
      <c r="B73" s="15">
        <v>0.38541666666666669</v>
      </c>
      <c r="C73" s="21" t="s">
        <v>131</v>
      </c>
      <c r="D73" s="1" t="s">
        <v>132</v>
      </c>
      <c r="E73" s="1">
        <v>17</v>
      </c>
      <c r="F73" s="1" t="s">
        <v>133</v>
      </c>
      <c r="G73" s="1">
        <v>18</v>
      </c>
      <c r="H73" s="1">
        <v>55</v>
      </c>
      <c r="J73" s="1" t="s">
        <v>165</v>
      </c>
      <c r="K73" s="1" t="s">
        <v>152</v>
      </c>
      <c r="N73" s="1" t="s">
        <v>140</v>
      </c>
      <c r="P73" s="1" t="s">
        <v>146</v>
      </c>
      <c r="Q73" s="1" t="s">
        <v>141</v>
      </c>
      <c r="R73" s="1" t="s">
        <v>153</v>
      </c>
      <c r="U73" s="1">
        <v>0</v>
      </c>
      <c r="V73" s="1">
        <v>29</v>
      </c>
      <c r="W73" s="1">
        <v>30162</v>
      </c>
      <c r="X73" s="1">
        <v>45768</v>
      </c>
      <c r="AK73" s="7"/>
      <c r="AL73" s="7"/>
    </row>
    <row r="74" spans="1:38" x14ac:dyDescent="0.35">
      <c r="A74" s="2">
        <v>3</v>
      </c>
      <c r="B74" s="15">
        <v>0.32569444444444445</v>
      </c>
      <c r="C74" s="21" t="s">
        <v>131</v>
      </c>
      <c r="D74" s="1" t="s">
        <v>149</v>
      </c>
      <c r="E74" s="1">
        <v>95</v>
      </c>
      <c r="F74" s="1" t="s">
        <v>133</v>
      </c>
      <c r="G74" s="1">
        <v>27</v>
      </c>
      <c r="J74" s="1" t="s">
        <v>134</v>
      </c>
      <c r="N74" s="1" t="s">
        <v>140</v>
      </c>
      <c r="P74" s="1" t="s">
        <v>150</v>
      </c>
      <c r="Q74" s="1" t="s">
        <v>137</v>
      </c>
      <c r="U74" s="1">
        <v>0</v>
      </c>
      <c r="V74" s="1">
        <v>39</v>
      </c>
      <c r="W74" s="1">
        <v>30162</v>
      </c>
      <c r="X74" s="1">
        <v>45768</v>
      </c>
      <c r="AK74" s="7"/>
      <c r="AL74" s="7"/>
    </row>
    <row r="75" spans="1:38" x14ac:dyDescent="0.35">
      <c r="A75" s="2">
        <v>3</v>
      </c>
      <c r="B75" s="15">
        <v>0.32361111111111113</v>
      </c>
      <c r="C75" s="21" t="s">
        <v>131</v>
      </c>
      <c r="D75" s="1" t="s">
        <v>149</v>
      </c>
      <c r="E75" s="1">
        <v>91</v>
      </c>
      <c r="F75" s="1" t="s">
        <v>146</v>
      </c>
      <c r="M75" s="1" t="s">
        <v>140</v>
      </c>
      <c r="N75" s="1" t="s">
        <v>140</v>
      </c>
      <c r="P75" s="1" t="s">
        <v>150</v>
      </c>
      <c r="Q75" s="1" t="s">
        <v>137</v>
      </c>
      <c r="U75" s="1">
        <v>0</v>
      </c>
      <c r="V75" s="1">
        <v>39</v>
      </c>
      <c r="W75" s="1">
        <v>30162</v>
      </c>
      <c r="X75" s="1">
        <v>45768</v>
      </c>
      <c r="AK75" s="7"/>
      <c r="AL75" s="7"/>
    </row>
    <row r="76" spans="1:38" x14ac:dyDescent="0.35">
      <c r="A76" s="2">
        <v>3</v>
      </c>
      <c r="B76" s="15">
        <v>0.26319444444444445</v>
      </c>
      <c r="C76" s="21" t="s">
        <v>131</v>
      </c>
      <c r="D76" s="1" t="s">
        <v>149</v>
      </c>
      <c r="E76" s="1">
        <v>14</v>
      </c>
      <c r="F76" s="1" t="s">
        <v>155</v>
      </c>
      <c r="G76" s="1">
        <v>53</v>
      </c>
      <c r="J76" s="1" t="s">
        <v>134</v>
      </c>
      <c r="M76" s="1" t="s">
        <v>157</v>
      </c>
      <c r="P76" s="1" t="s">
        <v>150</v>
      </c>
      <c r="Q76" s="1" t="s">
        <v>137</v>
      </c>
      <c r="U76" s="1">
        <v>0</v>
      </c>
      <c r="V76" s="1">
        <v>39</v>
      </c>
      <c r="W76" s="1">
        <v>30162</v>
      </c>
      <c r="X76" s="1">
        <v>45768</v>
      </c>
      <c r="AK76" s="7"/>
      <c r="AL76" s="7"/>
    </row>
    <row r="77" spans="1:38" x14ac:dyDescent="0.35">
      <c r="A77" s="2">
        <v>3</v>
      </c>
      <c r="B77" s="15">
        <v>0.26111111111111113</v>
      </c>
      <c r="C77" s="21" t="s">
        <v>131</v>
      </c>
      <c r="D77" s="1" t="s">
        <v>149</v>
      </c>
      <c r="E77" s="1">
        <v>53</v>
      </c>
      <c r="F77" s="1" t="s">
        <v>155</v>
      </c>
      <c r="N77" s="1" t="s">
        <v>140</v>
      </c>
      <c r="P77" s="1" t="s">
        <v>150</v>
      </c>
      <c r="Q77" s="1" t="s">
        <v>137</v>
      </c>
      <c r="U77" s="1">
        <v>0</v>
      </c>
      <c r="V77" s="1">
        <v>39</v>
      </c>
      <c r="W77" s="1">
        <v>30162</v>
      </c>
      <c r="X77" s="1">
        <v>45768</v>
      </c>
      <c r="AK77" s="7"/>
      <c r="AL77" s="7"/>
    </row>
    <row r="78" spans="1:38" x14ac:dyDescent="0.35">
      <c r="A78" s="2">
        <v>3</v>
      </c>
      <c r="B78" s="15">
        <v>0.22500000000000001</v>
      </c>
      <c r="C78" s="21" t="s">
        <v>131</v>
      </c>
      <c r="D78" s="1" t="s">
        <v>149</v>
      </c>
      <c r="E78" s="1">
        <v>46</v>
      </c>
      <c r="F78" s="1" t="s">
        <v>133</v>
      </c>
      <c r="G78" s="1">
        <v>15</v>
      </c>
      <c r="J78" s="1" t="s">
        <v>163</v>
      </c>
      <c r="N78" s="1" t="s">
        <v>140</v>
      </c>
      <c r="P78" s="1" t="s">
        <v>150</v>
      </c>
      <c r="Q78" s="1" t="s">
        <v>137</v>
      </c>
      <c r="U78" s="1">
        <v>0</v>
      </c>
      <c r="V78" s="1">
        <v>39</v>
      </c>
      <c r="W78" s="1">
        <v>30162</v>
      </c>
      <c r="X78" s="1">
        <v>45768</v>
      </c>
      <c r="AK78" s="7"/>
      <c r="AL78" s="7"/>
    </row>
    <row r="79" spans="1:38" x14ac:dyDescent="0.35">
      <c r="A79" s="2">
        <v>3</v>
      </c>
      <c r="B79" s="15">
        <v>0.21388888888888888</v>
      </c>
      <c r="C79" s="21" t="s">
        <v>131</v>
      </c>
      <c r="D79" s="1" t="s">
        <v>132</v>
      </c>
      <c r="E79" s="1">
        <v>27</v>
      </c>
      <c r="F79" s="1" t="s">
        <v>133</v>
      </c>
      <c r="G79" s="1">
        <v>13</v>
      </c>
      <c r="J79" s="1" t="s">
        <v>165</v>
      </c>
      <c r="N79" s="1" t="s">
        <v>140</v>
      </c>
      <c r="P79" s="1" t="s">
        <v>146</v>
      </c>
      <c r="Q79" s="1" t="s">
        <v>141</v>
      </c>
      <c r="R79" s="1" t="s">
        <v>153</v>
      </c>
      <c r="U79" s="1">
        <v>0</v>
      </c>
      <c r="V79" s="1">
        <v>29</v>
      </c>
      <c r="W79" s="1">
        <v>30162</v>
      </c>
      <c r="X79" s="1">
        <v>45768</v>
      </c>
      <c r="AK79" s="7"/>
      <c r="AL79" s="7"/>
    </row>
    <row r="80" spans="1:38" x14ac:dyDescent="0.35">
      <c r="A80" s="2">
        <v>3</v>
      </c>
      <c r="B80" s="15">
        <v>0.20277777777777778</v>
      </c>
      <c r="C80" s="21" t="s">
        <v>131</v>
      </c>
      <c r="D80" s="1" t="s">
        <v>149</v>
      </c>
      <c r="E80" s="1">
        <v>96</v>
      </c>
      <c r="F80" s="1" t="s">
        <v>133</v>
      </c>
      <c r="G80" s="1">
        <v>64</v>
      </c>
      <c r="J80" s="1" t="s">
        <v>139</v>
      </c>
      <c r="M80" s="1" t="s">
        <v>140</v>
      </c>
      <c r="N80" s="1" t="s">
        <v>140</v>
      </c>
      <c r="Q80" s="1" t="s">
        <v>137</v>
      </c>
      <c r="R80" s="1" t="s">
        <v>144</v>
      </c>
      <c r="U80" s="1">
        <v>0</v>
      </c>
      <c r="V80" s="1">
        <v>39</v>
      </c>
      <c r="W80" s="1">
        <v>30162</v>
      </c>
      <c r="X80" s="1">
        <v>45768</v>
      </c>
      <c r="AK80" s="7"/>
      <c r="AL80" s="7"/>
    </row>
    <row r="81" spans="1:38" x14ac:dyDescent="0.35">
      <c r="A81" s="2">
        <v>3</v>
      </c>
      <c r="B81" s="15">
        <v>2.4305555555555556E-2</v>
      </c>
      <c r="C81" s="21" t="s">
        <v>162</v>
      </c>
      <c r="D81" s="1" t="s">
        <v>132</v>
      </c>
      <c r="E81" s="1">
        <v>29</v>
      </c>
      <c r="F81" s="1" t="s">
        <v>155</v>
      </c>
      <c r="G81" s="1">
        <v>8</v>
      </c>
      <c r="J81" s="1" t="s">
        <v>139</v>
      </c>
      <c r="U81" s="1">
        <v>0</v>
      </c>
      <c r="V81" s="1">
        <v>29</v>
      </c>
      <c r="W81" s="1">
        <v>30162</v>
      </c>
      <c r="X81" s="1">
        <v>45768</v>
      </c>
      <c r="AK81" s="7"/>
      <c r="AL81" s="7"/>
    </row>
    <row r="82" spans="1:38" x14ac:dyDescent="0.35">
      <c r="A82" s="2">
        <v>3</v>
      </c>
      <c r="B82" s="15">
        <v>9.7222222222222224E-3</v>
      </c>
      <c r="C82" s="21" t="s">
        <v>162</v>
      </c>
      <c r="D82" s="1" t="s">
        <v>132</v>
      </c>
      <c r="E82" s="1">
        <v>88</v>
      </c>
      <c r="F82" s="1" t="s">
        <v>133</v>
      </c>
      <c r="G82" s="1">
        <v>8</v>
      </c>
      <c r="H82" s="1">
        <v>27</v>
      </c>
      <c r="I82" s="1">
        <v>88</v>
      </c>
      <c r="J82" s="1" t="s">
        <v>134</v>
      </c>
      <c r="K82" s="1" t="s">
        <v>163</v>
      </c>
      <c r="L82" s="1" t="s">
        <v>134</v>
      </c>
      <c r="M82" s="1" t="s">
        <v>140</v>
      </c>
      <c r="N82" s="1" t="s">
        <v>140</v>
      </c>
      <c r="U82" s="1">
        <v>0</v>
      </c>
      <c r="V82" s="1">
        <v>29</v>
      </c>
      <c r="W82" s="1">
        <v>30162</v>
      </c>
      <c r="X82" s="1">
        <v>45768</v>
      </c>
      <c r="AK82" s="7"/>
      <c r="AL82" s="7"/>
    </row>
    <row r="83" spans="1:38" x14ac:dyDescent="0.35">
      <c r="A83" s="2">
        <v>4</v>
      </c>
      <c r="B83" s="15">
        <v>0.81805555555555554</v>
      </c>
      <c r="C83" s="21" t="s">
        <v>162</v>
      </c>
      <c r="D83" s="1" t="s">
        <v>132</v>
      </c>
      <c r="E83" s="1">
        <v>88</v>
      </c>
      <c r="F83" s="1" t="s">
        <v>158</v>
      </c>
      <c r="G83" s="1">
        <v>8</v>
      </c>
      <c r="H83" s="1">
        <v>27</v>
      </c>
      <c r="J83" s="1" t="s">
        <v>134</v>
      </c>
      <c r="K83" s="1" t="s">
        <v>163</v>
      </c>
      <c r="N83" s="1" t="s">
        <v>140</v>
      </c>
      <c r="O83" s="1" t="s">
        <v>140</v>
      </c>
      <c r="U83" s="1">
        <v>0</v>
      </c>
      <c r="V83" s="1">
        <v>29</v>
      </c>
      <c r="W83" s="1">
        <v>30162</v>
      </c>
      <c r="X83" s="1">
        <v>45768</v>
      </c>
      <c r="AK83" s="7"/>
      <c r="AL83" s="7"/>
    </row>
    <row r="84" spans="1:38" x14ac:dyDescent="0.35">
      <c r="A84" s="2">
        <v>4</v>
      </c>
      <c r="B84" s="15">
        <v>0.8</v>
      </c>
      <c r="C84" s="21" t="s">
        <v>131</v>
      </c>
      <c r="D84" s="1" t="s">
        <v>149</v>
      </c>
      <c r="E84" s="1">
        <v>24</v>
      </c>
      <c r="F84" s="1" t="s">
        <v>133</v>
      </c>
      <c r="G84" s="1">
        <v>63</v>
      </c>
      <c r="H84" s="1">
        <v>29</v>
      </c>
      <c r="J84" s="1" t="s">
        <v>152</v>
      </c>
      <c r="K84" s="1" t="s">
        <v>152</v>
      </c>
      <c r="P84" s="1" t="s">
        <v>146</v>
      </c>
      <c r="Q84" s="1" t="s">
        <v>141</v>
      </c>
      <c r="R84" s="1" t="s">
        <v>153</v>
      </c>
      <c r="U84" s="1">
        <v>0</v>
      </c>
      <c r="V84" s="1">
        <v>39</v>
      </c>
      <c r="W84" s="1">
        <v>30162</v>
      </c>
      <c r="X84" s="1">
        <v>45768</v>
      </c>
      <c r="AK84" s="7"/>
      <c r="AL84" s="7"/>
    </row>
    <row r="85" spans="1:38" x14ac:dyDescent="0.35">
      <c r="A85" s="2">
        <v>4</v>
      </c>
      <c r="B85" s="15">
        <v>0.75277777777777777</v>
      </c>
      <c r="C85" s="21" t="s">
        <v>131</v>
      </c>
      <c r="D85" s="1" t="s">
        <v>149</v>
      </c>
      <c r="E85" s="1">
        <v>27</v>
      </c>
      <c r="F85" s="1" t="s">
        <v>170</v>
      </c>
      <c r="G85" s="1">
        <v>91</v>
      </c>
      <c r="H85" s="1">
        <v>95</v>
      </c>
      <c r="J85" s="1" t="s">
        <v>151</v>
      </c>
      <c r="K85" s="1" t="s">
        <v>134</v>
      </c>
      <c r="M85" s="1" t="s">
        <v>140</v>
      </c>
      <c r="N85" s="1" t="s">
        <v>140</v>
      </c>
      <c r="P85" s="1" t="s">
        <v>146</v>
      </c>
      <c r="Q85" s="1" t="s">
        <v>141</v>
      </c>
      <c r="R85" s="1" t="s">
        <v>142</v>
      </c>
      <c r="U85" s="1">
        <v>0</v>
      </c>
      <c r="V85" s="1">
        <v>39</v>
      </c>
      <c r="W85" s="1">
        <v>30162</v>
      </c>
      <c r="X85" s="1">
        <v>45768</v>
      </c>
      <c r="AK85" s="7"/>
      <c r="AL85" s="7"/>
    </row>
    <row r="86" spans="1:38" x14ac:dyDescent="0.35">
      <c r="A86" s="2">
        <v>4</v>
      </c>
      <c r="B86" s="15">
        <v>0.74236111111111114</v>
      </c>
      <c r="C86" s="21" t="s">
        <v>131</v>
      </c>
      <c r="D86" s="1" t="s">
        <v>149</v>
      </c>
      <c r="E86" s="1">
        <v>14</v>
      </c>
      <c r="F86" s="1" t="s">
        <v>170</v>
      </c>
      <c r="G86" s="1">
        <v>53</v>
      </c>
      <c r="J86" s="1" t="s">
        <v>169</v>
      </c>
      <c r="P86" s="1" t="s">
        <v>136</v>
      </c>
      <c r="Q86" s="1" t="s">
        <v>137</v>
      </c>
      <c r="U86" s="1">
        <v>0</v>
      </c>
      <c r="V86" s="1">
        <v>39</v>
      </c>
      <c r="W86" s="1">
        <v>30162</v>
      </c>
      <c r="X86" s="1">
        <v>45768</v>
      </c>
      <c r="AK86" s="7"/>
      <c r="AL86" s="7"/>
    </row>
    <row r="87" spans="1:38" x14ac:dyDescent="0.35">
      <c r="A87" s="2">
        <v>4</v>
      </c>
      <c r="B87" s="15">
        <v>0.71736111111111112</v>
      </c>
      <c r="C87" s="21" t="s">
        <v>131</v>
      </c>
      <c r="D87" s="1" t="s">
        <v>132</v>
      </c>
      <c r="E87" s="1">
        <v>29</v>
      </c>
      <c r="F87" s="1" t="s">
        <v>133</v>
      </c>
      <c r="G87" s="1">
        <v>29</v>
      </c>
      <c r="H87" s="1">
        <v>88</v>
      </c>
      <c r="I87" s="1">
        <v>29</v>
      </c>
      <c r="J87" s="1" t="s">
        <v>156</v>
      </c>
      <c r="K87" s="1" t="s">
        <v>156</v>
      </c>
      <c r="L87" s="1" t="s">
        <v>156</v>
      </c>
      <c r="N87" s="1" t="s">
        <v>140</v>
      </c>
      <c r="P87" s="1" t="s">
        <v>136</v>
      </c>
      <c r="Q87" s="1" t="s">
        <v>141</v>
      </c>
      <c r="R87" s="1" t="s">
        <v>142</v>
      </c>
      <c r="U87" s="1">
        <v>0</v>
      </c>
      <c r="V87" s="1">
        <v>29</v>
      </c>
      <c r="W87" s="1">
        <v>30162</v>
      </c>
      <c r="X87" s="1">
        <v>45768</v>
      </c>
      <c r="AK87" s="7"/>
      <c r="AL87" s="7"/>
    </row>
    <row r="88" spans="1:38" x14ac:dyDescent="0.35">
      <c r="A88" s="2">
        <v>4</v>
      </c>
      <c r="B88" s="15">
        <v>0.67638888888888893</v>
      </c>
      <c r="C88" s="21" t="s">
        <v>131</v>
      </c>
      <c r="D88" s="1" t="s">
        <v>149</v>
      </c>
      <c r="E88" s="1">
        <v>23</v>
      </c>
      <c r="F88" s="1" t="s">
        <v>133</v>
      </c>
      <c r="N88" s="1" t="s">
        <v>140</v>
      </c>
      <c r="P88" s="1" t="s">
        <v>150</v>
      </c>
      <c r="Q88" s="1" t="s">
        <v>137</v>
      </c>
      <c r="U88" s="1">
        <v>0</v>
      </c>
      <c r="V88" s="1">
        <v>39</v>
      </c>
      <c r="W88" s="1">
        <v>30162</v>
      </c>
      <c r="X88" s="1">
        <v>45768</v>
      </c>
      <c r="AK88" s="7"/>
      <c r="AL88" s="7"/>
    </row>
    <row r="89" spans="1:38" x14ac:dyDescent="0.35">
      <c r="A89" s="2">
        <v>4</v>
      </c>
      <c r="B89" s="15">
        <v>0.63541666666666663</v>
      </c>
      <c r="C89" s="21" t="s">
        <v>131</v>
      </c>
      <c r="D89" s="1" t="s">
        <v>149</v>
      </c>
      <c r="E89" s="1">
        <v>27</v>
      </c>
      <c r="F89" s="1" t="s">
        <v>133</v>
      </c>
      <c r="G89" s="1">
        <v>91</v>
      </c>
      <c r="J89" s="1" t="s">
        <v>134</v>
      </c>
      <c r="P89" s="1" t="s">
        <v>146</v>
      </c>
      <c r="Q89" s="1" t="s">
        <v>141</v>
      </c>
      <c r="R89" s="1" t="s">
        <v>161</v>
      </c>
      <c r="U89" s="1">
        <v>0</v>
      </c>
      <c r="V89" s="1">
        <v>39</v>
      </c>
      <c r="W89" s="1">
        <v>30162</v>
      </c>
      <c r="X89" s="1">
        <v>45768</v>
      </c>
      <c r="AK89" s="7"/>
      <c r="AL89" s="7"/>
    </row>
    <row r="90" spans="1:38" x14ac:dyDescent="0.35">
      <c r="A90" s="2">
        <v>4</v>
      </c>
      <c r="B90" s="15">
        <v>0.53472222222222221</v>
      </c>
      <c r="C90" s="21" t="s">
        <v>131</v>
      </c>
      <c r="D90" s="1" t="s">
        <v>132</v>
      </c>
      <c r="E90" s="1">
        <v>13</v>
      </c>
      <c r="F90" s="1" t="s">
        <v>133</v>
      </c>
      <c r="N90" s="1" t="s">
        <v>140</v>
      </c>
      <c r="P90" s="1" t="s">
        <v>146</v>
      </c>
      <c r="Q90" s="1" t="s">
        <v>147</v>
      </c>
      <c r="R90" s="1" t="s">
        <v>160</v>
      </c>
      <c r="U90" s="1">
        <v>0</v>
      </c>
      <c r="V90" s="1">
        <v>29</v>
      </c>
      <c r="W90" s="1">
        <v>30162</v>
      </c>
      <c r="X90" s="1">
        <v>45768</v>
      </c>
      <c r="AK90" s="7"/>
      <c r="AL90" s="7"/>
    </row>
    <row r="91" spans="1:38" x14ac:dyDescent="0.35">
      <c r="A91" s="2">
        <v>4</v>
      </c>
      <c r="B91" s="15">
        <v>0.50555555555555554</v>
      </c>
      <c r="C91" s="21" t="s">
        <v>131</v>
      </c>
      <c r="D91" s="1" t="s">
        <v>149</v>
      </c>
      <c r="E91" s="1">
        <v>55</v>
      </c>
      <c r="F91" s="1" t="s">
        <v>155</v>
      </c>
      <c r="G91" s="1">
        <v>53</v>
      </c>
      <c r="J91" s="1" t="s">
        <v>171</v>
      </c>
      <c r="P91" s="1" t="s">
        <v>150</v>
      </c>
      <c r="Q91" s="1" t="s">
        <v>137</v>
      </c>
      <c r="U91" s="1">
        <v>0</v>
      </c>
      <c r="V91" s="1">
        <v>39</v>
      </c>
      <c r="W91" s="1">
        <v>30162</v>
      </c>
      <c r="X91" s="1">
        <v>45768</v>
      </c>
      <c r="AK91" s="7"/>
      <c r="AL91" s="7"/>
    </row>
    <row r="92" spans="1:38" x14ac:dyDescent="0.35">
      <c r="A92" s="2">
        <v>4</v>
      </c>
      <c r="B92" s="15">
        <v>0.39097222222222222</v>
      </c>
      <c r="C92" s="21" t="s">
        <v>131</v>
      </c>
      <c r="D92" s="1" t="s">
        <v>132</v>
      </c>
      <c r="E92" s="1">
        <v>29</v>
      </c>
      <c r="F92" s="1" t="s">
        <v>133</v>
      </c>
      <c r="G92" s="1">
        <v>88</v>
      </c>
      <c r="J92" s="1" t="s">
        <v>166</v>
      </c>
      <c r="N92" s="1" t="s">
        <v>140</v>
      </c>
      <c r="P92" s="1" t="s">
        <v>146</v>
      </c>
      <c r="Q92" s="1" t="s">
        <v>141</v>
      </c>
      <c r="R92" s="1" t="s">
        <v>153</v>
      </c>
      <c r="U92" s="1">
        <v>0</v>
      </c>
      <c r="V92" s="1">
        <v>29</v>
      </c>
      <c r="W92" s="1">
        <v>30162</v>
      </c>
      <c r="X92" s="1">
        <v>45768</v>
      </c>
      <c r="AK92" s="7"/>
      <c r="AL92" s="7"/>
    </row>
    <row r="93" spans="1:38" x14ac:dyDescent="0.35">
      <c r="A93" s="2">
        <v>4</v>
      </c>
      <c r="B93" s="15">
        <v>0.33055555555555555</v>
      </c>
      <c r="C93" s="21" t="s">
        <v>131</v>
      </c>
      <c r="D93" s="1" t="s">
        <v>132</v>
      </c>
      <c r="E93" s="1">
        <v>18</v>
      </c>
      <c r="F93" s="1" t="s">
        <v>133</v>
      </c>
      <c r="G93" s="1">
        <v>17</v>
      </c>
      <c r="J93" s="1" t="s">
        <v>139</v>
      </c>
      <c r="N93" s="1" t="s">
        <v>140</v>
      </c>
      <c r="P93" s="1" t="s">
        <v>146</v>
      </c>
      <c r="Q93" s="1" t="s">
        <v>141</v>
      </c>
      <c r="R93" s="1" t="s">
        <v>153</v>
      </c>
      <c r="U93" s="1">
        <v>0</v>
      </c>
      <c r="V93" s="1">
        <v>29</v>
      </c>
      <c r="W93" s="1">
        <v>30162</v>
      </c>
      <c r="X93" s="1">
        <v>45768</v>
      </c>
      <c r="AK93" s="7"/>
      <c r="AL93" s="7"/>
    </row>
    <row r="94" spans="1:38" x14ac:dyDescent="0.35">
      <c r="A94" s="2">
        <v>4</v>
      </c>
      <c r="B94" s="15">
        <v>0.25486111111111109</v>
      </c>
      <c r="C94" s="21" t="s">
        <v>131</v>
      </c>
      <c r="D94" s="1" t="s">
        <v>149</v>
      </c>
      <c r="E94" s="1">
        <v>46</v>
      </c>
      <c r="F94" s="1" t="s">
        <v>158</v>
      </c>
      <c r="G94" s="1">
        <v>63</v>
      </c>
      <c r="J94" s="1" t="s">
        <v>163</v>
      </c>
      <c r="P94" s="1" t="s">
        <v>136</v>
      </c>
      <c r="Q94" s="1" t="s">
        <v>137</v>
      </c>
      <c r="U94" s="1">
        <v>0</v>
      </c>
      <c r="V94" s="1">
        <v>39</v>
      </c>
      <c r="W94" s="1">
        <v>30162</v>
      </c>
      <c r="X94" s="1">
        <v>45768</v>
      </c>
      <c r="AK94" s="7"/>
      <c r="AL94" s="7"/>
    </row>
    <row r="95" spans="1:38" x14ac:dyDescent="0.35">
      <c r="A95" s="2">
        <v>4</v>
      </c>
      <c r="B95" s="15">
        <v>0.25277777777777777</v>
      </c>
      <c r="C95" s="21" t="s">
        <v>131</v>
      </c>
      <c r="D95" s="1" t="s">
        <v>149</v>
      </c>
      <c r="E95" s="1">
        <v>53</v>
      </c>
      <c r="F95" s="1" t="s">
        <v>170</v>
      </c>
      <c r="G95" s="1">
        <v>23</v>
      </c>
      <c r="J95" s="1" t="s">
        <v>169</v>
      </c>
      <c r="M95" s="1" t="s">
        <v>140</v>
      </c>
      <c r="N95" s="1" t="s">
        <v>140</v>
      </c>
      <c r="P95" s="1" t="s">
        <v>150</v>
      </c>
      <c r="Q95" s="1" t="s">
        <v>137</v>
      </c>
      <c r="U95" s="1">
        <v>0</v>
      </c>
      <c r="V95" s="1">
        <v>39</v>
      </c>
      <c r="W95" s="1">
        <v>30162</v>
      </c>
      <c r="X95" s="1">
        <v>45768</v>
      </c>
      <c r="AK95" s="7"/>
      <c r="AL95" s="7"/>
    </row>
    <row r="96" spans="1:38" x14ac:dyDescent="0.35">
      <c r="A96" s="2">
        <v>4</v>
      </c>
      <c r="B96" s="15">
        <v>0.24305555555555555</v>
      </c>
      <c r="C96" s="21" t="s">
        <v>131</v>
      </c>
      <c r="D96" s="1" t="s">
        <v>132</v>
      </c>
      <c r="E96" s="1">
        <v>62</v>
      </c>
      <c r="F96" s="1" t="s">
        <v>133</v>
      </c>
      <c r="G96" s="1">
        <v>88</v>
      </c>
      <c r="H96" s="1">
        <v>29</v>
      </c>
      <c r="J96" s="1" t="s">
        <v>151</v>
      </c>
      <c r="K96" s="1" t="s">
        <v>134</v>
      </c>
      <c r="M96" s="1" t="s">
        <v>140</v>
      </c>
      <c r="N96" s="1" t="s">
        <v>140</v>
      </c>
      <c r="P96" s="1" t="s">
        <v>146</v>
      </c>
      <c r="Q96" s="1" t="s">
        <v>141</v>
      </c>
      <c r="R96" s="1" t="s">
        <v>153</v>
      </c>
      <c r="U96" s="1">
        <v>0</v>
      </c>
      <c r="V96" s="1">
        <v>29</v>
      </c>
      <c r="W96" s="1">
        <v>30162</v>
      </c>
      <c r="X96" s="1">
        <v>45768</v>
      </c>
      <c r="AK96" s="7"/>
      <c r="AL96" s="7"/>
    </row>
    <row r="97" spans="1:38" x14ac:dyDescent="0.35">
      <c r="A97" s="2">
        <v>4</v>
      </c>
      <c r="B97" s="15">
        <v>0.22222222222222221</v>
      </c>
      <c r="C97" s="21" t="s">
        <v>131</v>
      </c>
      <c r="D97" s="1" t="s">
        <v>132</v>
      </c>
      <c r="E97" s="1">
        <v>8</v>
      </c>
      <c r="F97" s="1" t="s">
        <v>155</v>
      </c>
      <c r="G97" s="1">
        <v>7</v>
      </c>
      <c r="J97" s="1" t="s">
        <v>156</v>
      </c>
      <c r="N97" s="1" t="s">
        <v>157</v>
      </c>
      <c r="O97" s="1" t="s">
        <v>157</v>
      </c>
      <c r="Q97" s="1" t="s">
        <v>137</v>
      </c>
      <c r="R97" s="1" t="s">
        <v>144</v>
      </c>
      <c r="U97" s="1">
        <v>0</v>
      </c>
      <c r="V97" s="1">
        <v>29</v>
      </c>
      <c r="W97" s="1">
        <v>30162</v>
      </c>
      <c r="X97" s="1">
        <v>45768</v>
      </c>
      <c r="AK97" s="7"/>
      <c r="AL97" s="7"/>
    </row>
    <row r="98" spans="1:38" x14ac:dyDescent="0.35">
      <c r="A98" s="2">
        <v>4</v>
      </c>
      <c r="B98" s="15">
        <v>0.21180555555555555</v>
      </c>
      <c r="C98" s="21" t="s">
        <v>131</v>
      </c>
      <c r="D98" s="1" t="s">
        <v>149</v>
      </c>
      <c r="E98" s="1">
        <v>91</v>
      </c>
      <c r="F98" s="1" t="s">
        <v>133</v>
      </c>
      <c r="M98" s="1" t="s">
        <v>140</v>
      </c>
      <c r="N98" s="1" t="s">
        <v>140</v>
      </c>
      <c r="P98" s="1" t="s">
        <v>150</v>
      </c>
      <c r="Q98" s="1" t="s">
        <v>137</v>
      </c>
      <c r="U98" s="1">
        <v>0</v>
      </c>
      <c r="V98" s="1">
        <v>39</v>
      </c>
      <c r="W98" s="1">
        <v>30162</v>
      </c>
      <c r="X98" s="1">
        <v>45768</v>
      </c>
      <c r="AK98" s="7"/>
      <c r="AL98" s="7"/>
    </row>
    <row r="99" spans="1:38" x14ac:dyDescent="0.35">
      <c r="A99" s="2">
        <v>4</v>
      </c>
      <c r="B99" s="15">
        <v>0.19583333333333333</v>
      </c>
      <c r="C99" s="21" t="s">
        <v>131</v>
      </c>
      <c r="D99" s="1" t="s">
        <v>149</v>
      </c>
      <c r="E99" s="1">
        <v>64</v>
      </c>
      <c r="F99" s="1" t="s">
        <v>178</v>
      </c>
      <c r="G99" s="1">
        <v>55</v>
      </c>
      <c r="J99" s="1" t="s">
        <v>169</v>
      </c>
      <c r="P99" s="1" t="s">
        <v>136</v>
      </c>
      <c r="Q99" s="1" t="s">
        <v>137</v>
      </c>
      <c r="U99" s="1">
        <v>0</v>
      </c>
      <c r="V99" s="1">
        <v>39</v>
      </c>
      <c r="W99" s="1">
        <v>30162</v>
      </c>
      <c r="X99" s="1">
        <v>45768</v>
      </c>
      <c r="AK99" s="7"/>
      <c r="AL99" s="7"/>
    </row>
    <row r="100" spans="1:38" x14ac:dyDescent="0.35">
      <c r="A100" s="2">
        <v>4</v>
      </c>
      <c r="B100" s="15">
        <v>0.18819444444444444</v>
      </c>
      <c r="C100" s="21" t="s">
        <v>131</v>
      </c>
      <c r="D100" s="1" t="s">
        <v>132</v>
      </c>
      <c r="E100" s="1">
        <v>13</v>
      </c>
      <c r="F100" s="1" t="s">
        <v>133</v>
      </c>
      <c r="N100" s="1" t="s">
        <v>140</v>
      </c>
      <c r="P100" s="1" t="s">
        <v>136</v>
      </c>
      <c r="Q100" s="1" t="s">
        <v>141</v>
      </c>
      <c r="R100" s="1" t="s">
        <v>153</v>
      </c>
      <c r="U100" s="1">
        <v>0</v>
      </c>
      <c r="V100" s="1">
        <v>29</v>
      </c>
      <c r="W100" s="1">
        <v>30162</v>
      </c>
      <c r="X100" s="1">
        <v>45768</v>
      </c>
      <c r="AK100" s="7"/>
      <c r="AL100" s="7"/>
    </row>
    <row r="101" spans="1:38" x14ac:dyDescent="0.35">
      <c r="A101" s="2">
        <v>4</v>
      </c>
      <c r="B101" s="15">
        <v>0.16527777777777777</v>
      </c>
      <c r="C101" s="21" t="s">
        <v>131</v>
      </c>
      <c r="D101" s="1" t="s">
        <v>132</v>
      </c>
      <c r="E101" s="1">
        <v>6</v>
      </c>
      <c r="F101" s="1" t="s">
        <v>155</v>
      </c>
      <c r="G101" s="1">
        <v>18</v>
      </c>
      <c r="J101" s="1" t="s">
        <v>163</v>
      </c>
      <c r="N101" s="1" t="s">
        <v>157</v>
      </c>
      <c r="O101" s="1" t="s">
        <v>157</v>
      </c>
      <c r="P101" s="1" t="s">
        <v>150</v>
      </c>
      <c r="Q101" s="1" t="s">
        <v>137</v>
      </c>
      <c r="U101" s="1">
        <v>0</v>
      </c>
      <c r="V101" s="1">
        <v>29</v>
      </c>
      <c r="W101" s="1">
        <v>30162</v>
      </c>
      <c r="X101" s="1">
        <v>45768</v>
      </c>
      <c r="AK101" s="7"/>
      <c r="AL101" s="7"/>
    </row>
    <row r="102" spans="1:38" x14ac:dyDescent="0.35">
      <c r="A102" s="2">
        <v>4</v>
      </c>
      <c r="B102" s="15">
        <v>0.13958333333333334</v>
      </c>
      <c r="C102" s="21" t="s">
        <v>131</v>
      </c>
      <c r="D102" s="1" t="s">
        <v>149</v>
      </c>
      <c r="E102" s="1">
        <v>44</v>
      </c>
      <c r="F102" s="1" t="s">
        <v>133</v>
      </c>
      <c r="P102" s="1" t="s">
        <v>150</v>
      </c>
      <c r="Q102" s="1" t="s">
        <v>137</v>
      </c>
      <c r="U102" s="1">
        <v>0</v>
      </c>
      <c r="V102" s="1">
        <v>39</v>
      </c>
      <c r="W102" s="1">
        <v>30162</v>
      </c>
      <c r="X102" s="1">
        <v>45768</v>
      </c>
      <c r="AK102" s="7"/>
      <c r="AL102" s="7"/>
    </row>
    <row r="103" spans="1:38" x14ac:dyDescent="0.35">
      <c r="A103" s="2">
        <v>4</v>
      </c>
      <c r="B103" s="15">
        <v>9.2361111111111116E-2</v>
      </c>
      <c r="C103" s="21" t="s">
        <v>131</v>
      </c>
      <c r="D103" s="1" t="s">
        <v>149</v>
      </c>
      <c r="E103" s="1">
        <v>15</v>
      </c>
      <c r="F103" s="1" t="s">
        <v>155</v>
      </c>
      <c r="M103" s="1" t="s">
        <v>140</v>
      </c>
      <c r="N103" s="1" t="s">
        <v>140</v>
      </c>
      <c r="O103" s="1" t="s">
        <v>140</v>
      </c>
      <c r="P103" s="1" t="s">
        <v>146</v>
      </c>
      <c r="Q103" s="1" t="s">
        <v>147</v>
      </c>
      <c r="R103" s="1" t="s">
        <v>160</v>
      </c>
      <c r="U103" s="1">
        <v>0</v>
      </c>
      <c r="V103" s="1">
        <v>39</v>
      </c>
      <c r="W103" s="1">
        <v>30162</v>
      </c>
      <c r="X103" s="1">
        <v>45768</v>
      </c>
      <c r="AK103" s="7"/>
      <c r="AL103" s="7"/>
    </row>
    <row r="104" spans="1:38" x14ac:dyDescent="0.35">
      <c r="A104" s="2">
        <v>4</v>
      </c>
      <c r="B104" s="15">
        <v>9.2361111111111116E-2</v>
      </c>
      <c r="C104" s="21" t="s">
        <v>131</v>
      </c>
      <c r="D104" s="1" t="s">
        <v>149</v>
      </c>
      <c r="E104" s="1">
        <v>15</v>
      </c>
      <c r="F104" s="1" t="s">
        <v>146</v>
      </c>
      <c r="M104" s="1" t="s">
        <v>140</v>
      </c>
      <c r="N104" s="1" t="s">
        <v>140</v>
      </c>
      <c r="P104" s="1" t="s">
        <v>146</v>
      </c>
      <c r="Q104" s="1" t="s">
        <v>147</v>
      </c>
      <c r="R104" s="1" t="s">
        <v>160</v>
      </c>
      <c r="T104" s="1" t="s">
        <v>140</v>
      </c>
      <c r="U104" s="1">
        <v>0</v>
      </c>
      <c r="V104" s="1">
        <v>39</v>
      </c>
      <c r="W104" s="1">
        <v>30162</v>
      </c>
      <c r="X104" s="1">
        <v>45768</v>
      </c>
      <c r="AK104" s="7"/>
      <c r="AL104" s="7"/>
    </row>
    <row r="105" spans="1:38" x14ac:dyDescent="0.35">
      <c r="A105" s="2">
        <v>1</v>
      </c>
      <c r="B105" s="15">
        <v>0.82986111111111116</v>
      </c>
      <c r="C105" s="21" t="s">
        <v>131</v>
      </c>
      <c r="Y105" s="16" t="s">
        <v>179</v>
      </c>
      <c r="Z105" s="16" t="s">
        <v>180</v>
      </c>
      <c r="AA105" s="16" t="s">
        <v>181</v>
      </c>
      <c r="AC105" s="16" t="s">
        <v>182</v>
      </c>
      <c r="AD105" s="16" t="s">
        <v>181</v>
      </c>
      <c r="AE105" s="16" t="s">
        <v>181</v>
      </c>
      <c r="AF105" s="5" t="s">
        <v>183</v>
      </c>
      <c r="AG105" s="5" t="s">
        <v>184</v>
      </c>
      <c r="AH105" s="5" t="s">
        <v>181</v>
      </c>
      <c r="AI105" s="5" t="s">
        <v>185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0.81597222222222221</v>
      </c>
      <c r="C106" s="21" t="s">
        <v>131</v>
      </c>
      <c r="Y106" s="16" t="s">
        <v>187</v>
      </c>
      <c r="Z106" s="16" t="s">
        <v>185</v>
      </c>
      <c r="AA106" s="16" t="s">
        <v>188</v>
      </c>
      <c r="AB106" s="16" t="s">
        <v>157</v>
      </c>
      <c r="AC106" s="16" t="s">
        <v>189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0.79236111111111107</v>
      </c>
      <c r="C107" s="21" t="s">
        <v>131</v>
      </c>
      <c r="Y107" s="16" t="s">
        <v>187</v>
      </c>
      <c r="Z107" s="16" t="s">
        <v>190</v>
      </c>
      <c r="AA107" s="16" t="s">
        <v>191</v>
      </c>
      <c r="AB107" s="16" t="s">
        <v>181</v>
      </c>
      <c r="AC107" s="16" t="s">
        <v>182</v>
      </c>
      <c r="AD107" s="16" t="s">
        <v>181</v>
      </c>
      <c r="AE107" s="16" t="s">
        <v>181</v>
      </c>
      <c r="AF107" s="5" t="s">
        <v>192</v>
      </c>
      <c r="AG107" s="5" t="s">
        <v>184</v>
      </c>
      <c r="AH107" s="5" t="s">
        <v>181</v>
      </c>
      <c r="AI107" s="5" t="s">
        <v>193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0.77638888888888891</v>
      </c>
      <c r="C108" s="21" t="s">
        <v>131</v>
      </c>
      <c r="AF108" s="5" t="s">
        <v>195</v>
      </c>
      <c r="AG108" s="5" t="s">
        <v>184</v>
      </c>
      <c r="AH108" s="5" t="s">
        <v>181</v>
      </c>
      <c r="AI108" s="5" t="s">
        <v>196</v>
      </c>
      <c r="AJ108" s="5" t="s">
        <v>197</v>
      </c>
      <c r="AK108" s="7"/>
      <c r="AL108" s="7"/>
    </row>
    <row r="109" spans="1:38" x14ac:dyDescent="0.35">
      <c r="A109" s="2">
        <v>1</v>
      </c>
      <c r="B109" s="15">
        <v>0.77222222222222225</v>
      </c>
      <c r="C109" s="21" t="s">
        <v>131</v>
      </c>
      <c r="Y109" s="16" t="s">
        <v>179</v>
      </c>
      <c r="Z109" s="16" t="s">
        <v>198</v>
      </c>
      <c r="AA109" s="16" t="s">
        <v>181</v>
      </c>
      <c r="AC109" s="16" t="s">
        <v>189</v>
      </c>
      <c r="AD109" s="16" t="s">
        <v>181</v>
      </c>
      <c r="AE109" s="16" t="s">
        <v>181</v>
      </c>
      <c r="AF109" s="5" t="s">
        <v>199</v>
      </c>
      <c r="AG109" s="5" t="s">
        <v>184</v>
      </c>
      <c r="AH109" s="5" t="s">
        <v>181</v>
      </c>
      <c r="AI109" s="5" t="s">
        <v>191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0.76597222222222228</v>
      </c>
      <c r="C110" s="21" t="s">
        <v>131</v>
      </c>
      <c r="Y110" s="16" t="s">
        <v>187</v>
      </c>
      <c r="Z110" s="16" t="s">
        <v>190</v>
      </c>
      <c r="AA110" s="16" t="s">
        <v>191</v>
      </c>
      <c r="AB110" s="16" t="s">
        <v>157</v>
      </c>
      <c r="AC110" s="16" t="s">
        <v>182</v>
      </c>
      <c r="AD110" s="16" t="s">
        <v>181</v>
      </c>
      <c r="AE110" s="16" t="s">
        <v>157</v>
      </c>
      <c r="AK110" s="7"/>
      <c r="AL110" s="7"/>
    </row>
    <row r="111" spans="1:38" x14ac:dyDescent="0.35">
      <c r="A111" s="2">
        <v>1</v>
      </c>
      <c r="B111" s="15">
        <v>0.75555555555555554</v>
      </c>
      <c r="C111" s="21" t="s">
        <v>131</v>
      </c>
      <c r="Y111" s="16" t="s">
        <v>179</v>
      </c>
      <c r="Z111" s="16" t="s">
        <v>200</v>
      </c>
      <c r="AA111" s="16" t="s">
        <v>181</v>
      </c>
      <c r="AC111" s="16" t="s">
        <v>182</v>
      </c>
      <c r="AD111" s="16" t="s">
        <v>181</v>
      </c>
      <c r="AE111" s="16" t="s">
        <v>181</v>
      </c>
      <c r="AF111" s="5" t="s">
        <v>199</v>
      </c>
      <c r="AG111" s="5" t="s">
        <v>184</v>
      </c>
      <c r="AH111" s="5" t="s">
        <v>181</v>
      </c>
      <c r="AI111" s="5" t="s">
        <v>201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0.74861111111111112</v>
      </c>
      <c r="C112" s="21" t="s">
        <v>131</v>
      </c>
      <c r="Y112" s="16" t="s">
        <v>179</v>
      </c>
      <c r="Z112" s="16" t="s">
        <v>202</v>
      </c>
      <c r="AA112" s="16" t="s">
        <v>181</v>
      </c>
      <c r="AC112" s="16" t="s">
        <v>187</v>
      </c>
      <c r="AD112" s="16" t="s">
        <v>181</v>
      </c>
      <c r="AE112" s="16" t="s">
        <v>181</v>
      </c>
      <c r="AF112" s="5" t="s">
        <v>203</v>
      </c>
      <c r="AG112" s="5" t="s">
        <v>184</v>
      </c>
      <c r="AH112" s="5" t="s">
        <v>181</v>
      </c>
      <c r="AI112" s="5" t="s">
        <v>200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0.74305555555555558</v>
      </c>
      <c r="C113" s="21" t="s">
        <v>131</v>
      </c>
      <c r="AF113" s="5" t="s">
        <v>201</v>
      </c>
      <c r="AG113" s="5" t="s">
        <v>184</v>
      </c>
      <c r="AH113" s="5" t="s">
        <v>204</v>
      </c>
      <c r="AI113" s="5" t="s">
        <v>202</v>
      </c>
      <c r="AJ113" s="5" t="s">
        <v>197</v>
      </c>
      <c r="AK113" s="7"/>
      <c r="AL113" s="7"/>
    </row>
    <row r="114" spans="1:38" x14ac:dyDescent="0.35">
      <c r="A114" s="2">
        <v>1</v>
      </c>
      <c r="B114" s="15">
        <v>0.73958333333333337</v>
      </c>
      <c r="C114" s="21" t="s">
        <v>131</v>
      </c>
      <c r="Y114" s="16" t="s">
        <v>205</v>
      </c>
      <c r="Z114" s="16" t="s">
        <v>206</v>
      </c>
      <c r="AA114" s="16" t="s">
        <v>196</v>
      </c>
      <c r="AC114" s="16" t="s">
        <v>187</v>
      </c>
      <c r="AD114" s="16" t="s">
        <v>181</v>
      </c>
      <c r="AE114" s="16" t="s">
        <v>181</v>
      </c>
      <c r="AK114" s="7"/>
      <c r="AL114" s="7"/>
    </row>
    <row r="115" spans="1:38" x14ac:dyDescent="0.35">
      <c r="A115" s="2">
        <v>1</v>
      </c>
      <c r="B115" s="15">
        <v>0.7270833333333333</v>
      </c>
      <c r="C115" s="21" t="s">
        <v>131</v>
      </c>
      <c r="AF115" s="5" t="s">
        <v>207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0.72083333333333333</v>
      </c>
      <c r="C116" s="21" t="s">
        <v>131</v>
      </c>
      <c r="Y116" s="16" t="s">
        <v>179</v>
      </c>
      <c r="Z116" s="16" t="s">
        <v>208</v>
      </c>
      <c r="AA116" s="16" t="s">
        <v>195</v>
      </c>
      <c r="AC116" s="16" t="s">
        <v>189</v>
      </c>
      <c r="AD116" s="16" t="s">
        <v>208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0.71319444444444446</v>
      </c>
      <c r="C117" s="21" t="s">
        <v>131</v>
      </c>
      <c r="AF117" s="5" t="s">
        <v>183</v>
      </c>
      <c r="AG117" s="5" t="s">
        <v>194</v>
      </c>
      <c r="AK117" s="7"/>
      <c r="AL117" s="7"/>
    </row>
    <row r="118" spans="1:38" x14ac:dyDescent="0.35">
      <c r="A118" s="2">
        <v>1</v>
      </c>
      <c r="B118" s="15">
        <v>0.66527777777777775</v>
      </c>
      <c r="C118" s="21" t="s">
        <v>131</v>
      </c>
      <c r="Y118" s="16" t="s">
        <v>187</v>
      </c>
      <c r="Z118" s="16" t="s">
        <v>180</v>
      </c>
      <c r="AA118" s="16" t="s">
        <v>183</v>
      </c>
      <c r="AB118" s="16" t="s">
        <v>181</v>
      </c>
      <c r="AC118" s="16" t="s">
        <v>182</v>
      </c>
      <c r="AD118" s="16" t="s">
        <v>181</v>
      </c>
      <c r="AE118" s="16" t="s">
        <v>181</v>
      </c>
      <c r="AF118" s="5" t="s">
        <v>209</v>
      </c>
      <c r="AG118" s="5" t="s">
        <v>197</v>
      </c>
      <c r="AK118" s="7"/>
      <c r="AL118" s="7"/>
    </row>
    <row r="119" spans="1:38" x14ac:dyDescent="0.35">
      <c r="A119" s="2">
        <v>1</v>
      </c>
      <c r="B119" s="15">
        <v>0.7</v>
      </c>
      <c r="C119" s="21" t="s">
        <v>131</v>
      </c>
      <c r="Y119" s="16" t="s">
        <v>187</v>
      </c>
      <c r="Z119" s="16" t="s">
        <v>210</v>
      </c>
      <c r="AA119" s="16" t="s">
        <v>193</v>
      </c>
      <c r="AB119" s="16" t="s">
        <v>157</v>
      </c>
      <c r="AC119" s="16" t="s">
        <v>182</v>
      </c>
      <c r="AD119" s="16" t="s">
        <v>181</v>
      </c>
      <c r="AE119" s="16" t="s">
        <v>157</v>
      </c>
      <c r="AF119" s="5" t="s">
        <v>211</v>
      </c>
      <c r="AG119" s="5" t="s">
        <v>184</v>
      </c>
      <c r="AH119" s="5" t="s">
        <v>181</v>
      </c>
      <c r="AI119" s="5" t="s">
        <v>191</v>
      </c>
      <c r="AJ119" s="5" t="s">
        <v>194</v>
      </c>
      <c r="AK119" s="7"/>
      <c r="AL119" s="7"/>
    </row>
    <row r="120" spans="1:38" x14ac:dyDescent="0.35">
      <c r="A120" s="2">
        <v>1</v>
      </c>
      <c r="B120" s="15">
        <v>0.68402777777777779</v>
      </c>
      <c r="C120" s="21" t="s">
        <v>131</v>
      </c>
      <c r="Y120" s="16" t="s">
        <v>179</v>
      </c>
      <c r="Z120" s="16" t="s">
        <v>198</v>
      </c>
      <c r="AA120" s="16" t="s">
        <v>181</v>
      </c>
      <c r="AC120" s="16" t="s">
        <v>182</v>
      </c>
      <c r="AD120" s="16" t="s">
        <v>181</v>
      </c>
      <c r="AE120" s="16" t="s">
        <v>181</v>
      </c>
      <c r="AF120" s="5" t="s">
        <v>199</v>
      </c>
      <c r="AG120" s="5" t="s">
        <v>184</v>
      </c>
      <c r="AH120" s="5" t="s">
        <v>198</v>
      </c>
      <c r="AI120" s="5" t="s">
        <v>212</v>
      </c>
      <c r="AJ120" s="5" t="s">
        <v>213</v>
      </c>
      <c r="AK120" s="7"/>
      <c r="AL120" s="7"/>
    </row>
    <row r="121" spans="1:38" x14ac:dyDescent="0.35">
      <c r="A121" s="2">
        <v>1</v>
      </c>
      <c r="B121" s="15">
        <v>0.67847222222222225</v>
      </c>
      <c r="C121" s="21" t="s">
        <v>131</v>
      </c>
      <c r="Y121" s="16" t="s">
        <v>187</v>
      </c>
      <c r="Z121" s="16" t="s">
        <v>211</v>
      </c>
      <c r="AA121" s="16" t="s">
        <v>183</v>
      </c>
      <c r="AB121" s="16" t="s">
        <v>181</v>
      </c>
      <c r="AC121" s="16" t="s">
        <v>187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0.65277777777777779</v>
      </c>
      <c r="C122" s="21" t="s">
        <v>131</v>
      </c>
      <c r="Y122" s="16" t="s">
        <v>179</v>
      </c>
      <c r="Z122" s="16" t="s">
        <v>204</v>
      </c>
      <c r="AA122" s="16" t="s">
        <v>181</v>
      </c>
      <c r="AC122" s="16" t="s">
        <v>189</v>
      </c>
      <c r="AD122" s="16" t="s">
        <v>181</v>
      </c>
      <c r="AE122" s="16" t="s">
        <v>181</v>
      </c>
      <c r="AF122" s="5" t="s">
        <v>201</v>
      </c>
      <c r="AG122" s="5" t="s">
        <v>214</v>
      </c>
      <c r="AH122" s="5" t="s">
        <v>204</v>
      </c>
      <c r="AK122" s="7"/>
      <c r="AL122" s="7"/>
    </row>
    <row r="123" spans="1:38" x14ac:dyDescent="0.35">
      <c r="A123" s="2">
        <v>1</v>
      </c>
      <c r="B123" s="15">
        <v>0.64097222222222228</v>
      </c>
      <c r="C123" s="21" t="s">
        <v>131</v>
      </c>
      <c r="AF123" s="5" t="s">
        <v>201</v>
      </c>
      <c r="AG123" s="5" t="s">
        <v>214</v>
      </c>
      <c r="AH123" s="5" t="s">
        <v>200</v>
      </c>
      <c r="AK123" s="7"/>
      <c r="AL123" s="7"/>
    </row>
    <row r="124" spans="1:38" x14ac:dyDescent="0.35">
      <c r="A124" s="2">
        <v>1</v>
      </c>
      <c r="B124" s="15">
        <v>0.6333333333333333</v>
      </c>
      <c r="C124" s="21" t="s">
        <v>131</v>
      </c>
      <c r="Y124" s="16" t="s">
        <v>179</v>
      </c>
      <c r="Z124" s="16" t="s">
        <v>206</v>
      </c>
      <c r="AA124" s="16" t="s">
        <v>181</v>
      </c>
      <c r="AC124" s="16" t="s">
        <v>189</v>
      </c>
      <c r="AD124" s="16" t="s">
        <v>215</v>
      </c>
      <c r="AE124" s="16" t="s">
        <v>181</v>
      </c>
      <c r="AF124" s="5" t="s">
        <v>216</v>
      </c>
      <c r="AG124" s="5" t="s">
        <v>194</v>
      </c>
      <c r="AK124" s="7"/>
      <c r="AL124" s="7"/>
    </row>
    <row r="125" spans="1:38" x14ac:dyDescent="0.35">
      <c r="A125" s="2">
        <v>1</v>
      </c>
      <c r="B125" s="15">
        <v>0.61111111111111116</v>
      </c>
      <c r="C125" s="21" t="s">
        <v>131</v>
      </c>
      <c r="Y125" s="16" t="s">
        <v>179</v>
      </c>
      <c r="Z125" s="16" t="s">
        <v>193</v>
      </c>
      <c r="AA125" s="16" t="s">
        <v>181</v>
      </c>
      <c r="AC125" s="16" t="s">
        <v>189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0.58819444444444446</v>
      </c>
      <c r="C126" s="21" t="s">
        <v>131</v>
      </c>
      <c r="Y126" s="16" t="s">
        <v>187</v>
      </c>
      <c r="Z126" s="16" t="s">
        <v>196</v>
      </c>
      <c r="AA126" s="16" t="s">
        <v>192</v>
      </c>
      <c r="AB126" s="16" t="s">
        <v>181</v>
      </c>
      <c r="AC126" s="16" t="s">
        <v>187</v>
      </c>
      <c r="AD126" s="16" t="s">
        <v>181</v>
      </c>
      <c r="AE126" s="16" t="s">
        <v>181</v>
      </c>
      <c r="AF126" s="5" t="s">
        <v>217</v>
      </c>
      <c r="AG126" s="5" t="s">
        <v>197</v>
      </c>
      <c r="AK126" s="7"/>
      <c r="AL126" s="7"/>
    </row>
    <row r="127" spans="1:38" x14ac:dyDescent="0.35">
      <c r="A127" s="2">
        <v>1</v>
      </c>
      <c r="B127" s="15">
        <v>0.57638888888888884</v>
      </c>
      <c r="C127" s="21" t="s">
        <v>131</v>
      </c>
      <c r="Y127" s="16" t="s">
        <v>179</v>
      </c>
      <c r="Z127" s="16" t="s">
        <v>209</v>
      </c>
      <c r="AA127" s="16" t="s">
        <v>188</v>
      </c>
      <c r="AC127" s="16" t="s">
        <v>189</v>
      </c>
      <c r="AD127" s="16" t="s">
        <v>181</v>
      </c>
      <c r="AE127" s="16" t="s">
        <v>181</v>
      </c>
      <c r="AF127" s="5" t="s">
        <v>188</v>
      </c>
      <c r="AG127" s="5" t="s">
        <v>184</v>
      </c>
      <c r="AH127" s="5" t="s">
        <v>181</v>
      </c>
      <c r="AI127" s="5" t="s">
        <v>180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0.56597222222222221</v>
      </c>
      <c r="C128" s="21" t="s">
        <v>131</v>
      </c>
      <c r="Y128" s="16" t="s">
        <v>218</v>
      </c>
      <c r="Z128" s="16" t="s">
        <v>149</v>
      </c>
      <c r="AD128" s="16" t="s">
        <v>217</v>
      </c>
      <c r="AE128" s="16" t="s">
        <v>157</v>
      </c>
      <c r="AF128" s="5" t="s">
        <v>219</v>
      </c>
      <c r="AG128" s="5" t="s">
        <v>197</v>
      </c>
      <c r="AK128" s="7"/>
      <c r="AL128" s="7"/>
    </row>
    <row r="129" spans="1:38" x14ac:dyDescent="0.35">
      <c r="A129" s="2">
        <v>1</v>
      </c>
      <c r="B129" s="15">
        <v>0.55347222222222225</v>
      </c>
      <c r="C129" s="21" t="s">
        <v>131</v>
      </c>
      <c r="Y129" s="16" t="s">
        <v>205</v>
      </c>
      <c r="Z129" s="16" t="s">
        <v>185</v>
      </c>
      <c r="AA129" s="16" t="s">
        <v>220</v>
      </c>
      <c r="AC129" s="16" t="s">
        <v>187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0.55069444444444449</v>
      </c>
      <c r="C130" s="21" t="s">
        <v>131</v>
      </c>
      <c r="Y130" s="16" t="s">
        <v>179</v>
      </c>
      <c r="Z130" s="16" t="s">
        <v>193</v>
      </c>
      <c r="AA130" s="16" t="s">
        <v>181</v>
      </c>
      <c r="AC130" s="16" t="s">
        <v>189</v>
      </c>
      <c r="AD130" s="16" t="s">
        <v>181</v>
      </c>
      <c r="AE130" s="16" t="s">
        <v>181</v>
      </c>
      <c r="AF130" s="5" t="s">
        <v>210</v>
      </c>
      <c r="AG130" s="5" t="s">
        <v>184</v>
      </c>
      <c r="AH130" s="5" t="s">
        <v>181</v>
      </c>
      <c r="AI130" s="5" t="s">
        <v>185</v>
      </c>
      <c r="AJ130" s="5" t="s">
        <v>197</v>
      </c>
      <c r="AK130" s="7"/>
      <c r="AL130" s="7"/>
    </row>
    <row r="131" spans="1:38" x14ac:dyDescent="0.35">
      <c r="A131" s="2">
        <v>1</v>
      </c>
      <c r="B131" s="15">
        <v>0.5444444444444444</v>
      </c>
      <c r="C131" s="21" t="s">
        <v>131</v>
      </c>
      <c r="Y131" s="16" t="s">
        <v>205</v>
      </c>
      <c r="Z131" s="16" t="s">
        <v>198</v>
      </c>
      <c r="AA131" s="16" t="s">
        <v>191</v>
      </c>
      <c r="AC131" s="16" t="s">
        <v>182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0.54305555555555551</v>
      </c>
      <c r="C132" s="21" t="s">
        <v>131</v>
      </c>
      <c r="Y132" s="16" t="s">
        <v>187</v>
      </c>
      <c r="Z132" s="16" t="s">
        <v>212</v>
      </c>
      <c r="AA132" s="16" t="s">
        <v>221</v>
      </c>
      <c r="AB132" s="16" t="s">
        <v>157</v>
      </c>
      <c r="AC132" s="16" t="s">
        <v>189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0.53749999999999998</v>
      </c>
      <c r="C133" s="21" t="s">
        <v>131</v>
      </c>
      <c r="Y133" s="16" t="s">
        <v>187</v>
      </c>
      <c r="Z133" s="16" t="s">
        <v>190</v>
      </c>
      <c r="AA133" s="16" t="s">
        <v>192</v>
      </c>
      <c r="AB133" s="16" t="s">
        <v>157</v>
      </c>
      <c r="AC133" s="16" t="s">
        <v>189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0.53055555555555556</v>
      </c>
      <c r="C134" s="21" t="s">
        <v>131</v>
      </c>
      <c r="AF134" s="5" t="s">
        <v>191</v>
      </c>
      <c r="AG134" s="5" t="s">
        <v>186</v>
      </c>
      <c r="AK134" s="7"/>
      <c r="AL134" s="7"/>
    </row>
    <row r="135" spans="1:38" x14ac:dyDescent="0.35">
      <c r="A135" s="2">
        <v>1</v>
      </c>
      <c r="B135" s="15">
        <v>0.52847222222222223</v>
      </c>
      <c r="C135" s="21" t="s">
        <v>131</v>
      </c>
      <c r="AF135" s="5" t="s">
        <v>191</v>
      </c>
      <c r="AG135" s="5" t="s">
        <v>184</v>
      </c>
      <c r="AH135" s="5" t="s">
        <v>181</v>
      </c>
      <c r="AI135" s="5" t="s">
        <v>202</v>
      </c>
      <c r="AJ135" s="5" t="s">
        <v>186</v>
      </c>
      <c r="AK135" s="7"/>
      <c r="AL135" s="7"/>
    </row>
    <row r="136" spans="1:38" x14ac:dyDescent="0.35">
      <c r="A136" s="2">
        <v>1</v>
      </c>
      <c r="B136" s="15">
        <v>0.51944444444444449</v>
      </c>
      <c r="C136" s="21" t="s">
        <v>131</v>
      </c>
      <c r="Y136" s="16" t="s">
        <v>179</v>
      </c>
      <c r="Z136" s="16" t="s">
        <v>195</v>
      </c>
      <c r="AA136" s="16" t="s">
        <v>181</v>
      </c>
      <c r="AC136" s="16" t="s">
        <v>189</v>
      </c>
      <c r="AD136" s="16" t="s">
        <v>181</v>
      </c>
      <c r="AE136" s="16" t="s">
        <v>181</v>
      </c>
      <c r="AF136" s="5" t="s">
        <v>191</v>
      </c>
      <c r="AG136" s="5" t="s">
        <v>186</v>
      </c>
      <c r="AH136" s="5" t="s">
        <v>190</v>
      </c>
      <c r="AK136" s="7"/>
      <c r="AL136" s="7"/>
    </row>
    <row r="137" spans="1:38" x14ac:dyDescent="0.35">
      <c r="A137" s="2">
        <v>1</v>
      </c>
      <c r="B137" s="15">
        <v>0.50694444444444442</v>
      </c>
      <c r="C137" s="21" t="s">
        <v>131</v>
      </c>
      <c r="Y137" s="16" t="s">
        <v>179</v>
      </c>
      <c r="Z137" s="16" t="s">
        <v>200</v>
      </c>
      <c r="AA137" s="16" t="s">
        <v>191</v>
      </c>
      <c r="AC137" s="16" t="s">
        <v>182</v>
      </c>
      <c r="AD137" s="16" t="s">
        <v>181</v>
      </c>
      <c r="AE137" s="16" t="s">
        <v>181</v>
      </c>
      <c r="AF137" s="5" t="s">
        <v>192</v>
      </c>
      <c r="AG137" s="5" t="s">
        <v>214</v>
      </c>
      <c r="AH137" s="5" t="s">
        <v>200</v>
      </c>
      <c r="AK137" s="7"/>
      <c r="AL137" s="7"/>
    </row>
    <row r="138" spans="1:38" x14ac:dyDescent="0.35">
      <c r="A138" s="2">
        <v>1</v>
      </c>
      <c r="B138" s="15">
        <v>0.49513888888888891</v>
      </c>
      <c r="C138" s="21" t="s">
        <v>131</v>
      </c>
      <c r="AF138" s="5" t="s">
        <v>212</v>
      </c>
      <c r="AG138" s="5" t="s">
        <v>186</v>
      </c>
      <c r="AK138" s="7"/>
      <c r="AL138" s="7"/>
    </row>
    <row r="139" spans="1:38" x14ac:dyDescent="0.35">
      <c r="A139" s="2">
        <v>1</v>
      </c>
      <c r="B139" s="15">
        <v>0.45208333333333334</v>
      </c>
      <c r="C139" s="21" t="s">
        <v>131</v>
      </c>
      <c r="AF139" s="5" t="s">
        <v>199</v>
      </c>
      <c r="AG139" s="5" t="s">
        <v>184</v>
      </c>
      <c r="AH139" s="5" t="s">
        <v>209</v>
      </c>
      <c r="AI139" s="5" t="s">
        <v>220</v>
      </c>
      <c r="AJ139" s="5" t="s">
        <v>186</v>
      </c>
      <c r="AK139" s="7"/>
      <c r="AL139" s="7"/>
    </row>
    <row r="140" spans="1:38" x14ac:dyDescent="0.35">
      <c r="A140" s="2">
        <v>1</v>
      </c>
      <c r="B140" s="15">
        <v>0.4465277777777778</v>
      </c>
      <c r="C140" s="21" t="s">
        <v>131</v>
      </c>
      <c r="Y140" s="16" t="s">
        <v>179</v>
      </c>
      <c r="Z140" s="16" t="s">
        <v>219</v>
      </c>
      <c r="AA140" s="16" t="s">
        <v>181</v>
      </c>
      <c r="AC140" s="16" t="s">
        <v>189</v>
      </c>
      <c r="AD140" s="16" t="s">
        <v>181</v>
      </c>
      <c r="AE140" s="16" t="s">
        <v>181</v>
      </c>
      <c r="AF140" s="5" t="s">
        <v>191</v>
      </c>
      <c r="AG140" s="5" t="s">
        <v>184</v>
      </c>
      <c r="AH140" s="5" t="s">
        <v>181</v>
      </c>
      <c r="AI140" s="5" t="s">
        <v>188</v>
      </c>
      <c r="AJ140" s="5" t="s">
        <v>197</v>
      </c>
      <c r="AK140" s="7"/>
      <c r="AL140" s="7"/>
    </row>
    <row r="141" spans="1:38" x14ac:dyDescent="0.35">
      <c r="A141" s="2">
        <v>1</v>
      </c>
      <c r="B141" s="15">
        <v>0.44097222222222221</v>
      </c>
      <c r="C141" s="21" t="s">
        <v>131</v>
      </c>
      <c r="Y141" s="16" t="s">
        <v>187</v>
      </c>
      <c r="Z141" s="16" t="s">
        <v>217</v>
      </c>
      <c r="AA141" s="16" t="s">
        <v>183</v>
      </c>
      <c r="AB141" s="16" t="s">
        <v>157</v>
      </c>
      <c r="AC141" s="16" t="s">
        <v>182</v>
      </c>
      <c r="AD141" s="16" t="s">
        <v>181</v>
      </c>
      <c r="AE141" s="16" t="s">
        <v>157</v>
      </c>
      <c r="AF141" s="5" t="s">
        <v>183</v>
      </c>
      <c r="AG141" s="5" t="s">
        <v>197</v>
      </c>
      <c r="AK141" s="7"/>
      <c r="AL141" s="7"/>
    </row>
    <row r="142" spans="1:38" x14ac:dyDescent="0.35">
      <c r="A142" s="2">
        <v>1</v>
      </c>
      <c r="B142" s="15">
        <v>0.43194444444444446</v>
      </c>
      <c r="C142" s="21" t="s">
        <v>131</v>
      </c>
      <c r="Y142" s="16" t="s">
        <v>179</v>
      </c>
      <c r="Z142" s="16" t="s">
        <v>219</v>
      </c>
      <c r="AA142" s="16" t="s">
        <v>181</v>
      </c>
      <c r="AC142" s="16" t="s">
        <v>189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1</v>
      </c>
      <c r="B143" s="15">
        <v>0.4236111111111111</v>
      </c>
      <c r="C143" s="21" t="s">
        <v>131</v>
      </c>
      <c r="Y143" s="16" t="s">
        <v>179</v>
      </c>
      <c r="Z143" s="16" t="s">
        <v>221</v>
      </c>
      <c r="AA143" s="16" t="s">
        <v>222</v>
      </c>
      <c r="AC143" s="16" t="s">
        <v>189</v>
      </c>
      <c r="AD143" s="16" t="s">
        <v>181</v>
      </c>
      <c r="AE143" s="16" t="s">
        <v>181</v>
      </c>
      <c r="AF143" s="5" t="s">
        <v>192</v>
      </c>
      <c r="AG143" s="5" t="s">
        <v>214</v>
      </c>
      <c r="AH143" s="5" t="s">
        <v>198</v>
      </c>
      <c r="AK143" s="7"/>
      <c r="AL143" s="7"/>
    </row>
    <row r="144" spans="1:38" x14ac:dyDescent="0.35">
      <c r="A144" s="2">
        <v>1</v>
      </c>
      <c r="B144" s="15">
        <v>0.40763888888888888</v>
      </c>
      <c r="C144" s="21" t="s">
        <v>131</v>
      </c>
      <c r="AF144" s="5" t="s">
        <v>193</v>
      </c>
      <c r="AG144" s="5" t="s">
        <v>197</v>
      </c>
      <c r="AK144" s="7"/>
      <c r="AL144" s="7"/>
    </row>
    <row r="145" spans="1:38" x14ac:dyDescent="0.35">
      <c r="A145" s="2">
        <v>1</v>
      </c>
      <c r="B145" s="15">
        <v>0.40416666666666667</v>
      </c>
      <c r="C145" s="21" t="s">
        <v>131</v>
      </c>
      <c r="Y145" s="16" t="s">
        <v>179</v>
      </c>
      <c r="Z145" s="16" t="s">
        <v>202</v>
      </c>
      <c r="AA145" s="16" t="s">
        <v>190</v>
      </c>
      <c r="AC145" s="16" t="s">
        <v>189</v>
      </c>
      <c r="AD145" s="16" t="s">
        <v>181</v>
      </c>
      <c r="AE145" s="16" t="s">
        <v>181</v>
      </c>
      <c r="AF145" s="5" t="s">
        <v>196</v>
      </c>
      <c r="AG145" s="5" t="s">
        <v>184</v>
      </c>
      <c r="AH145" s="5" t="s">
        <v>215</v>
      </c>
      <c r="AI145" s="5" t="s">
        <v>223</v>
      </c>
      <c r="AJ145" s="5" t="s">
        <v>197</v>
      </c>
      <c r="AK145" s="7"/>
      <c r="AL145" s="7"/>
    </row>
    <row r="146" spans="1:38" x14ac:dyDescent="0.35">
      <c r="A146" s="2">
        <v>1</v>
      </c>
      <c r="B146" s="15">
        <v>0.39930555555555558</v>
      </c>
      <c r="C146" s="21" t="s">
        <v>131</v>
      </c>
      <c r="Y146" s="16" t="s">
        <v>205</v>
      </c>
      <c r="Z146" s="16" t="s">
        <v>190</v>
      </c>
      <c r="AA146" s="16" t="s">
        <v>202</v>
      </c>
      <c r="AC146" s="16" t="s">
        <v>187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1</v>
      </c>
      <c r="B147" s="15">
        <v>0.3888888888888889</v>
      </c>
      <c r="C147" s="21" t="s">
        <v>131</v>
      </c>
      <c r="Y147" s="16" t="s">
        <v>205</v>
      </c>
      <c r="Z147" s="16" t="s">
        <v>224</v>
      </c>
      <c r="AA147" s="16" t="s">
        <v>221</v>
      </c>
      <c r="AC147" s="16" t="s">
        <v>182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1</v>
      </c>
      <c r="B148" s="15">
        <v>0.38194444444444442</v>
      </c>
      <c r="C148" s="21" t="s">
        <v>131</v>
      </c>
      <c r="Y148" s="16" t="s">
        <v>179</v>
      </c>
      <c r="Z148" s="16" t="s">
        <v>223</v>
      </c>
      <c r="AA148" s="16" t="s">
        <v>201</v>
      </c>
      <c r="AC148" s="16" t="s">
        <v>189</v>
      </c>
      <c r="AD148" s="16" t="s">
        <v>181</v>
      </c>
      <c r="AE148" s="16" t="s">
        <v>157</v>
      </c>
      <c r="AF148" s="5" t="s">
        <v>225</v>
      </c>
      <c r="AG148" s="5" t="s">
        <v>226</v>
      </c>
      <c r="AH148" s="5" t="s">
        <v>223</v>
      </c>
      <c r="AK148" s="7"/>
      <c r="AL148" s="7"/>
    </row>
    <row r="149" spans="1:38" x14ac:dyDescent="0.35">
      <c r="A149" s="2">
        <v>1</v>
      </c>
      <c r="B149" s="15">
        <v>0.36944444444444446</v>
      </c>
      <c r="C149" s="21" t="s">
        <v>131</v>
      </c>
      <c r="AF149" s="5" t="s">
        <v>225</v>
      </c>
      <c r="AG149" s="5" t="s">
        <v>184</v>
      </c>
      <c r="AH149" s="5" t="s">
        <v>181</v>
      </c>
      <c r="AI149" s="5" t="s">
        <v>201</v>
      </c>
      <c r="AJ149" s="5" t="s">
        <v>186</v>
      </c>
      <c r="AK149" s="7"/>
      <c r="AL149" s="7"/>
    </row>
    <row r="150" spans="1:38" x14ac:dyDescent="0.35">
      <c r="A150" s="2">
        <v>1</v>
      </c>
      <c r="B150" s="15">
        <v>0.35416666666666669</v>
      </c>
      <c r="C150" s="21" t="s">
        <v>131</v>
      </c>
      <c r="AF150" s="5" t="s">
        <v>225</v>
      </c>
      <c r="AG150" s="5" t="s">
        <v>213</v>
      </c>
      <c r="AK150" s="7"/>
      <c r="AL150" s="7"/>
    </row>
    <row r="151" spans="1:38" x14ac:dyDescent="0.35">
      <c r="A151" s="2">
        <v>1</v>
      </c>
      <c r="B151" s="15">
        <v>0.35208333333333336</v>
      </c>
      <c r="C151" s="21" t="s">
        <v>131</v>
      </c>
      <c r="Y151" s="16" t="s">
        <v>187</v>
      </c>
      <c r="Z151" s="16" t="s">
        <v>225</v>
      </c>
      <c r="AA151" s="16" t="s">
        <v>183</v>
      </c>
      <c r="AB151" s="16" t="s">
        <v>157</v>
      </c>
      <c r="AC151" s="16" t="s">
        <v>189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1</v>
      </c>
      <c r="B152" s="15">
        <v>0.34236111111111112</v>
      </c>
      <c r="C152" s="21" t="s">
        <v>131</v>
      </c>
      <c r="Y152" s="16" t="s">
        <v>179</v>
      </c>
      <c r="Z152" s="16" t="s">
        <v>191</v>
      </c>
      <c r="AA152" s="16" t="s">
        <v>181</v>
      </c>
      <c r="AC152" s="16" t="s">
        <v>189</v>
      </c>
      <c r="AD152" s="16" t="s">
        <v>181</v>
      </c>
      <c r="AE152" s="16" t="s">
        <v>181</v>
      </c>
      <c r="AF152" s="5" t="s">
        <v>183</v>
      </c>
      <c r="AG152" s="5" t="s">
        <v>213</v>
      </c>
      <c r="AK152" s="7"/>
      <c r="AL152" s="7"/>
    </row>
    <row r="153" spans="1:38" x14ac:dyDescent="0.35">
      <c r="A153" s="2">
        <v>1</v>
      </c>
      <c r="B153" s="15">
        <v>0.33402777777777776</v>
      </c>
      <c r="C153" s="21" t="s">
        <v>131</v>
      </c>
      <c r="Y153" s="16" t="s">
        <v>179</v>
      </c>
      <c r="Z153" s="16" t="s">
        <v>203</v>
      </c>
      <c r="AA153" s="16" t="s">
        <v>181</v>
      </c>
      <c r="AC153" s="16" t="s">
        <v>182</v>
      </c>
      <c r="AD153" s="16" t="s">
        <v>181</v>
      </c>
      <c r="AE153" s="16" t="s">
        <v>181</v>
      </c>
      <c r="AF153" s="5" t="s">
        <v>191</v>
      </c>
      <c r="AG153" s="5" t="s">
        <v>184</v>
      </c>
      <c r="AH153" s="5" t="s">
        <v>204</v>
      </c>
      <c r="AI153" s="5" t="s">
        <v>192</v>
      </c>
      <c r="AJ153" s="5" t="s">
        <v>214</v>
      </c>
      <c r="AK153" s="7"/>
      <c r="AL153" s="7"/>
    </row>
    <row r="154" spans="1:38" x14ac:dyDescent="0.35">
      <c r="A154" s="2">
        <v>1</v>
      </c>
      <c r="B154" s="15">
        <v>0.31805555555555554</v>
      </c>
      <c r="C154" s="21" t="s">
        <v>131</v>
      </c>
      <c r="Y154" s="16" t="s">
        <v>179</v>
      </c>
      <c r="Z154" s="16" t="s">
        <v>208</v>
      </c>
      <c r="AA154" s="16" t="s">
        <v>203</v>
      </c>
      <c r="AC154" s="16" t="s">
        <v>189</v>
      </c>
      <c r="AD154" s="16" t="s">
        <v>208</v>
      </c>
      <c r="AE154" s="16" t="s">
        <v>181</v>
      </c>
      <c r="AK154" s="7"/>
      <c r="AL154" s="7"/>
    </row>
    <row r="155" spans="1:38" x14ac:dyDescent="0.35">
      <c r="A155" s="2">
        <v>1</v>
      </c>
      <c r="B155" s="15">
        <v>0.28819444444444442</v>
      </c>
      <c r="C155" s="21" t="s">
        <v>131</v>
      </c>
      <c r="Y155" s="16" t="s">
        <v>205</v>
      </c>
      <c r="Z155" s="16" t="s">
        <v>198</v>
      </c>
      <c r="AA155" s="16" t="s">
        <v>206</v>
      </c>
      <c r="AC155" s="16" t="s">
        <v>189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1</v>
      </c>
      <c r="B156" s="15">
        <v>0.28333333333333333</v>
      </c>
      <c r="C156" s="21" t="s">
        <v>131</v>
      </c>
      <c r="Y156" s="16" t="s">
        <v>179</v>
      </c>
      <c r="Z156" s="16" t="s">
        <v>198</v>
      </c>
      <c r="AA156" s="16" t="s">
        <v>193</v>
      </c>
      <c r="AC156" s="16" t="s">
        <v>189</v>
      </c>
      <c r="AD156" s="16" t="s">
        <v>181</v>
      </c>
      <c r="AE156" s="16" t="s">
        <v>181</v>
      </c>
      <c r="AF156" s="5" t="s">
        <v>220</v>
      </c>
      <c r="AG156" s="5" t="s">
        <v>184</v>
      </c>
      <c r="AH156" s="5" t="s">
        <v>181</v>
      </c>
      <c r="AI156" s="5" t="s">
        <v>180</v>
      </c>
      <c r="AJ156" s="5" t="s">
        <v>197</v>
      </c>
      <c r="AK156" s="7"/>
      <c r="AL156" s="7"/>
    </row>
    <row r="157" spans="1:38" x14ac:dyDescent="0.35">
      <c r="A157" s="2">
        <v>1</v>
      </c>
      <c r="B157" s="15">
        <v>0.27569444444444446</v>
      </c>
      <c r="C157" s="21" t="s">
        <v>131</v>
      </c>
      <c r="Y157" s="16" t="s">
        <v>179</v>
      </c>
      <c r="Z157" s="16" t="s">
        <v>217</v>
      </c>
      <c r="AA157" s="16" t="s">
        <v>196</v>
      </c>
      <c r="AC157" s="16" t="s">
        <v>189</v>
      </c>
      <c r="AD157" s="16" t="s">
        <v>181</v>
      </c>
      <c r="AE157" s="16" t="s">
        <v>181</v>
      </c>
      <c r="AF157" s="5" t="s">
        <v>195</v>
      </c>
      <c r="AG157" s="5" t="s">
        <v>184</v>
      </c>
      <c r="AH157" s="5" t="s">
        <v>181</v>
      </c>
      <c r="AI157" s="5" t="s">
        <v>198</v>
      </c>
      <c r="AJ157" s="5" t="s">
        <v>197</v>
      </c>
      <c r="AK157" s="7"/>
      <c r="AL157" s="7"/>
    </row>
    <row r="158" spans="1:38" x14ac:dyDescent="0.35">
      <c r="A158" s="2">
        <v>1</v>
      </c>
      <c r="B158" s="15">
        <v>0.26874999999999999</v>
      </c>
      <c r="C158" s="21" t="s">
        <v>131</v>
      </c>
      <c r="Y158" s="16" t="s">
        <v>187</v>
      </c>
      <c r="Z158" s="16" t="s">
        <v>190</v>
      </c>
      <c r="AA158" s="16" t="s">
        <v>220</v>
      </c>
      <c r="AB158" s="16" t="s">
        <v>157</v>
      </c>
      <c r="AC158" s="16" t="s">
        <v>189</v>
      </c>
      <c r="AD158" s="16" t="s">
        <v>181</v>
      </c>
      <c r="AE158" s="16" t="s">
        <v>181</v>
      </c>
      <c r="AF158" s="5" t="s">
        <v>192</v>
      </c>
      <c r="AG158" s="5" t="s">
        <v>184</v>
      </c>
      <c r="AH158" s="5" t="s">
        <v>181</v>
      </c>
      <c r="AI158" s="5" t="s">
        <v>212</v>
      </c>
      <c r="AJ158" s="5" t="s">
        <v>197</v>
      </c>
      <c r="AK158" s="7"/>
      <c r="AL158" s="7"/>
    </row>
    <row r="159" spans="1:38" x14ac:dyDescent="0.35">
      <c r="A159" s="2">
        <v>1</v>
      </c>
      <c r="B159" s="15">
        <v>0.26180555555555557</v>
      </c>
      <c r="C159" s="21" t="s">
        <v>131</v>
      </c>
      <c r="Y159" s="16" t="s">
        <v>205</v>
      </c>
      <c r="Z159" s="16" t="s">
        <v>224</v>
      </c>
      <c r="AA159" s="16" t="s">
        <v>185</v>
      </c>
      <c r="AC159" s="16" t="s">
        <v>187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1</v>
      </c>
      <c r="B160" s="15">
        <v>0.25624999999999998</v>
      </c>
      <c r="C160" s="21" t="s">
        <v>131</v>
      </c>
      <c r="Y160" s="16" t="s">
        <v>205</v>
      </c>
      <c r="Z160" s="16" t="s">
        <v>185</v>
      </c>
      <c r="AA160" s="16" t="s">
        <v>191</v>
      </c>
      <c r="AC160" s="16" t="s">
        <v>182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1</v>
      </c>
      <c r="B161" s="15">
        <v>0.25069444444444444</v>
      </c>
      <c r="C161" s="21" t="s">
        <v>131</v>
      </c>
      <c r="Y161" s="16" t="s">
        <v>179</v>
      </c>
      <c r="Z161" s="16" t="s">
        <v>224</v>
      </c>
      <c r="AA161" s="16" t="s">
        <v>181</v>
      </c>
      <c r="AC161" s="16" t="s">
        <v>182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1</v>
      </c>
      <c r="B162" s="15">
        <v>0.24236111111111111</v>
      </c>
      <c r="C162" s="21" t="s">
        <v>131</v>
      </c>
      <c r="Y162" s="16" t="s">
        <v>179</v>
      </c>
      <c r="Z162" s="16" t="s">
        <v>223</v>
      </c>
      <c r="AA162" s="16" t="s">
        <v>181</v>
      </c>
      <c r="AC162" s="16" t="s">
        <v>182</v>
      </c>
      <c r="AD162" s="16" t="s">
        <v>181</v>
      </c>
      <c r="AE162" s="16" t="s">
        <v>181</v>
      </c>
      <c r="AF162" s="5" t="s">
        <v>201</v>
      </c>
      <c r="AG162" s="5" t="s">
        <v>184</v>
      </c>
      <c r="AH162" s="5" t="s">
        <v>181</v>
      </c>
      <c r="AI162" s="5" t="s">
        <v>202</v>
      </c>
      <c r="AJ162" s="5" t="s">
        <v>213</v>
      </c>
      <c r="AK162" s="7"/>
      <c r="AL162" s="7"/>
    </row>
    <row r="163" spans="1:38" x14ac:dyDescent="0.35">
      <c r="A163" s="2">
        <v>1</v>
      </c>
      <c r="B163" s="15">
        <v>0.2361111111111111</v>
      </c>
      <c r="C163" s="21" t="s">
        <v>131</v>
      </c>
      <c r="Y163" s="16" t="s">
        <v>187</v>
      </c>
      <c r="Z163" s="16" t="s">
        <v>215</v>
      </c>
      <c r="AA163" s="16" t="s">
        <v>227</v>
      </c>
      <c r="AB163" s="16" t="s">
        <v>181</v>
      </c>
      <c r="AC163" s="16" t="s">
        <v>187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1</v>
      </c>
      <c r="B164" s="15">
        <v>0.22777777777777777</v>
      </c>
      <c r="C164" s="21" t="s">
        <v>131</v>
      </c>
      <c r="Y164" s="16" t="s">
        <v>179</v>
      </c>
      <c r="Z164" s="16" t="s">
        <v>228</v>
      </c>
      <c r="AA164" s="16" t="s">
        <v>225</v>
      </c>
      <c r="AC164" s="16" t="s">
        <v>182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1</v>
      </c>
      <c r="B165" s="15">
        <v>0.21458333333333332</v>
      </c>
      <c r="C165" s="21" t="s">
        <v>131</v>
      </c>
      <c r="AF165" s="5" t="s">
        <v>208</v>
      </c>
      <c r="AG165" s="5" t="s">
        <v>197</v>
      </c>
      <c r="AK165" s="7"/>
      <c r="AL165" s="7"/>
    </row>
    <row r="166" spans="1:38" x14ac:dyDescent="0.35">
      <c r="A166" s="2">
        <v>1</v>
      </c>
      <c r="B166" s="15">
        <v>0.21388888888888888</v>
      </c>
      <c r="C166" s="21" t="s">
        <v>131</v>
      </c>
      <c r="Y166" s="16" t="s">
        <v>187</v>
      </c>
      <c r="Z166" s="16" t="s">
        <v>207</v>
      </c>
      <c r="AA166" s="16" t="s">
        <v>221</v>
      </c>
      <c r="AB166" s="16" t="s">
        <v>181</v>
      </c>
      <c r="AC166" s="16" t="s">
        <v>182</v>
      </c>
      <c r="AD166" s="16" t="s">
        <v>181</v>
      </c>
      <c r="AE166" s="16" t="s">
        <v>181</v>
      </c>
      <c r="AF166" s="5" t="s">
        <v>204</v>
      </c>
      <c r="AG166" s="5" t="s">
        <v>213</v>
      </c>
      <c r="AK166" s="7"/>
      <c r="AL166" s="7"/>
    </row>
    <row r="167" spans="1:38" x14ac:dyDescent="0.35">
      <c r="A167" s="2">
        <v>1</v>
      </c>
      <c r="B167" s="15">
        <v>0.20694444444444443</v>
      </c>
      <c r="C167" s="21" t="s">
        <v>131</v>
      </c>
      <c r="Y167" s="16" t="s">
        <v>187</v>
      </c>
      <c r="Z167" s="16" t="s">
        <v>204</v>
      </c>
      <c r="AA167" s="16" t="s">
        <v>192</v>
      </c>
      <c r="AB167" s="16" t="s">
        <v>181</v>
      </c>
      <c r="AC167" s="16" t="s">
        <v>189</v>
      </c>
      <c r="AD167" s="16" t="s">
        <v>181</v>
      </c>
      <c r="AE167" s="16" t="s">
        <v>181</v>
      </c>
      <c r="AF167" s="5" t="s">
        <v>208</v>
      </c>
      <c r="AG167" s="5" t="s">
        <v>214</v>
      </c>
      <c r="AH167" s="5" t="s">
        <v>229</v>
      </c>
      <c r="AK167" s="7"/>
      <c r="AL167" s="7"/>
    </row>
    <row r="168" spans="1:38" x14ac:dyDescent="0.35">
      <c r="A168" s="2">
        <v>1</v>
      </c>
      <c r="B168" s="15">
        <v>0.1736111111111111</v>
      </c>
      <c r="C168" s="21" t="s">
        <v>131</v>
      </c>
      <c r="Y168" s="16" t="s">
        <v>205</v>
      </c>
      <c r="Z168" s="16" t="s">
        <v>180</v>
      </c>
      <c r="AA168" s="16" t="s">
        <v>181</v>
      </c>
      <c r="AB168" s="16" t="s">
        <v>181</v>
      </c>
      <c r="AC168" s="16" t="s">
        <v>189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1</v>
      </c>
      <c r="B169" s="15">
        <v>0.16944444444444445</v>
      </c>
      <c r="C169" s="21" t="s">
        <v>131</v>
      </c>
      <c r="Y169" s="16" t="s">
        <v>179</v>
      </c>
      <c r="Z169" s="16" t="s">
        <v>209</v>
      </c>
      <c r="AA169" s="16" t="s">
        <v>193</v>
      </c>
      <c r="AC169" s="16" t="s">
        <v>182</v>
      </c>
      <c r="AD169" s="16" t="s">
        <v>190</v>
      </c>
      <c r="AE169" s="16" t="s">
        <v>157</v>
      </c>
      <c r="AK169" s="7"/>
      <c r="AL169" s="7"/>
    </row>
    <row r="170" spans="1:38" x14ac:dyDescent="0.35">
      <c r="A170" s="2">
        <v>1</v>
      </c>
      <c r="B170" s="15">
        <v>0.15625</v>
      </c>
      <c r="C170" s="21" t="s">
        <v>131</v>
      </c>
      <c r="AF170" s="5" t="s">
        <v>192</v>
      </c>
      <c r="AG170" s="5" t="s">
        <v>184</v>
      </c>
      <c r="AH170" s="5" t="s">
        <v>190</v>
      </c>
      <c r="AI170" s="5" t="s">
        <v>212</v>
      </c>
      <c r="AJ170" s="5" t="s">
        <v>186</v>
      </c>
      <c r="AK170" s="7"/>
      <c r="AL170" s="7"/>
    </row>
    <row r="171" spans="1:38" x14ac:dyDescent="0.35">
      <c r="A171" s="2">
        <v>1</v>
      </c>
      <c r="B171" s="15">
        <v>0.14583333333333334</v>
      </c>
      <c r="C171" s="21" t="s">
        <v>131</v>
      </c>
      <c r="AF171" s="5" t="s">
        <v>192</v>
      </c>
      <c r="AG171" s="5" t="s">
        <v>214</v>
      </c>
      <c r="AH171" s="5" t="s">
        <v>230</v>
      </c>
      <c r="AK171" s="7"/>
      <c r="AL171" s="7"/>
    </row>
    <row r="172" spans="1:38" x14ac:dyDescent="0.35">
      <c r="A172" s="2">
        <v>1</v>
      </c>
      <c r="B172" s="15">
        <v>0.14097222222222222</v>
      </c>
      <c r="C172" s="21" t="s">
        <v>131</v>
      </c>
      <c r="AF172" s="5" t="s">
        <v>224</v>
      </c>
      <c r="AG172" s="5" t="s">
        <v>184</v>
      </c>
      <c r="AH172" s="5" t="s">
        <v>181</v>
      </c>
      <c r="AI172" s="5" t="s">
        <v>212</v>
      </c>
      <c r="AJ172" s="5" t="s">
        <v>197</v>
      </c>
      <c r="AK172" s="7"/>
      <c r="AL172" s="7"/>
    </row>
    <row r="173" spans="1:38" x14ac:dyDescent="0.35">
      <c r="A173" s="2">
        <v>1</v>
      </c>
      <c r="B173" s="15">
        <v>0.13402777777777777</v>
      </c>
      <c r="C173" s="21" t="s">
        <v>131</v>
      </c>
      <c r="Y173" s="16" t="s">
        <v>187</v>
      </c>
      <c r="Z173" s="16" t="s">
        <v>224</v>
      </c>
      <c r="AA173" s="16" t="s">
        <v>195</v>
      </c>
      <c r="AB173" s="16" t="s">
        <v>157</v>
      </c>
      <c r="AC173" s="16" t="s">
        <v>182</v>
      </c>
      <c r="AD173" s="16" t="s">
        <v>181</v>
      </c>
      <c r="AE173" s="16" t="s">
        <v>181</v>
      </c>
      <c r="AF173" s="5" t="s">
        <v>190</v>
      </c>
      <c r="AG173" s="5" t="s">
        <v>197</v>
      </c>
      <c r="AK173" s="7"/>
      <c r="AL173" s="7"/>
    </row>
    <row r="174" spans="1:38" x14ac:dyDescent="0.35">
      <c r="A174" s="2">
        <v>1</v>
      </c>
      <c r="B174" s="15">
        <v>0.11944444444444445</v>
      </c>
      <c r="C174" s="21" t="s">
        <v>131</v>
      </c>
      <c r="Y174" s="16" t="s">
        <v>205</v>
      </c>
      <c r="Z174" s="16" t="s">
        <v>198</v>
      </c>
      <c r="AA174" s="16" t="s">
        <v>181</v>
      </c>
      <c r="AC174" s="16" t="s">
        <v>187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1</v>
      </c>
      <c r="B175" s="15">
        <v>0.11874999999999999</v>
      </c>
      <c r="C175" s="21" t="s">
        <v>131</v>
      </c>
      <c r="Y175" s="16" t="s">
        <v>205</v>
      </c>
      <c r="Z175" s="16" t="s">
        <v>224</v>
      </c>
      <c r="AA175" s="16" t="s">
        <v>190</v>
      </c>
      <c r="AC175" s="16" t="s">
        <v>187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1</v>
      </c>
      <c r="B176" s="15">
        <v>0.1076388888888889</v>
      </c>
      <c r="C176" s="21" t="s">
        <v>131</v>
      </c>
      <c r="Y176" s="16" t="s">
        <v>179</v>
      </c>
      <c r="Z176" s="16" t="s">
        <v>198</v>
      </c>
      <c r="AA176" s="16" t="s">
        <v>181</v>
      </c>
      <c r="AC176" s="16" t="s">
        <v>182</v>
      </c>
      <c r="AD176" s="16" t="s">
        <v>181</v>
      </c>
      <c r="AE176" s="16" t="s">
        <v>181</v>
      </c>
      <c r="AF176" s="5" t="s">
        <v>225</v>
      </c>
      <c r="AG176" s="5" t="s">
        <v>226</v>
      </c>
      <c r="AH176" s="5" t="s">
        <v>181</v>
      </c>
      <c r="AK176" s="7"/>
      <c r="AL176" s="7"/>
    </row>
    <row r="177" spans="1:38" x14ac:dyDescent="0.35">
      <c r="A177" s="2">
        <v>1</v>
      </c>
      <c r="B177" s="15">
        <v>0.10694444444444444</v>
      </c>
      <c r="C177" s="21" t="s">
        <v>131</v>
      </c>
      <c r="AF177" s="5" t="s">
        <v>225</v>
      </c>
      <c r="AG177" s="5" t="s">
        <v>184</v>
      </c>
      <c r="AH177" s="5" t="s">
        <v>181</v>
      </c>
      <c r="AI177" s="5" t="s">
        <v>206</v>
      </c>
      <c r="AJ177" s="5" t="s">
        <v>197</v>
      </c>
      <c r="AK177" s="7"/>
      <c r="AL177" s="7"/>
    </row>
    <row r="178" spans="1:38" x14ac:dyDescent="0.35">
      <c r="A178" s="2">
        <v>1</v>
      </c>
      <c r="B178" s="15">
        <v>0.10416666666666667</v>
      </c>
      <c r="C178" s="21" t="s">
        <v>131</v>
      </c>
      <c r="Y178" s="16" t="s">
        <v>187</v>
      </c>
      <c r="Z178" s="16" t="s">
        <v>202</v>
      </c>
      <c r="AA178" s="16" t="s">
        <v>183</v>
      </c>
      <c r="AB178" s="16" t="s">
        <v>181</v>
      </c>
      <c r="AC178" s="16" t="s">
        <v>182</v>
      </c>
      <c r="AD178" s="16" t="s">
        <v>181</v>
      </c>
      <c r="AE178" s="16" t="s">
        <v>157</v>
      </c>
      <c r="AK178" s="7"/>
      <c r="AL178" s="7"/>
    </row>
    <row r="179" spans="1:38" x14ac:dyDescent="0.35">
      <c r="A179" s="2">
        <v>1</v>
      </c>
      <c r="B179" s="15">
        <v>8.2638888888888887E-2</v>
      </c>
      <c r="C179" s="21" t="s">
        <v>162</v>
      </c>
      <c r="Y179" s="16" t="s">
        <v>187</v>
      </c>
      <c r="Z179" s="16" t="s">
        <v>215</v>
      </c>
      <c r="AA179" s="16" t="s">
        <v>183</v>
      </c>
      <c r="AB179" s="16" t="s">
        <v>181</v>
      </c>
      <c r="AC179" s="16" t="s">
        <v>189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1</v>
      </c>
      <c r="B180" s="15">
        <v>5.7638888888888892E-2</v>
      </c>
      <c r="C180" s="21" t="s">
        <v>162</v>
      </c>
      <c r="Y180" s="16" t="s">
        <v>179</v>
      </c>
      <c r="Z180" s="16" t="s">
        <v>220</v>
      </c>
      <c r="AA180" s="16" t="s">
        <v>196</v>
      </c>
      <c r="AB180" s="16" t="s">
        <v>181</v>
      </c>
      <c r="AC180" s="16" t="s">
        <v>189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1</v>
      </c>
      <c r="B181" s="15">
        <v>4.4444444444444446E-2</v>
      </c>
      <c r="C181" s="21" t="s">
        <v>162</v>
      </c>
      <c r="Y181" s="16" t="s">
        <v>187</v>
      </c>
      <c r="Z181" s="16" t="s">
        <v>202</v>
      </c>
      <c r="AA181" s="16" t="s">
        <v>181</v>
      </c>
      <c r="AB181" s="16" t="s">
        <v>157</v>
      </c>
      <c r="AC181" s="16" t="s">
        <v>189</v>
      </c>
      <c r="AD181" s="16" t="s">
        <v>181</v>
      </c>
      <c r="AE181" s="16" t="s">
        <v>157</v>
      </c>
      <c r="AK181" s="7"/>
      <c r="AL181" s="7"/>
    </row>
    <row r="182" spans="1:38" x14ac:dyDescent="0.35">
      <c r="A182" s="2">
        <v>1</v>
      </c>
      <c r="B182" s="15">
        <v>3.0555555555555555E-2</v>
      </c>
      <c r="C182" s="21" t="s">
        <v>131</v>
      </c>
      <c r="Y182" s="16" t="s">
        <v>179</v>
      </c>
      <c r="Z182" s="16" t="s">
        <v>183</v>
      </c>
      <c r="AA182" s="16" t="s">
        <v>188</v>
      </c>
      <c r="AB182" s="16" t="s">
        <v>181</v>
      </c>
      <c r="AC182" s="16" t="s">
        <v>189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2">
        <v>1</v>
      </c>
      <c r="B183" s="15">
        <v>2.0833333333333332E-2</v>
      </c>
      <c r="C183" s="21" t="s">
        <v>131</v>
      </c>
      <c r="Y183" s="16" t="s">
        <v>187</v>
      </c>
      <c r="Z183" s="16" t="s">
        <v>207</v>
      </c>
      <c r="AA183" s="16" t="s">
        <v>185</v>
      </c>
      <c r="AB183" s="16" t="s">
        <v>157</v>
      </c>
      <c r="AC183" s="16" t="s">
        <v>182</v>
      </c>
      <c r="AD183" s="16" t="s">
        <v>181</v>
      </c>
      <c r="AE183" s="16" t="s">
        <v>157</v>
      </c>
      <c r="AF183" s="5" t="s">
        <v>208</v>
      </c>
      <c r="AG183" s="5" t="s">
        <v>197</v>
      </c>
      <c r="AK183" s="7"/>
      <c r="AL183" s="7"/>
    </row>
    <row r="184" spans="1:38" x14ac:dyDescent="0.35">
      <c r="A184" s="2">
        <v>1</v>
      </c>
      <c r="B184" s="15">
        <v>1.2500000000000001E-2</v>
      </c>
      <c r="C184" s="21" t="s">
        <v>131</v>
      </c>
      <c r="AF184" s="5" t="s">
        <v>183</v>
      </c>
      <c r="AG184" s="5" t="s">
        <v>197</v>
      </c>
      <c r="AK184" s="7"/>
      <c r="AL184" s="7"/>
    </row>
    <row r="185" spans="1:38" x14ac:dyDescent="0.35">
      <c r="A185" s="2">
        <v>1</v>
      </c>
      <c r="B185" s="15">
        <v>9.0277777777777769E-3</v>
      </c>
      <c r="C185" s="21" t="s">
        <v>131</v>
      </c>
      <c r="Y185" s="16" t="s">
        <v>187</v>
      </c>
      <c r="Z185" s="16" t="s">
        <v>198</v>
      </c>
      <c r="AA185" s="16" t="s">
        <v>193</v>
      </c>
      <c r="AB185" s="16" t="s">
        <v>157</v>
      </c>
      <c r="AC185" s="16" t="s">
        <v>182</v>
      </c>
      <c r="AD185" s="16" t="s">
        <v>181</v>
      </c>
      <c r="AE185" s="16" t="s">
        <v>157</v>
      </c>
    </row>
    <row r="186" spans="1:38" x14ac:dyDescent="0.35">
      <c r="A186" s="2">
        <v>2</v>
      </c>
      <c r="B186" s="15">
        <v>0.82777777777777772</v>
      </c>
      <c r="C186" s="21" t="s">
        <v>131</v>
      </c>
      <c r="Y186" s="16" t="s">
        <v>187</v>
      </c>
      <c r="Z186" s="16" t="s">
        <v>185</v>
      </c>
      <c r="AA186" s="16" t="s">
        <v>193</v>
      </c>
      <c r="AB186" s="16" t="s">
        <v>181</v>
      </c>
      <c r="AC186" s="16" t="s">
        <v>182</v>
      </c>
      <c r="AD186" s="16" t="s">
        <v>181</v>
      </c>
      <c r="AE186" s="16" t="s">
        <v>181</v>
      </c>
      <c r="AF186" s="5" t="s">
        <v>217</v>
      </c>
      <c r="AG186" s="5" t="s">
        <v>213</v>
      </c>
    </row>
    <row r="187" spans="1:38" x14ac:dyDescent="0.35">
      <c r="A187" s="2">
        <v>2</v>
      </c>
      <c r="B187" s="15">
        <v>0.81944444444444442</v>
      </c>
      <c r="C187" s="21" t="s">
        <v>131</v>
      </c>
      <c r="Y187" s="16" t="s">
        <v>205</v>
      </c>
      <c r="Z187" s="16" t="s">
        <v>217</v>
      </c>
      <c r="AA187" s="16" t="s">
        <v>210</v>
      </c>
      <c r="AC187" s="16" t="s">
        <v>189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0.81736111111111109</v>
      </c>
      <c r="C188" s="21" t="s">
        <v>131</v>
      </c>
      <c r="Y188" s="16" t="s">
        <v>187</v>
      </c>
      <c r="Z188" s="16" t="s">
        <v>210</v>
      </c>
      <c r="AA188" s="16" t="s">
        <v>188</v>
      </c>
      <c r="AB188" s="16" t="s">
        <v>157</v>
      </c>
      <c r="AC188" s="16" t="s">
        <v>189</v>
      </c>
      <c r="AD188" s="16" t="s">
        <v>181</v>
      </c>
      <c r="AE188" s="16" t="s">
        <v>157</v>
      </c>
      <c r="AF188" s="5" t="s">
        <v>220</v>
      </c>
      <c r="AG188" s="5" t="s">
        <v>197</v>
      </c>
    </row>
    <row r="189" spans="1:38" x14ac:dyDescent="0.35">
      <c r="A189" s="2">
        <v>2</v>
      </c>
      <c r="B189" s="15">
        <v>0.79236111111111107</v>
      </c>
      <c r="C189" s="21" t="s">
        <v>131</v>
      </c>
      <c r="Y189" s="16" t="s">
        <v>205</v>
      </c>
      <c r="Z189" s="16" t="s">
        <v>198</v>
      </c>
      <c r="AA189" s="16" t="s">
        <v>192</v>
      </c>
      <c r="AC189" s="16" t="s">
        <v>189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0.79027777777777775</v>
      </c>
      <c r="C190" s="21" t="s">
        <v>131</v>
      </c>
      <c r="Y190" s="16" t="s">
        <v>218</v>
      </c>
      <c r="Z190" s="16" t="s">
        <v>149</v>
      </c>
      <c r="AD190" s="16" t="s">
        <v>180</v>
      </c>
    </row>
    <row r="191" spans="1:38" x14ac:dyDescent="0.35">
      <c r="A191" s="2">
        <v>2</v>
      </c>
      <c r="B191" s="15">
        <v>0.75624999999999998</v>
      </c>
      <c r="C191" s="21" t="s">
        <v>131</v>
      </c>
      <c r="Y191" s="16" t="s">
        <v>179</v>
      </c>
      <c r="Z191" s="16" t="s">
        <v>221</v>
      </c>
      <c r="AA191" s="16" t="s">
        <v>225</v>
      </c>
      <c r="AC191" s="16" t="s">
        <v>182</v>
      </c>
      <c r="AD191" s="16" t="s">
        <v>228</v>
      </c>
      <c r="AE191" s="16" t="s">
        <v>140</v>
      </c>
    </row>
    <row r="192" spans="1:38" x14ac:dyDescent="0.35">
      <c r="A192" s="2">
        <v>2</v>
      </c>
      <c r="B192" s="15">
        <v>0.72986111111111107</v>
      </c>
      <c r="C192" s="21" t="s">
        <v>131</v>
      </c>
      <c r="Y192" s="16" t="s">
        <v>205</v>
      </c>
      <c r="Z192" s="16" t="s">
        <v>212</v>
      </c>
      <c r="AA192" s="16" t="s">
        <v>219</v>
      </c>
      <c r="AC192" s="16" t="s">
        <v>187</v>
      </c>
      <c r="AD192" s="16" t="s">
        <v>181</v>
      </c>
      <c r="AE192" s="16" t="s">
        <v>181</v>
      </c>
    </row>
    <row r="193" spans="1:36" x14ac:dyDescent="0.35">
      <c r="A193" s="2">
        <v>2</v>
      </c>
      <c r="B193" s="15">
        <v>0.72430555555555554</v>
      </c>
      <c r="C193" s="21" t="s">
        <v>131</v>
      </c>
      <c r="Y193" s="16" t="s">
        <v>179</v>
      </c>
      <c r="Z193" s="16" t="s">
        <v>207</v>
      </c>
      <c r="AA193" s="16" t="s">
        <v>209</v>
      </c>
      <c r="AC193" s="16" t="s">
        <v>187</v>
      </c>
      <c r="AD193" s="16" t="s">
        <v>181</v>
      </c>
      <c r="AE193" s="16" t="s">
        <v>181</v>
      </c>
      <c r="AF193" s="5" t="s">
        <v>219</v>
      </c>
      <c r="AG193" s="5" t="s">
        <v>184</v>
      </c>
      <c r="AH193" s="5" t="s">
        <v>181</v>
      </c>
      <c r="AI193" s="5" t="s">
        <v>195</v>
      </c>
      <c r="AJ193" s="5" t="s">
        <v>194</v>
      </c>
    </row>
    <row r="194" spans="1:36" x14ac:dyDescent="0.35">
      <c r="A194" s="2">
        <v>2</v>
      </c>
      <c r="B194" s="15">
        <v>0.71736111111111112</v>
      </c>
      <c r="C194" s="21" t="s">
        <v>131</v>
      </c>
      <c r="Y194" s="16" t="s">
        <v>179</v>
      </c>
      <c r="Z194" s="16" t="s">
        <v>185</v>
      </c>
      <c r="AA194" s="16" t="s">
        <v>181</v>
      </c>
      <c r="AC194" s="16" t="s">
        <v>182</v>
      </c>
      <c r="AD194" s="16" t="s">
        <v>181</v>
      </c>
      <c r="AE194" s="16" t="s">
        <v>181</v>
      </c>
      <c r="AF194" s="5" t="s">
        <v>199</v>
      </c>
      <c r="AG194" s="5" t="s">
        <v>184</v>
      </c>
      <c r="AH194" s="5" t="s">
        <v>181</v>
      </c>
      <c r="AI194" s="5" t="s">
        <v>193</v>
      </c>
      <c r="AJ194" s="5" t="s">
        <v>197</v>
      </c>
    </row>
    <row r="195" spans="1:36" x14ac:dyDescent="0.35">
      <c r="A195" s="2">
        <v>2</v>
      </c>
      <c r="B195" s="15">
        <v>0.71111111111111114</v>
      </c>
      <c r="C195" s="21" t="s">
        <v>131</v>
      </c>
      <c r="Y195" s="16" t="s">
        <v>205</v>
      </c>
      <c r="Z195" s="16" t="s">
        <v>207</v>
      </c>
      <c r="AA195" s="16" t="s">
        <v>219</v>
      </c>
      <c r="AC195" s="16" t="s">
        <v>189</v>
      </c>
      <c r="AD195" s="16" t="s">
        <v>181</v>
      </c>
      <c r="AE195" s="16" t="s">
        <v>181</v>
      </c>
    </row>
    <row r="196" spans="1:36" x14ac:dyDescent="0.35">
      <c r="A196" s="2">
        <v>2</v>
      </c>
      <c r="B196" s="15">
        <v>0.70902777777777781</v>
      </c>
      <c r="C196" s="21" t="s">
        <v>131</v>
      </c>
      <c r="Y196" s="16" t="s">
        <v>187</v>
      </c>
      <c r="Z196" s="16" t="s">
        <v>219</v>
      </c>
      <c r="AA196" s="16" t="s">
        <v>193</v>
      </c>
      <c r="AB196" s="16" t="s">
        <v>181</v>
      </c>
      <c r="AC196" s="16" t="s">
        <v>182</v>
      </c>
      <c r="AD196" s="16" t="s">
        <v>181</v>
      </c>
      <c r="AE196" s="16" t="s">
        <v>181</v>
      </c>
      <c r="AF196" s="5" t="s">
        <v>193</v>
      </c>
      <c r="AG196" s="5" t="s">
        <v>184</v>
      </c>
      <c r="AH196" s="5" t="s">
        <v>181</v>
      </c>
      <c r="AI196" s="5" t="s">
        <v>208</v>
      </c>
      <c r="AJ196" s="5" t="s">
        <v>186</v>
      </c>
    </row>
    <row r="197" spans="1:36" x14ac:dyDescent="0.35">
      <c r="A197" s="2">
        <v>2</v>
      </c>
      <c r="B197" s="15">
        <v>0.69930555555555551</v>
      </c>
      <c r="C197" s="21" t="s">
        <v>131</v>
      </c>
      <c r="Y197" s="16" t="s">
        <v>179</v>
      </c>
      <c r="Z197" s="16" t="s">
        <v>210</v>
      </c>
      <c r="AA197" s="16" t="s">
        <v>181</v>
      </c>
      <c r="AC197" s="16" t="s">
        <v>182</v>
      </c>
      <c r="AD197" s="16" t="s">
        <v>181</v>
      </c>
      <c r="AE197" s="16" t="s">
        <v>181</v>
      </c>
      <c r="AF197" s="5" t="s">
        <v>193</v>
      </c>
      <c r="AG197" s="5" t="s">
        <v>184</v>
      </c>
      <c r="AH197" s="5" t="s">
        <v>181</v>
      </c>
      <c r="AI197" s="5" t="s">
        <v>188</v>
      </c>
      <c r="AJ197" s="5" t="s">
        <v>197</v>
      </c>
    </row>
    <row r="198" spans="1:36" x14ac:dyDescent="0.35">
      <c r="A198" s="2">
        <v>2</v>
      </c>
      <c r="B198" s="15">
        <v>0.68958333333333333</v>
      </c>
      <c r="C198" s="21" t="s">
        <v>131</v>
      </c>
      <c r="Y198" s="16" t="s">
        <v>179</v>
      </c>
      <c r="Z198" s="16" t="s">
        <v>208</v>
      </c>
      <c r="AA198" s="16" t="s">
        <v>221</v>
      </c>
      <c r="AC198" s="16" t="s">
        <v>182</v>
      </c>
      <c r="AD198" s="16" t="s">
        <v>231</v>
      </c>
      <c r="AE198" s="16" t="s">
        <v>157</v>
      </c>
      <c r="AF198" s="5" t="s">
        <v>196</v>
      </c>
      <c r="AG198" s="5" t="s">
        <v>226</v>
      </c>
      <c r="AH198" s="5" t="s">
        <v>231</v>
      </c>
    </row>
    <row r="199" spans="1:36" x14ac:dyDescent="0.35">
      <c r="A199" s="2">
        <v>2</v>
      </c>
      <c r="B199" s="15">
        <v>0.67361111111111116</v>
      </c>
      <c r="C199" s="21" t="s">
        <v>131</v>
      </c>
      <c r="Y199" s="16" t="s">
        <v>179</v>
      </c>
      <c r="Z199" s="16" t="s">
        <v>230</v>
      </c>
      <c r="AA199" s="16" t="s">
        <v>181</v>
      </c>
      <c r="AC199" s="16" t="s">
        <v>187</v>
      </c>
      <c r="AD199" s="16" t="s">
        <v>181</v>
      </c>
      <c r="AE199" s="16" t="s">
        <v>181</v>
      </c>
    </row>
    <row r="200" spans="1:36" x14ac:dyDescent="0.35">
      <c r="A200" s="2">
        <v>2</v>
      </c>
      <c r="B200" s="15">
        <v>0.66597222222222219</v>
      </c>
      <c r="C200" s="21" t="s">
        <v>131</v>
      </c>
      <c r="Y200" s="16" t="s">
        <v>218</v>
      </c>
      <c r="Z200" s="16" t="s">
        <v>149</v>
      </c>
      <c r="AF200" s="5" t="s">
        <v>221</v>
      </c>
      <c r="AG200" s="5" t="s">
        <v>184</v>
      </c>
      <c r="AH200" s="5" t="s">
        <v>181</v>
      </c>
      <c r="AI200" s="5" t="s">
        <v>190</v>
      </c>
      <c r="AJ200" s="5" t="s">
        <v>197</v>
      </c>
    </row>
    <row r="201" spans="1:36" x14ac:dyDescent="0.35">
      <c r="A201" s="2">
        <v>2</v>
      </c>
      <c r="B201" s="15">
        <v>0.66111111111111109</v>
      </c>
      <c r="C201" s="21" t="s">
        <v>131</v>
      </c>
      <c r="Y201" s="16" t="s">
        <v>179</v>
      </c>
      <c r="Z201" s="16" t="s">
        <v>230</v>
      </c>
      <c r="AA201" s="16" t="s">
        <v>191</v>
      </c>
      <c r="AC201" s="16" t="s">
        <v>182</v>
      </c>
      <c r="AD201" s="16" t="s">
        <v>181</v>
      </c>
      <c r="AE201" s="16" t="s">
        <v>181</v>
      </c>
      <c r="AF201" s="5" t="s">
        <v>192</v>
      </c>
      <c r="AG201" s="5" t="s">
        <v>184</v>
      </c>
      <c r="AH201" s="5" t="s">
        <v>181</v>
      </c>
      <c r="AI201" s="5" t="s">
        <v>191</v>
      </c>
      <c r="AJ201" s="5" t="s">
        <v>197</v>
      </c>
    </row>
    <row r="202" spans="1:36" x14ac:dyDescent="0.35">
      <c r="A202" s="2">
        <v>2</v>
      </c>
      <c r="B202" s="15">
        <v>0.65277777777777779</v>
      </c>
      <c r="C202" s="21" t="s">
        <v>131</v>
      </c>
      <c r="Y202" s="16" t="s">
        <v>179</v>
      </c>
      <c r="Z202" s="16" t="s">
        <v>220</v>
      </c>
      <c r="AA202" s="16" t="s">
        <v>181</v>
      </c>
      <c r="AC202" s="16" t="s">
        <v>189</v>
      </c>
      <c r="AD202" s="16" t="s">
        <v>181</v>
      </c>
      <c r="AE202" s="16" t="s">
        <v>181</v>
      </c>
      <c r="AF202" s="5" t="s">
        <v>195</v>
      </c>
      <c r="AG202" s="5" t="s">
        <v>226</v>
      </c>
    </row>
    <row r="203" spans="1:36" x14ac:dyDescent="0.35">
      <c r="A203" s="2">
        <v>2</v>
      </c>
      <c r="B203" s="15">
        <v>0.64375000000000004</v>
      </c>
      <c r="C203" s="21" t="s">
        <v>131</v>
      </c>
      <c r="AF203" s="5" t="s">
        <v>195</v>
      </c>
      <c r="AG203" s="5" t="s">
        <v>194</v>
      </c>
    </row>
    <row r="204" spans="1:36" x14ac:dyDescent="0.35">
      <c r="A204" s="2">
        <v>2</v>
      </c>
      <c r="B204" s="15">
        <v>0.64097222222222228</v>
      </c>
      <c r="C204" s="21" t="s">
        <v>131</v>
      </c>
      <c r="Y204" s="16" t="s">
        <v>179</v>
      </c>
      <c r="Z204" s="16" t="s">
        <v>216</v>
      </c>
      <c r="AA204" s="16" t="s">
        <v>188</v>
      </c>
      <c r="AC204" s="16" t="s">
        <v>187</v>
      </c>
      <c r="AD204" s="16" t="s">
        <v>216</v>
      </c>
      <c r="AE204" s="16" t="s">
        <v>157</v>
      </c>
    </row>
    <row r="205" spans="1:36" x14ac:dyDescent="0.35">
      <c r="A205" s="2">
        <v>2</v>
      </c>
      <c r="B205" s="15">
        <v>0.63402777777777775</v>
      </c>
      <c r="C205" s="21" t="s">
        <v>131</v>
      </c>
      <c r="Y205" s="16" t="s">
        <v>179</v>
      </c>
      <c r="Z205" s="16" t="s">
        <v>202</v>
      </c>
      <c r="AA205" s="16" t="s">
        <v>181</v>
      </c>
      <c r="AC205" s="16" t="s">
        <v>189</v>
      </c>
      <c r="AD205" s="16" t="s">
        <v>181</v>
      </c>
      <c r="AE205" s="16" t="s">
        <v>181</v>
      </c>
      <c r="AF205" s="5" t="s">
        <v>228</v>
      </c>
      <c r="AG205" s="5" t="s">
        <v>197</v>
      </c>
    </row>
    <row r="206" spans="1:36" x14ac:dyDescent="0.35">
      <c r="A206" s="2">
        <v>2</v>
      </c>
      <c r="B206" s="15">
        <v>0.60763888888888884</v>
      </c>
      <c r="C206" s="21" t="s">
        <v>131</v>
      </c>
      <c r="Y206" s="16" t="s">
        <v>179</v>
      </c>
      <c r="Z206" s="16" t="s">
        <v>216</v>
      </c>
      <c r="AA206" s="16" t="s">
        <v>225</v>
      </c>
      <c r="AC206" s="16" t="s">
        <v>182</v>
      </c>
      <c r="AD206" s="16" t="s">
        <v>181</v>
      </c>
      <c r="AE206" s="16" t="s">
        <v>181</v>
      </c>
      <c r="AF206" s="5" t="s">
        <v>180</v>
      </c>
      <c r="AG206" s="5" t="s">
        <v>213</v>
      </c>
    </row>
    <row r="207" spans="1:36" x14ac:dyDescent="0.35">
      <c r="A207" s="2">
        <v>2</v>
      </c>
      <c r="B207" s="15">
        <v>0.60277777777777775</v>
      </c>
      <c r="C207" s="21" t="s">
        <v>131</v>
      </c>
      <c r="Y207" s="16" t="s">
        <v>179</v>
      </c>
      <c r="Z207" s="16" t="s">
        <v>180</v>
      </c>
      <c r="AA207" s="16" t="s">
        <v>209</v>
      </c>
      <c r="AC207" s="16" t="s">
        <v>182</v>
      </c>
      <c r="AD207" s="16" t="s">
        <v>181</v>
      </c>
      <c r="AE207" s="16" t="s">
        <v>181</v>
      </c>
      <c r="AF207" s="5" t="s">
        <v>183</v>
      </c>
      <c r="AG207" s="5" t="s">
        <v>184</v>
      </c>
      <c r="AH207" s="5" t="s">
        <v>202</v>
      </c>
      <c r="AI207" s="5" t="s">
        <v>185</v>
      </c>
      <c r="AJ207" s="5" t="s">
        <v>197</v>
      </c>
    </row>
    <row r="208" spans="1:36" x14ac:dyDescent="0.35">
      <c r="A208" s="2">
        <v>2</v>
      </c>
      <c r="B208" s="15">
        <v>0.59513888888888888</v>
      </c>
      <c r="C208" s="21" t="s">
        <v>131</v>
      </c>
      <c r="Y208" s="16" t="s">
        <v>187</v>
      </c>
      <c r="Z208" s="16" t="s">
        <v>195</v>
      </c>
      <c r="AA208" s="16" t="s">
        <v>188</v>
      </c>
      <c r="AB208" s="16" t="s">
        <v>181</v>
      </c>
      <c r="AC208" s="16" t="s">
        <v>189</v>
      </c>
      <c r="AD208" s="16" t="s">
        <v>181</v>
      </c>
      <c r="AE208" s="16" t="s">
        <v>181</v>
      </c>
    </row>
    <row r="209" spans="1:36" x14ac:dyDescent="0.35">
      <c r="A209" s="2">
        <v>2</v>
      </c>
      <c r="B209" s="15">
        <v>0.55555555555555558</v>
      </c>
      <c r="C209" s="21" t="s">
        <v>162</v>
      </c>
      <c r="Y209" s="16" t="s">
        <v>187</v>
      </c>
      <c r="Z209" s="16" t="s">
        <v>219</v>
      </c>
      <c r="AA209" s="16" t="s">
        <v>188</v>
      </c>
      <c r="AB209" s="16" t="s">
        <v>157</v>
      </c>
      <c r="AC209" s="16" t="s">
        <v>189</v>
      </c>
      <c r="AD209" s="16" t="s">
        <v>181</v>
      </c>
      <c r="AE209" s="16" t="s">
        <v>140</v>
      </c>
    </row>
    <row r="210" spans="1:36" x14ac:dyDescent="0.35">
      <c r="A210" s="2">
        <v>2</v>
      </c>
      <c r="B210" s="15">
        <v>0.53125</v>
      </c>
      <c r="C210" s="21" t="s">
        <v>162</v>
      </c>
      <c r="Y210" s="16" t="s">
        <v>187</v>
      </c>
      <c r="Z210" s="16" t="s">
        <v>210</v>
      </c>
      <c r="AA210" s="16" t="s">
        <v>193</v>
      </c>
      <c r="AB210" s="16" t="s">
        <v>181</v>
      </c>
      <c r="AC210" s="16" t="s">
        <v>187</v>
      </c>
      <c r="AD210" s="16" t="s">
        <v>181</v>
      </c>
      <c r="AE210" s="16" t="s">
        <v>181</v>
      </c>
    </row>
    <row r="211" spans="1:36" x14ac:dyDescent="0.35">
      <c r="A211" s="2">
        <v>2</v>
      </c>
      <c r="B211" s="15">
        <v>0.51388888888888884</v>
      </c>
      <c r="C211" s="21" t="s">
        <v>162</v>
      </c>
      <c r="Y211" s="16" t="s">
        <v>187</v>
      </c>
      <c r="Z211" s="16" t="s">
        <v>185</v>
      </c>
      <c r="AA211" s="16" t="s">
        <v>192</v>
      </c>
      <c r="AB211" s="16" t="s">
        <v>181</v>
      </c>
      <c r="AC211" s="16" t="s">
        <v>189</v>
      </c>
      <c r="AD211" s="16" t="s">
        <v>181</v>
      </c>
      <c r="AE211" s="16" t="s">
        <v>181</v>
      </c>
    </row>
    <row r="212" spans="1:36" x14ac:dyDescent="0.35">
      <c r="A212" s="2">
        <v>2</v>
      </c>
      <c r="B212" s="15">
        <v>0.50069444444444444</v>
      </c>
      <c r="C212" s="21" t="s">
        <v>174</v>
      </c>
      <c r="Y212" s="16" t="s">
        <v>187</v>
      </c>
      <c r="Z212" s="16" t="s">
        <v>208</v>
      </c>
      <c r="AA212" s="16" t="s">
        <v>181</v>
      </c>
      <c r="AB212" s="16" t="s">
        <v>181</v>
      </c>
      <c r="AC212" s="16" t="s">
        <v>182</v>
      </c>
      <c r="AD212" s="16" t="s">
        <v>181</v>
      </c>
      <c r="AE212" s="16" t="s">
        <v>181</v>
      </c>
    </row>
    <row r="213" spans="1:36" x14ac:dyDescent="0.35">
      <c r="A213" s="2">
        <v>2</v>
      </c>
      <c r="B213" s="15">
        <v>0.4861111111111111</v>
      </c>
      <c r="C213" s="21" t="s">
        <v>131</v>
      </c>
      <c r="Y213" s="16" t="s">
        <v>205</v>
      </c>
      <c r="Z213" s="16" t="s">
        <v>209</v>
      </c>
      <c r="AA213" s="16" t="s">
        <v>191</v>
      </c>
      <c r="AC213" s="16" t="s">
        <v>182</v>
      </c>
      <c r="AD213" s="16" t="s">
        <v>181</v>
      </c>
      <c r="AE213" s="16" t="s">
        <v>181</v>
      </c>
    </row>
    <row r="214" spans="1:36" x14ac:dyDescent="0.35">
      <c r="A214" s="2">
        <v>2</v>
      </c>
      <c r="B214" s="15">
        <v>0.47222222222222221</v>
      </c>
      <c r="C214" s="21" t="s">
        <v>131</v>
      </c>
      <c r="Y214" s="16" t="s">
        <v>179</v>
      </c>
      <c r="Z214" s="16" t="s">
        <v>209</v>
      </c>
      <c r="AA214" s="16" t="s">
        <v>181</v>
      </c>
      <c r="AC214" s="16" t="s">
        <v>182</v>
      </c>
      <c r="AD214" s="16" t="s">
        <v>181</v>
      </c>
      <c r="AE214" s="16" t="s">
        <v>181</v>
      </c>
      <c r="AF214" s="5" t="s">
        <v>199</v>
      </c>
      <c r="AG214" s="5" t="s">
        <v>184</v>
      </c>
      <c r="AH214" s="5" t="s">
        <v>230</v>
      </c>
      <c r="AI214" s="5" t="s">
        <v>202</v>
      </c>
      <c r="AJ214" s="5" t="s">
        <v>197</v>
      </c>
    </row>
    <row r="215" spans="1:36" x14ac:dyDescent="0.35">
      <c r="A215" s="2">
        <v>2</v>
      </c>
      <c r="B215" s="15">
        <v>0.47152777777777777</v>
      </c>
      <c r="C215" s="21" t="s">
        <v>131</v>
      </c>
      <c r="Y215" s="16" t="s">
        <v>187</v>
      </c>
      <c r="Z215" s="16" t="s">
        <v>180</v>
      </c>
      <c r="AA215" s="16" t="s">
        <v>221</v>
      </c>
      <c r="AB215" s="16" t="s">
        <v>181</v>
      </c>
      <c r="AC215" s="16" t="s">
        <v>182</v>
      </c>
      <c r="AD215" s="16" t="s">
        <v>181</v>
      </c>
      <c r="AE215" s="16" t="s">
        <v>181</v>
      </c>
      <c r="AF215" s="5" t="s">
        <v>216</v>
      </c>
      <c r="AG215" s="5" t="s">
        <v>214</v>
      </c>
      <c r="AH215" s="5" t="s">
        <v>225</v>
      </c>
    </row>
    <row r="216" spans="1:36" x14ac:dyDescent="0.35">
      <c r="A216" s="2">
        <v>2</v>
      </c>
      <c r="B216" s="15">
        <v>0.43958333333333333</v>
      </c>
      <c r="C216" s="21" t="s">
        <v>131</v>
      </c>
      <c r="AF216" s="5" t="s">
        <v>221</v>
      </c>
      <c r="AG216" s="5" t="s">
        <v>194</v>
      </c>
    </row>
    <row r="217" spans="1:36" x14ac:dyDescent="0.35">
      <c r="A217" s="2">
        <v>2</v>
      </c>
      <c r="B217" s="15">
        <v>0.43194444444444446</v>
      </c>
      <c r="C217" s="21" t="s">
        <v>131</v>
      </c>
      <c r="Y217" s="16" t="s">
        <v>179</v>
      </c>
      <c r="Z217" s="16" t="s">
        <v>212</v>
      </c>
      <c r="AA217" s="16" t="s">
        <v>181</v>
      </c>
      <c r="AC217" s="16" t="s">
        <v>189</v>
      </c>
      <c r="AD217" s="16" t="s">
        <v>181</v>
      </c>
      <c r="AE217" s="16" t="s">
        <v>181</v>
      </c>
      <c r="AF217" s="5" t="s">
        <v>209</v>
      </c>
      <c r="AG217" s="5" t="s">
        <v>194</v>
      </c>
    </row>
    <row r="218" spans="1:36" x14ac:dyDescent="0.35">
      <c r="A218" s="2">
        <v>2</v>
      </c>
      <c r="B218" s="15">
        <v>0.4236111111111111</v>
      </c>
      <c r="C218" s="21" t="s">
        <v>131</v>
      </c>
      <c r="Y218" s="16" t="s">
        <v>205</v>
      </c>
      <c r="Z218" s="16" t="s">
        <v>211</v>
      </c>
      <c r="AA218" s="16" t="s">
        <v>195</v>
      </c>
      <c r="AC218" s="16" t="s">
        <v>182</v>
      </c>
      <c r="AD218" s="16" t="s">
        <v>181</v>
      </c>
      <c r="AE218" s="16" t="s">
        <v>181</v>
      </c>
    </row>
    <row r="219" spans="1:36" x14ac:dyDescent="0.35">
      <c r="A219" s="2">
        <v>2</v>
      </c>
      <c r="B219" s="15">
        <v>0.41944444444444445</v>
      </c>
      <c r="C219" s="21" t="s">
        <v>131</v>
      </c>
      <c r="Y219" s="16" t="s">
        <v>179</v>
      </c>
      <c r="Z219" s="16" t="s">
        <v>209</v>
      </c>
      <c r="AA219" s="16" t="s">
        <v>181</v>
      </c>
      <c r="AC219" s="16" t="s">
        <v>189</v>
      </c>
      <c r="AD219" s="16" t="s">
        <v>181</v>
      </c>
      <c r="AE219" s="16" t="s">
        <v>181</v>
      </c>
      <c r="AF219" s="5" t="s">
        <v>199</v>
      </c>
      <c r="AG219" s="5" t="s">
        <v>184</v>
      </c>
      <c r="AH219" s="5" t="s">
        <v>181</v>
      </c>
      <c r="AI219" s="5" t="s">
        <v>212</v>
      </c>
      <c r="AJ219" s="5" t="s">
        <v>186</v>
      </c>
    </row>
    <row r="220" spans="1:36" x14ac:dyDescent="0.35">
      <c r="A220" s="2">
        <v>2</v>
      </c>
      <c r="B220" s="15">
        <v>0.4152777777777778</v>
      </c>
      <c r="C220" s="21" t="s">
        <v>131</v>
      </c>
      <c r="Y220" s="16" t="s">
        <v>179</v>
      </c>
      <c r="Z220" s="16" t="s">
        <v>183</v>
      </c>
      <c r="AA220" s="16" t="s">
        <v>181</v>
      </c>
      <c r="AC220" s="16" t="s">
        <v>189</v>
      </c>
      <c r="AD220" s="16" t="s">
        <v>181</v>
      </c>
      <c r="AE220" s="16" t="s">
        <v>181</v>
      </c>
      <c r="AF220" s="5" t="s">
        <v>188</v>
      </c>
      <c r="AG220" s="5" t="s">
        <v>184</v>
      </c>
      <c r="AH220" s="5" t="s">
        <v>183</v>
      </c>
      <c r="AI220" s="5" t="s">
        <v>193</v>
      </c>
      <c r="AJ220" s="5" t="s">
        <v>214</v>
      </c>
    </row>
    <row r="221" spans="1:36" x14ac:dyDescent="0.35">
      <c r="A221" s="2">
        <v>2</v>
      </c>
      <c r="B221" s="15">
        <v>0.39097222222222222</v>
      </c>
      <c r="C221" s="21" t="s">
        <v>162</v>
      </c>
      <c r="Y221" s="16" t="s">
        <v>205</v>
      </c>
      <c r="Z221" s="16" t="s">
        <v>215</v>
      </c>
      <c r="AA221" s="16" t="s">
        <v>198</v>
      </c>
      <c r="AB221" s="16" t="s">
        <v>181</v>
      </c>
      <c r="AC221" s="16" t="s">
        <v>189</v>
      </c>
      <c r="AD221" s="16" t="s">
        <v>181</v>
      </c>
      <c r="AE221" s="16" t="s">
        <v>181</v>
      </c>
    </row>
    <row r="222" spans="1:36" x14ac:dyDescent="0.35">
      <c r="A222" s="2">
        <v>2</v>
      </c>
      <c r="B222" s="15">
        <v>0.37569444444444444</v>
      </c>
      <c r="C222" s="21" t="s">
        <v>162</v>
      </c>
      <c r="Y222" s="16" t="s">
        <v>187</v>
      </c>
      <c r="Z222" s="16" t="s">
        <v>215</v>
      </c>
      <c r="AA222" s="16" t="s">
        <v>210</v>
      </c>
      <c r="AB222" s="16" t="s">
        <v>181</v>
      </c>
      <c r="AC222" s="16" t="s">
        <v>189</v>
      </c>
      <c r="AD222" s="16" t="s">
        <v>181</v>
      </c>
      <c r="AE222" s="16" t="s">
        <v>181</v>
      </c>
    </row>
    <row r="223" spans="1:36" x14ac:dyDescent="0.35">
      <c r="A223" s="2">
        <v>2</v>
      </c>
      <c r="B223" s="15">
        <v>0.34722222222222221</v>
      </c>
      <c r="C223" s="21" t="s">
        <v>162</v>
      </c>
      <c r="Y223" s="16" t="s">
        <v>205</v>
      </c>
      <c r="Z223" s="16" t="s">
        <v>202</v>
      </c>
      <c r="AA223" s="16" t="s">
        <v>196</v>
      </c>
      <c r="AB223" s="16" t="s">
        <v>181</v>
      </c>
      <c r="AC223" s="16" t="s">
        <v>189</v>
      </c>
      <c r="AD223" s="16" t="s">
        <v>181</v>
      </c>
      <c r="AE223" s="16" t="s">
        <v>181</v>
      </c>
    </row>
    <row r="224" spans="1:36" x14ac:dyDescent="0.35">
      <c r="A224" s="2">
        <v>2</v>
      </c>
      <c r="B224" s="15">
        <v>0.33819444444444446</v>
      </c>
      <c r="C224" s="21" t="s">
        <v>162</v>
      </c>
      <c r="Y224" s="16" t="s">
        <v>187</v>
      </c>
      <c r="Z224" s="16" t="s">
        <v>211</v>
      </c>
      <c r="AA224" s="16" t="s">
        <v>195</v>
      </c>
      <c r="AB224" s="16" t="s">
        <v>181</v>
      </c>
      <c r="AC224" s="16" t="s">
        <v>182</v>
      </c>
      <c r="AD224" s="16" t="s">
        <v>181</v>
      </c>
      <c r="AE224" s="16" t="s">
        <v>181</v>
      </c>
    </row>
    <row r="225" spans="1:36" x14ac:dyDescent="0.35">
      <c r="A225" s="2">
        <v>2</v>
      </c>
      <c r="B225" s="15">
        <v>0.3298611111111111</v>
      </c>
      <c r="C225" s="21" t="s">
        <v>162</v>
      </c>
      <c r="Y225" s="16" t="s">
        <v>205</v>
      </c>
      <c r="Z225" s="16" t="s">
        <v>212</v>
      </c>
      <c r="AA225" s="16" t="s">
        <v>195</v>
      </c>
      <c r="AC225" s="16" t="s">
        <v>182</v>
      </c>
      <c r="AD225" s="16" t="s">
        <v>181</v>
      </c>
      <c r="AE225" s="16" t="s">
        <v>181</v>
      </c>
    </row>
    <row r="226" spans="1:36" x14ac:dyDescent="0.35">
      <c r="A226" s="2">
        <v>2</v>
      </c>
      <c r="B226" s="15">
        <v>0.32430555555555557</v>
      </c>
      <c r="C226" s="21" t="s">
        <v>162</v>
      </c>
      <c r="Y226" s="16" t="s">
        <v>179</v>
      </c>
      <c r="Z226" s="16" t="s">
        <v>202</v>
      </c>
      <c r="AA226" s="16" t="s">
        <v>228</v>
      </c>
      <c r="AB226" s="16" t="s">
        <v>181</v>
      </c>
      <c r="AC226" s="16" t="s">
        <v>189</v>
      </c>
      <c r="AD226" s="16" t="s">
        <v>212</v>
      </c>
      <c r="AE226" s="16" t="s">
        <v>181</v>
      </c>
      <c r="AF226" s="5" t="s">
        <v>203</v>
      </c>
      <c r="AG226" s="5" t="s">
        <v>184</v>
      </c>
      <c r="AH226" s="5" t="s">
        <v>181</v>
      </c>
      <c r="AI226" s="5" t="s">
        <v>185</v>
      </c>
      <c r="AJ226" s="5" t="s">
        <v>213</v>
      </c>
    </row>
    <row r="227" spans="1:36" x14ac:dyDescent="0.35">
      <c r="A227" s="2">
        <v>2</v>
      </c>
      <c r="B227" s="15">
        <v>0.3034722222222222</v>
      </c>
      <c r="C227" s="21" t="s">
        <v>131</v>
      </c>
      <c r="Y227" s="16" t="s">
        <v>179</v>
      </c>
      <c r="Z227" s="16" t="s">
        <v>185</v>
      </c>
      <c r="AA227" s="16" t="s">
        <v>188</v>
      </c>
      <c r="AC227" s="16" t="s">
        <v>187</v>
      </c>
      <c r="AD227" s="16" t="s">
        <v>181</v>
      </c>
      <c r="AE227" s="16" t="s">
        <v>181</v>
      </c>
      <c r="AF227" s="5" t="s">
        <v>193</v>
      </c>
      <c r="AG227" s="5" t="s">
        <v>226</v>
      </c>
      <c r="AH227" s="5" t="s">
        <v>209</v>
      </c>
    </row>
    <row r="228" spans="1:36" x14ac:dyDescent="0.35">
      <c r="A228" s="2">
        <v>2</v>
      </c>
      <c r="B228" s="15">
        <v>0.29305555555555557</v>
      </c>
      <c r="C228" s="21" t="s">
        <v>131</v>
      </c>
      <c r="AF228" s="5" t="s">
        <v>180</v>
      </c>
      <c r="AG228" s="5" t="s">
        <v>197</v>
      </c>
    </row>
    <row r="229" spans="1:36" x14ac:dyDescent="0.35">
      <c r="A229" s="2">
        <v>2</v>
      </c>
      <c r="B229" s="15">
        <v>0.29097222222222224</v>
      </c>
      <c r="C229" s="21" t="s">
        <v>131</v>
      </c>
      <c r="Y229" s="16" t="s">
        <v>187</v>
      </c>
      <c r="Z229" s="16" t="s">
        <v>202</v>
      </c>
      <c r="AA229" s="16" t="s">
        <v>183</v>
      </c>
      <c r="AB229" s="16" t="s">
        <v>181</v>
      </c>
      <c r="AC229" s="16" t="s">
        <v>189</v>
      </c>
      <c r="AD229" s="16" t="s">
        <v>181</v>
      </c>
      <c r="AE229" s="16" t="s">
        <v>181</v>
      </c>
      <c r="AF229" s="5" t="s">
        <v>210</v>
      </c>
      <c r="AG229" s="5" t="s">
        <v>213</v>
      </c>
    </row>
    <row r="230" spans="1:36" x14ac:dyDescent="0.35">
      <c r="A230" s="2">
        <v>2</v>
      </c>
      <c r="B230" s="15">
        <v>0.28402777777777777</v>
      </c>
      <c r="C230" s="21" t="s">
        <v>131</v>
      </c>
      <c r="Y230" s="16" t="s">
        <v>179</v>
      </c>
      <c r="Z230" s="16" t="s">
        <v>210</v>
      </c>
      <c r="AA230" s="16" t="s">
        <v>181</v>
      </c>
      <c r="AC230" s="16" t="s">
        <v>182</v>
      </c>
      <c r="AD230" s="16" t="s">
        <v>181</v>
      </c>
      <c r="AE230" s="16" t="s">
        <v>181</v>
      </c>
      <c r="AF230" s="5" t="s">
        <v>192</v>
      </c>
      <c r="AG230" s="5" t="s">
        <v>184</v>
      </c>
      <c r="AH230" s="5" t="s">
        <v>181</v>
      </c>
      <c r="AI230" s="5" t="s">
        <v>191</v>
      </c>
      <c r="AJ230" s="5" t="s">
        <v>197</v>
      </c>
    </row>
    <row r="231" spans="1:36" x14ac:dyDescent="0.35">
      <c r="A231" s="2">
        <v>2</v>
      </c>
      <c r="B231" s="15">
        <v>0.27708333333333335</v>
      </c>
      <c r="C231" s="21" t="s">
        <v>131</v>
      </c>
      <c r="Y231" s="16" t="s">
        <v>187</v>
      </c>
      <c r="Z231" s="16" t="s">
        <v>206</v>
      </c>
      <c r="AA231" s="16" t="s">
        <v>183</v>
      </c>
      <c r="AB231" s="16" t="s">
        <v>181</v>
      </c>
      <c r="AC231" s="16" t="s">
        <v>182</v>
      </c>
      <c r="AD231" s="16" t="s">
        <v>181</v>
      </c>
      <c r="AE231" s="16" t="s">
        <v>181</v>
      </c>
      <c r="AF231" s="5" t="s">
        <v>190</v>
      </c>
      <c r="AG231" s="5" t="s">
        <v>194</v>
      </c>
    </row>
    <row r="232" spans="1:36" x14ac:dyDescent="0.35">
      <c r="A232" s="2">
        <v>2</v>
      </c>
      <c r="B232" s="15">
        <v>0.27083333333333331</v>
      </c>
      <c r="C232" s="21" t="s">
        <v>131</v>
      </c>
      <c r="Y232" s="16" t="s">
        <v>218</v>
      </c>
      <c r="Z232" s="16" t="s">
        <v>132</v>
      </c>
      <c r="AE232" s="16" t="s">
        <v>157</v>
      </c>
      <c r="AF232" s="5" t="s">
        <v>191</v>
      </c>
      <c r="AG232" s="5" t="s">
        <v>226</v>
      </c>
      <c r="AH232" s="5" t="s">
        <v>198</v>
      </c>
    </row>
    <row r="233" spans="1:36" x14ac:dyDescent="0.35">
      <c r="A233" s="2">
        <v>2</v>
      </c>
      <c r="B233" s="15">
        <v>0.26041666666666669</v>
      </c>
      <c r="C233" s="21" t="s">
        <v>131</v>
      </c>
      <c r="AF233" s="5" t="s">
        <v>207</v>
      </c>
      <c r="AG233" s="5" t="s">
        <v>214</v>
      </c>
    </row>
    <row r="234" spans="1:36" x14ac:dyDescent="0.35">
      <c r="A234" s="2">
        <v>2</v>
      </c>
      <c r="B234" s="15">
        <v>0.2590277777777778</v>
      </c>
      <c r="C234" s="21" t="s">
        <v>131</v>
      </c>
      <c r="AF234" s="5" t="s">
        <v>208</v>
      </c>
      <c r="AG234" s="5" t="s">
        <v>186</v>
      </c>
    </row>
    <row r="235" spans="1:36" x14ac:dyDescent="0.35">
      <c r="A235" s="2">
        <v>2</v>
      </c>
      <c r="B235" s="15">
        <v>0.25486111111111109</v>
      </c>
      <c r="C235" s="21" t="s">
        <v>131</v>
      </c>
      <c r="Y235" s="16" t="s">
        <v>179</v>
      </c>
      <c r="Z235" s="16" t="s">
        <v>203</v>
      </c>
      <c r="AA235" s="16" t="s">
        <v>181</v>
      </c>
      <c r="AC235" s="16" t="s">
        <v>182</v>
      </c>
      <c r="AD235" s="16" t="s">
        <v>181</v>
      </c>
      <c r="AE235" s="16" t="s">
        <v>181</v>
      </c>
      <c r="AF235" s="5" t="s">
        <v>199</v>
      </c>
      <c r="AG235" s="5" t="s">
        <v>184</v>
      </c>
      <c r="AH235" s="5" t="s">
        <v>200</v>
      </c>
      <c r="AI235" s="5" t="s">
        <v>231</v>
      </c>
      <c r="AJ235" s="5" t="s">
        <v>197</v>
      </c>
    </row>
    <row r="236" spans="1:36" x14ac:dyDescent="0.35">
      <c r="A236" s="2">
        <v>2</v>
      </c>
      <c r="B236" s="15">
        <v>0.24861111111111112</v>
      </c>
      <c r="C236" s="21" t="s">
        <v>131</v>
      </c>
      <c r="Y236" s="16" t="s">
        <v>179</v>
      </c>
      <c r="Z236" s="16" t="s">
        <v>207</v>
      </c>
      <c r="AA236" s="16" t="s">
        <v>203</v>
      </c>
      <c r="AC236" s="16" t="s">
        <v>182</v>
      </c>
      <c r="AD236" s="16" t="s">
        <v>208</v>
      </c>
      <c r="AE236" s="16" t="s">
        <v>181</v>
      </c>
      <c r="AF236" s="5" t="s">
        <v>232</v>
      </c>
      <c r="AG236" s="5" t="s">
        <v>184</v>
      </c>
      <c r="AH236" s="5" t="s">
        <v>181</v>
      </c>
      <c r="AI236" s="5" t="s">
        <v>229</v>
      </c>
      <c r="AJ236" s="5" t="s">
        <v>214</v>
      </c>
    </row>
    <row r="237" spans="1:36" x14ac:dyDescent="0.35">
      <c r="A237" s="2">
        <v>2</v>
      </c>
      <c r="B237" s="15">
        <v>0.22430555555555556</v>
      </c>
      <c r="C237" s="21" t="s">
        <v>131</v>
      </c>
      <c r="AF237" s="5" t="s">
        <v>229</v>
      </c>
      <c r="AG237" s="5" t="s">
        <v>214</v>
      </c>
      <c r="AH237" s="5" t="s">
        <v>212</v>
      </c>
    </row>
    <row r="238" spans="1:36" x14ac:dyDescent="0.35">
      <c r="A238" s="2">
        <v>2</v>
      </c>
      <c r="B238" s="15">
        <v>0.17569444444444443</v>
      </c>
      <c r="C238" s="21" t="s">
        <v>162</v>
      </c>
      <c r="Y238" s="16" t="s">
        <v>187</v>
      </c>
      <c r="Z238" s="16" t="s">
        <v>217</v>
      </c>
      <c r="AA238" s="16" t="s">
        <v>181</v>
      </c>
      <c r="AB238" s="16" t="s">
        <v>157</v>
      </c>
      <c r="AC238" s="16" t="s">
        <v>189</v>
      </c>
      <c r="AD238" s="16" t="s">
        <v>181</v>
      </c>
      <c r="AE238" s="16" t="s">
        <v>181</v>
      </c>
    </row>
    <row r="239" spans="1:36" x14ac:dyDescent="0.35">
      <c r="A239" s="2">
        <v>2</v>
      </c>
      <c r="B239" s="15">
        <v>0.16527777777777777</v>
      </c>
      <c r="C239" s="21" t="s">
        <v>162</v>
      </c>
      <c r="Y239" s="16" t="s">
        <v>187</v>
      </c>
      <c r="Z239" s="16" t="s">
        <v>217</v>
      </c>
      <c r="AA239" s="16" t="s">
        <v>183</v>
      </c>
      <c r="AB239" s="16" t="s">
        <v>181</v>
      </c>
      <c r="AC239" s="16" t="s">
        <v>182</v>
      </c>
      <c r="AD239" s="16" t="s">
        <v>181</v>
      </c>
      <c r="AE239" s="16" t="s">
        <v>181</v>
      </c>
    </row>
    <row r="240" spans="1:36" x14ac:dyDescent="0.35">
      <c r="A240" s="2">
        <v>2</v>
      </c>
      <c r="B240" s="15">
        <v>0.15138888888888888</v>
      </c>
      <c r="C240" s="21" t="s">
        <v>174</v>
      </c>
      <c r="Y240" s="16" t="s">
        <v>187</v>
      </c>
      <c r="Z240" s="16" t="s">
        <v>216</v>
      </c>
      <c r="AA240" s="16" t="s">
        <v>181</v>
      </c>
      <c r="AB240" s="16" t="s">
        <v>157</v>
      </c>
      <c r="AC240" s="16" t="s">
        <v>182</v>
      </c>
      <c r="AD240" s="16" t="s">
        <v>181</v>
      </c>
      <c r="AE240" s="16" t="s">
        <v>157</v>
      </c>
    </row>
    <row r="241" spans="1:36" x14ac:dyDescent="0.35">
      <c r="A241" s="2">
        <v>2</v>
      </c>
      <c r="B241" s="15">
        <v>0.14166666666666666</v>
      </c>
      <c r="C241" s="21" t="s">
        <v>162</v>
      </c>
      <c r="Y241" s="16" t="s">
        <v>187</v>
      </c>
      <c r="Z241" s="16" t="s">
        <v>215</v>
      </c>
      <c r="AA241" s="16" t="s">
        <v>181</v>
      </c>
      <c r="AB241" s="16" t="s">
        <v>157</v>
      </c>
      <c r="AC241" s="16" t="s">
        <v>189</v>
      </c>
      <c r="AD241" s="16" t="s">
        <v>181</v>
      </c>
      <c r="AE241" s="16" t="s">
        <v>181</v>
      </c>
    </row>
    <row r="242" spans="1:36" x14ac:dyDescent="0.35">
      <c r="A242" s="2">
        <v>2</v>
      </c>
      <c r="B242" s="15">
        <v>0.1111111111111111</v>
      </c>
      <c r="C242" s="21" t="s">
        <v>162</v>
      </c>
      <c r="Y242" s="16" t="s">
        <v>179</v>
      </c>
      <c r="Z242" s="16" t="s">
        <v>217</v>
      </c>
      <c r="AA242" s="16" t="s">
        <v>183</v>
      </c>
      <c r="AB242" s="16" t="s">
        <v>181</v>
      </c>
      <c r="AC242" s="16" t="s">
        <v>182</v>
      </c>
      <c r="AD242" s="16" t="s">
        <v>181</v>
      </c>
      <c r="AE242" s="16" t="s">
        <v>181</v>
      </c>
    </row>
    <row r="243" spans="1:36" x14ac:dyDescent="0.35">
      <c r="A243" s="2">
        <v>2</v>
      </c>
      <c r="B243" s="15">
        <v>9.7222222222222224E-2</v>
      </c>
      <c r="C243" s="21" t="s">
        <v>162</v>
      </c>
      <c r="Y243" s="16" t="s">
        <v>205</v>
      </c>
      <c r="Z243" s="16" t="s">
        <v>180</v>
      </c>
      <c r="AA243" s="16" t="s">
        <v>209</v>
      </c>
      <c r="AB243" s="16" t="s">
        <v>181</v>
      </c>
      <c r="AC243" s="16" t="s">
        <v>182</v>
      </c>
      <c r="AD243" s="16" t="s">
        <v>181</v>
      </c>
      <c r="AE243" s="16" t="s">
        <v>181</v>
      </c>
    </row>
    <row r="244" spans="1:36" x14ac:dyDescent="0.35">
      <c r="A244" s="2">
        <v>2</v>
      </c>
      <c r="B244" s="15">
        <v>7.7083333333333337E-2</v>
      </c>
      <c r="C244" s="21" t="s">
        <v>162</v>
      </c>
      <c r="Y244" s="16" t="s">
        <v>205</v>
      </c>
      <c r="Z244" s="16" t="s">
        <v>211</v>
      </c>
      <c r="AA244" s="16" t="s">
        <v>228</v>
      </c>
      <c r="AC244" s="16" t="s">
        <v>182</v>
      </c>
      <c r="AD244" s="16" t="s">
        <v>181</v>
      </c>
      <c r="AE244" s="16" t="s">
        <v>181</v>
      </c>
    </row>
    <row r="245" spans="1:36" x14ac:dyDescent="0.35">
      <c r="A245" s="2">
        <v>2</v>
      </c>
      <c r="B245" s="15">
        <v>6.9444444444444448E-2</v>
      </c>
      <c r="C245" s="21" t="s">
        <v>162</v>
      </c>
      <c r="Y245" s="16" t="s">
        <v>179</v>
      </c>
      <c r="Z245" s="16" t="s">
        <v>220</v>
      </c>
      <c r="AA245" s="16" t="s">
        <v>195</v>
      </c>
      <c r="AB245" s="16" t="s">
        <v>140</v>
      </c>
      <c r="AC245" s="16" t="s">
        <v>187</v>
      </c>
      <c r="AD245" s="16" t="s">
        <v>181</v>
      </c>
      <c r="AE245" s="16" t="s">
        <v>181</v>
      </c>
    </row>
    <row r="246" spans="1:36" x14ac:dyDescent="0.35">
      <c r="A246" s="2">
        <v>2</v>
      </c>
      <c r="B246" s="15">
        <v>4.8611111111111112E-2</v>
      </c>
      <c r="C246" s="21" t="s">
        <v>162</v>
      </c>
      <c r="Y246" s="16" t="s">
        <v>187</v>
      </c>
      <c r="Z246" s="16" t="s">
        <v>202</v>
      </c>
      <c r="AA246" s="16" t="s">
        <v>183</v>
      </c>
      <c r="AB246" s="16" t="s">
        <v>181</v>
      </c>
      <c r="AC246" s="16" t="s">
        <v>189</v>
      </c>
      <c r="AD246" s="16" t="s">
        <v>181</v>
      </c>
      <c r="AE246" s="16" t="s">
        <v>181</v>
      </c>
    </row>
    <row r="247" spans="1:36" x14ac:dyDescent="0.35">
      <c r="A247" s="2">
        <v>2</v>
      </c>
      <c r="B247" s="15">
        <v>3.8194444444444448E-2</v>
      </c>
      <c r="C247" s="21" t="s">
        <v>131</v>
      </c>
      <c r="Y247" s="16" t="s">
        <v>187</v>
      </c>
      <c r="Z247" s="16" t="s">
        <v>231</v>
      </c>
      <c r="AA247" s="16" t="s">
        <v>183</v>
      </c>
      <c r="AB247" s="16" t="s">
        <v>157</v>
      </c>
      <c r="AC247" s="16" t="s">
        <v>189</v>
      </c>
      <c r="AD247" s="16" t="s">
        <v>181</v>
      </c>
      <c r="AE247" s="16" t="s">
        <v>181</v>
      </c>
      <c r="AF247" s="5" t="s">
        <v>219</v>
      </c>
      <c r="AG247" s="5" t="s">
        <v>197</v>
      </c>
    </row>
    <row r="248" spans="1:36" x14ac:dyDescent="0.35">
      <c r="A248" s="2">
        <v>2</v>
      </c>
      <c r="B248" s="15">
        <v>2.4305555555555556E-2</v>
      </c>
      <c r="C248" s="21" t="s">
        <v>131</v>
      </c>
      <c r="Y248" s="16" t="s">
        <v>187</v>
      </c>
      <c r="Z248" s="16" t="s">
        <v>221</v>
      </c>
      <c r="AA248" s="16" t="s">
        <v>188</v>
      </c>
      <c r="AB248" s="16" t="s">
        <v>157</v>
      </c>
      <c r="AC248" s="16" t="s">
        <v>189</v>
      </c>
      <c r="AD248" s="16" t="s">
        <v>181</v>
      </c>
      <c r="AE248" s="16" t="s">
        <v>157</v>
      </c>
    </row>
    <row r="249" spans="1:36" x14ac:dyDescent="0.35">
      <c r="A249" s="2">
        <v>2</v>
      </c>
      <c r="B249" s="15">
        <v>1.7361111111111112E-2</v>
      </c>
      <c r="C249" s="21" t="s">
        <v>131</v>
      </c>
      <c r="Y249" s="16" t="s">
        <v>179</v>
      </c>
      <c r="Z249" s="16" t="s">
        <v>198</v>
      </c>
      <c r="AA249" s="16" t="s">
        <v>192</v>
      </c>
      <c r="AC249" s="16" t="s">
        <v>189</v>
      </c>
      <c r="AD249" s="16" t="s">
        <v>181</v>
      </c>
      <c r="AE249" s="16" t="s">
        <v>181</v>
      </c>
    </row>
    <row r="250" spans="1:36" x14ac:dyDescent="0.35">
      <c r="A250" s="2">
        <v>2</v>
      </c>
      <c r="B250" s="15">
        <v>9.7222222222222224E-3</v>
      </c>
      <c r="C250" s="21" t="s">
        <v>131</v>
      </c>
      <c r="Y250" s="16" t="s">
        <v>179</v>
      </c>
      <c r="Z250" s="16" t="s">
        <v>195</v>
      </c>
      <c r="AA250" s="16" t="s">
        <v>181</v>
      </c>
      <c r="AC250" s="16" t="s">
        <v>189</v>
      </c>
      <c r="AD250" s="16" t="s">
        <v>181</v>
      </c>
      <c r="AE250" s="16" t="s">
        <v>181</v>
      </c>
      <c r="AF250" s="5" t="s">
        <v>199</v>
      </c>
      <c r="AG250" s="5" t="s">
        <v>184</v>
      </c>
      <c r="AH250" s="5" t="s">
        <v>181</v>
      </c>
      <c r="AI250" s="5" t="s">
        <v>220</v>
      </c>
      <c r="AJ250" s="5" t="s">
        <v>194</v>
      </c>
    </row>
    <row r="251" spans="1:36" x14ac:dyDescent="0.35">
      <c r="A251" s="2">
        <v>3</v>
      </c>
      <c r="B251" s="15">
        <v>0.82777777777777772</v>
      </c>
      <c r="C251" s="21" t="s">
        <v>131</v>
      </c>
      <c r="Y251" s="16" t="s">
        <v>179</v>
      </c>
      <c r="Z251" s="16" t="s">
        <v>206</v>
      </c>
      <c r="AA251" s="16" t="s">
        <v>181</v>
      </c>
      <c r="AC251" s="16" t="s">
        <v>189</v>
      </c>
      <c r="AD251" s="16" t="s">
        <v>181</v>
      </c>
      <c r="AE251" s="16" t="s">
        <v>181</v>
      </c>
      <c r="AF251" s="5" t="s">
        <v>210</v>
      </c>
      <c r="AG251" s="5" t="s">
        <v>186</v>
      </c>
    </row>
    <row r="252" spans="1:36" x14ac:dyDescent="0.35">
      <c r="A252" s="2">
        <v>3</v>
      </c>
      <c r="B252" s="15">
        <v>0.8125</v>
      </c>
      <c r="C252" s="21" t="s">
        <v>131</v>
      </c>
      <c r="AF252" s="5" t="s">
        <v>210</v>
      </c>
      <c r="AG252" s="5" t="s">
        <v>184</v>
      </c>
      <c r="AH252" s="5" t="s">
        <v>181</v>
      </c>
      <c r="AI252" s="5" t="s">
        <v>183</v>
      </c>
      <c r="AJ252" s="5" t="s">
        <v>186</v>
      </c>
    </row>
    <row r="253" spans="1:36" x14ac:dyDescent="0.35">
      <c r="A253" s="2">
        <v>3</v>
      </c>
      <c r="B253" s="15">
        <v>0.80486111111111114</v>
      </c>
      <c r="C253" s="21" t="s">
        <v>131</v>
      </c>
      <c r="AF253" s="5" t="s">
        <v>219</v>
      </c>
      <c r="AG253" s="5" t="s">
        <v>194</v>
      </c>
    </row>
    <row r="254" spans="1:36" x14ac:dyDescent="0.35">
      <c r="A254" s="2">
        <v>3</v>
      </c>
      <c r="B254" s="15">
        <v>0.79305555555555551</v>
      </c>
      <c r="C254" s="21" t="s">
        <v>131</v>
      </c>
      <c r="Y254" s="16" t="s">
        <v>187</v>
      </c>
      <c r="Z254" s="16" t="s">
        <v>191</v>
      </c>
      <c r="AA254" s="16" t="s">
        <v>230</v>
      </c>
      <c r="AB254" s="16" t="s">
        <v>181</v>
      </c>
      <c r="AC254" s="16" t="s">
        <v>182</v>
      </c>
      <c r="AD254" s="16" t="s">
        <v>181</v>
      </c>
      <c r="AE254" s="16" t="s">
        <v>181</v>
      </c>
      <c r="AF254" s="5" t="s">
        <v>190</v>
      </c>
      <c r="AG254" s="5" t="s">
        <v>197</v>
      </c>
      <c r="AH254" s="5" t="s">
        <v>192</v>
      </c>
    </row>
    <row r="255" spans="1:36" x14ac:dyDescent="0.35">
      <c r="A255" s="2">
        <v>3</v>
      </c>
      <c r="B255" s="15">
        <v>0.78333333333333333</v>
      </c>
      <c r="C255" s="21" t="s">
        <v>131</v>
      </c>
      <c r="Y255" s="16" t="s">
        <v>179</v>
      </c>
      <c r="Z255" s="16" t="s">
        <v>196</v>
      </c>
      <c r="AA255" s="16" t="s">
        <v>181</v>
      </c>
      <c r="AC255" s="16" t="s">
        <v>189</v>
      </c>
      <c r="AD255" s="16" t="s">
        <v>181</v>
      </c>
      <c r="AE255" s="16" t="s">
        <v>181</v>
      </c>
      <c r="AF255" s="5" t="s">
        <v>199</v>
      </c>
      <c r="AG255" s="5" t="s">
        <v>184</v>
      </c>
      <c r="AH255" s="5" t="s">
        <v>181</v>
      </c>
      <c r="AI255" s="5" t="s">
        <v>191</v>
      </c>
      <c r="AJ255" s="5" t="s">
        <v>197</v>
      </c>
    </row>
    <row r="256" spans="1:36" x14ac:dyDescent="0.35">
      <c r="A256" s="2">
        <v>3</v>
      </c>
      <c r="B256" s="15">
        <v>0.77777777777777779</v>
      </c>
      <c r="C256" s="21" t="s">
        <v>131</v>
      </c>
      <c r="Y256" s="16" t="s">
        <v>179</v>
      </c>
      <c r="Z256" s="16" t="s">
        <v>202</v>
      </c>
      <c r="AA256" s="16" t="s">
        <v>195</v>
      </c>
      <c r="AC256" s="16" t="s">
        <v>182</v>
      </c>
      <c r="AD256" s="16" t="s">
        <v>181</v>
      </c>
      <c r="AE256" s="16" t="s">
        <v>181</v>
      </c>
      <c r="AF256" s="5" t="s">
        <v>195</v>
      </c>
      <c r="AG256" s="5" t="s">
        <v>197</v>
      </c>
    </row>
    <row r="257" spans="1:36" x14ac:dyDescent="0.35">
      <c r="A257" s="2">
        <v>3</v>
      </c>
      <c r="B257" s="15">
        <v>0.77083333333333337</v>
      </c>
      <c r="C257" s="21" t="s">
        <v>131</v>
      </c>
      <c r="Y257" s="16" t="s">
        <v>179</v>
      </c>
      <c r="Z257" s="16" t="s">
        <v>223</v>
      </c>
      <c r="AA257" s="16" t="s">
        <v>188</v>
      </c>
      <c r="AC257" s="16" t="s">
        <v>189</v>
      </c>
      <c r="AD257" s="16" t="s">
        <v>181</v>
      </c>
      <c r="AE257" s="16" t="s">
        <v>181</v>
      </c>
      <c r="AF257" s="5" t="s">
        <v>188</v>
      </c>
      <c r="AG257" s="5" t="s">
        <v>213</v>
      </c>
    </row>
    <row r="258" spans="1:36" x14ac:dyDescent="0.35">
      <c r="A258" s="2">
        <v>3</v>
      </c>
      <c r="B258" s="15">
        <v>0.76388888888888884</v>
      </c>
      <c r="C258" s="21" t="s">
        <v>131</v>
      </c>
      <c r="Y258" s="16" t="s">
        <v>179</v>
      </c>
      <c r="Z258" s="16" t="s">
        <v>212</v>
      </c>
      <c r="AA258" s="16" t="s">
        <v>203</v>
      </c>
      <c r="AC258" s="16" t="s">
        <v>189</v>
      </c>
      <c r="AD258" s="16" t="s">
        <v>181</v>
      </c>
      <c r="AE258" s="16" t="s">
        <v>181</v>
      </c>
      <c r="AF258" s="5" t="s">
        <v>228</v>
      </c>
      <c r="AG258" s="5" t="s">
        <v>184</v>
      </c>
      <c r="AH258" s="5" t="s">
        <v>181</v>
      </c>
      <c r="AI258" s="5" t="s">
        <v>204</v>
      </c>
      <c r="AJ258" s="5" t="s">
        <v>194</v>
      </c>
    </row>
    <row r="259" spans="1:36" x14ac:dyDescent="0.35">
      <c r="A259" s="2">
        <v>3</v>
      </c>
      <c r="B259" s="15">
        <v>0.75277777777777777</v>
      </c>
      <c r="C259" s="21" t="s">
        <v>131</v>
      </c>
      <c r="Y259" s="16" t="s">
        <v>179</v>
      </c>
      <c r="Z259" s="16" t="s">
        <v>212</v>
      </c>
      <c r="AA259" s="16" t="s">
        <v>228</v>
      </c>
      <c r="AC259" s="16" t="s">
        <v>189</v>
      </c>
      <c r="AD259" s="16" t="s">
        <v>181</v>
      </c>
      <c r="AE259" s="16" t="s">
        <v>181</v>
      </c>
      <c r="AF259" s="5" t="s">
        <v>228</v>
      </c>
      <c r="AG259" s="5" t="s">
        <v>194</v>
      </c>
    </row>
    <row r="260" spans="1:36" x14ac:dyDescent="0.35">
      <c r="A260" s="2">
        <v>3</v>
      </c>
      <c r="B260" s="15">
        <v>0.7416666666666667</v>
      </c>
      <c r="C260" s="21" t="s">
        <v>131</v>
      </c>
      <c r="Y260" s="16" t="s">
        <v>187</v>
      </c>
      <c r="Z260" s="16" t="s">
        <v>211</v>
      </c>
      <c r="AA260" s="16" t="s">
        <v>196</v>
      </c>
      <c r="AB260" s="16" t="s">
        <v>181</v>
      </c>
      <c r="AC260" s="16" t="s">
        <v>189</v>
      </c>
      <c r="AD260" s="16" t="s">
        <v>181</v>
      </c>
      <c r="AE260" s="16" t="s">
        <v>181</v>
      </c>
      <c r="AF260" s="5" t="s">
        <v>196</v>
      </c>
      <c r="AG260" s="5" t="s">
        <v>213</v>
      </c>
    </row>
    <row r="261" spans="1:36" x14ac:dyDescent="0.35">
      <c r="A261" s="2">
        <v>3</v>
      </c>
      <c r="B261" s="15">
        <v>0.73611111111111116</v>
      </c>
      <c r="C261" s="21" t="s">
        <v>131</v>
      </c>
      <c r="Y261" s="16" t="s">
        <v>179</v>
      </c>
      <c r="Z261" s="16" t="s">
        <v>196</v>
      </c>
      <c r="AA261" s="16" t="s">
        <v>225</v>
      </c>
      <c r="AC261" s="16" t="s">
        <v>182</v>
      </c>
      <c r="AD261" s="16" t="s">
        <v>181</v>
      </c>
      <c r="AE261" s="16" t="s">
        <v>181</v>
      </c>
      <c r="AF261" s="5" t="s">
        <v>225</v>
      </c>
      <c r="AG261" s="5" t="s">
        <v>194</v>
      </c>
    </row>
    <row r="262" spans="1:36" x14ac:dyDescent="0.35">
      <c r="A262" s="2">
        <v>3</v>
      </c>
      <c r="B262" s="15">
        <v>0.7270833333333333</v>
      </c>
      <c r="C262" s="21" t="s">
        <v>131</v>
      </c>
      <c r="AF262" s="5" t="s">
        <v>200</v>
      </c>
      <c r="AG262" s="5" t="s">
        <v>194</v>
      </c>
    </row>
    <row r="263" spans="1:36" x14ac:dyDescent="0.35">
      <c r="A263" s="7">
        <v>3</v>
      </c>
      <c r="B263" s="14">
        <v>0.71736111111111112</v>
      </c>
      <c r="C263" s="21" t="s">
        <v>131</v>
      </c>
      <c r="Y263" s="16" t="s">
        <v>179</v>
      </c>
      <c r="Z263" s="16" t="s">
        <v>208</v>
      </c>
      <c r="AA263" s="16" t="s">
        <v>183</v>
      </c>
      <c r="AC263" s="16" t="s">
        <v>182</v>
      </c>
      <c r="AD263" s="16" t="s">
        <v>181</v>
      </c>
      <c r="AE263" s="16" t="s">
        <v>181</v>
      </c>
      <c r="AF263" s="5" t="s">
        <v>219</v>
      </c>
      <c r="AG263" s="5" t="s">
        <v>184</v>
      </c>
      <c r="AH263" s="5" t="s">
        <v>181</v>
      </c>
      <c r="AI263" s="5" t="s">
        <v>185</v>
      </c>
      <c r="AJ263" s="5" t="s">
        <v>194</v>
      </c>
    </row>
    <row r="264" spans="1:36" x14ac:dyDescent="0.35">
      <c r="A264" s="2">
        <v>3</v>
      </c>
      <c r="B264" s="15">
        <v>0.70763888888888893</v>
      </c>
      <c r="C264" s="21" t="s">
        <v>131</v>
      </c>
      <c r="Y264" s="16" t="s">
        <v>218</v>
      </c>
      <c r="Z264" s="16" t="s">
        <v>132</v>
      </c>
      <c r="AF264" s="5" t="s">
        <v>191</v>
      </c>
      <c r="AG264" s="5" t="s">
        <v>184</v>
      </c>
      <c r="AH264" s="5" t="s">
        <v>185</v>
      </c>
      <c r="AI264" s="5" t="s">
        <v>208</v>
      </c>
      <c r="AJ264" s="5" t="s">
        <v>213</v>
      </c>
    </row>
    <row r="265" spans="1:36" x14ac:dyDescent="0.35">
      <c r="A265" s="7">
        <v>3</v>
      </c>
      <c r="B265" s="15">
        <v>0.7006944444444444</v>
      </c>
      <c r="C265" s="21" t="s">
        <v>131</v>
      </c>
      <c r="Y265" s="16" t="s">
        <v>179</v>
      </c>
      <c r="Z265" s="16" t="s">
        <v>208</v>
      </c>
      <c r="AA265" s="16" t="s">
        <v>210</v>
      </c>
      <c r="AC265" s="16" t="s">
        <v>189</v>
      </c>
      <c r="AD265" s="16" t="s">
        <v>181</v>
      </c>
      <c r="AE265" s="16" t="s">
        <v>157</v>
      </c>
      <c r="AF265" s="5" t="s">
        <v>185</v>
      </c>
      <c r="AG265" s="5" t="s">
        <v>184</v>
      </c>
      <c r="AH265" s="5" t="s">
        <v>207</v>
      </c>
      <c r="AI265" s="5" t="s">
        <v>219</v>
      </c>
      <c r="AJ265" s="5" t="s">
        <v>214</v>
      </c>
    </row>
    <row r="266" spans="1:36" x14ac:dyDescent="0.35">
      <c r="A266" s="2">
        <v>3</v>
      </c>
      <c r="B266" s="15">
        <v>0.68958333333333333</v>
      </c>
      <c r="C266" s="21" t="s">
        <v>131</v>
      </c>
      <c r="AF266" s="5" t="s">
        <v>196</v>
      </c>
      <c r="AG266" s="5" t="s">
        <v>184</v>
      </c>
      <c r="AH266" s="5" t="s">
        <v>181</v>
      </c>
      <c r="AI266" s="5" t="s">
        <v>198</v>
      </c>
      <c r="AJ266" s="5" t="s">
        <v>213</v>
      </c>
    </row>
    <row r="267" spans="1:36" x14ac:dyDescent="0.35">
      <c r="A267" s="2">
        <v>3</v>
      </c>
      <c r="B267" s="15">
        <v>0.6875</v>
      </c>
      <c r="C267" s="21" t="s">
        <v>131</v>
      </c>
      <c r="Y267" s="16" t="s">
        <v>205</v>
      </c>
      <c r="Z267" s="16" t="s">
        <v>198</v>
      </c>
      <c r="AA267" s="16" t="s">
        <v>188</v>
      </c>
      <c r="AC267" s="16" t="s">
        <v>189</v>
      </c>
      <c r="AD267" s="16" t="s">
        <v>181</v>
      </c>
      <c r="AE267" s="16" t="s">
        <v>181</v>
      </c>
    </row>
    <row r="268" spans="1:36" x14ac:dyDescent="0.35">
      <c r="A268" s="7">
        <v>3</v>
      </c>
      <c r="B268" s="14">
        <v>0.67361111111111116</v>
      </c>
      <c r="C268" s="21" t="s">
        <v>131</v>
      </c>
      <c r="AF268" s="5" t="s">
        <v>191</v>
      </c>
      <c r="AG268" s="5" t="s">
        <v>197</v>
      </c>
    </row>
    <row r="269" spans="1:36" x14ac:dyDescent="0.35">
      <c r="A269" s="7">
        <v>3</v>
      </c>
      <c r="B269" s="14">
        <v>0.6694444444444444</v>
      </c>
      <c r="C269" s="21" t="s">
        <v>131</v>
      </c>
      <c r="Y269" s="16" t="s">
        <v>187</v>
      </c>
      <c r="Z269" s="16" t="s">
        <v>202</v>
      </c>
      <c r="AA269" s="16" t="s">
        <v>196</v>
      </c>
      <c r="AB269" s="16" t="s">
        <v>181</v>
      </c>
      <c r="AC269" s="16" t="s">
        <v>182</v>
      </c>
      <c r="AD269" s="16" t="s">
        <v>181</v>
      </c>
      <c r="AE269" s="16" t="s">
        <v>181</v>
      </c>
      <c r="AF269" s="5" t="s">
        <v>203</v>
      </c>
      <c r="AG269" s="5" t="s">
        <v>194</v>
      </c>
    </row>
    <row r="270" spans="1:36" x14ac:dyDescent="0.35">
      <c r="A270" s="2">
        <v>3</v>
      </c>
      <c r="B270" s="15">
        <v>0.65069444444444446</v>
      </c>
      <c r="C270" s="21" t="s">
        <v>131</v>
      </c>
      <c r="Y270" s="16" t="s">
        <v>179</v>
      </c>
      <c r="Z270" s="16" t="s">
        <v>191</v>
      </c>
      <c r="AA270" s="16" t="s">
        <v>181</v>
      </c>
      <c r="AC270" s="16" t="s">
        <v>182</v>
      </c>
      <c r="AD270" s="16" t="s">
        <v>181</v>
      </c>
      <c r="AE270" s="16" t="s">
        <v>181</v>
      </c>
      <c r="AF270" s="5" t="s">
        <v>203</v>
      </c>
      <c r="AG270" s="5" t="s">
        <v>184</v>
      </c>
      <c r="AH270" s="5" t="s">
        <v>212</v>
      </c>
      <c r="AI270" s="5" t="s">
        <v>221</v>
      </c>
      <c r="AJ270" s="5" t="s">
        <v>214</v>
      </c>
    </row>
    <row r="271" spans="1:36" x14ac:dyDescent="0.35">
      <c r="A271" s="7">
        <v>3</v>
      </c>
      <c r="B271" s="15">
        <v>0.63541666666666663</v>
      </c>
      <c r="C271" s="21" t="s">
        <v>131</v>
      </c>
      <c r="AF271" s="5" t="s">
        <v>203</v>
      </c>
      <c r="AG271" s="5" t="s">
        <v>184</v>
      </c>
      <c r="AH271" s="5" t="s">
        <v>224</v>
      </c>
      <c r="AI271" s="5" t="s">
        <v>221</v>
      </c>
      <c r="AJ271" s="5" t="s">
        <v>194</v>
      </c>
    </row>
    <row r="272" spans="1:36" x14ac:dyDescent="0.35">
      <c r="A272" s="7">
        <v>3</v>
      </c>
      <c r="B272" s="15">
        <v>0.63402777777777775</v>
      </c>
      <c r="C272" s="21" t="s">
        <v>131</v>
      </c>
      <c r="Y272" s="16" t="s">
        <v>179</v>
      </c>
      <c r="Z272" s="16" t="s">
        <v>228</v>
      </c>
      <c r="AA272" s="16" t="s">
        <v>225</v>
      </c>
      <c r="AC272" s="16" t="s">
        <v>189</v>
      </c>
      <c r="AD272" s="16" t="s">
        <v>223</v>
      </c>
      <c r="AE272" s="16" t="s">
        <v>181</v>
      </c>
      <c r="AF272" s="5" t="s">
        <v>193</v>
      </c>
      <c r="AG272" s="5" t="s">
        <v>197</v>
      </c>
    </row>
    <row r="273" spans="1:36" x14ac:dyDescent="0.35">
      <c r="A273" s="7">
        <v>3</v>
      </c>
      <c r="B273" s="15">
        <v>0.61875000000000002</v>
      </c>
      <c r="C273" s="21" t="s">
        <v>131</v>
      </c>
      <c r="Y273" s="16" t="s">
        <v>179</v>
      </c>
      <c r="Z273" s="16" t="s">
        <v>193</v>
      </c>
      <c r="AA273" s="16" t="s">
        <v>181</v>
      </c>
      <c r="AC273" s="16" t="s">
        <v>189</v>
      </c>
      <c r="AD273" s="16" t="s">
        <v>181</v>
      </c>
      <c r="AE273" s="16" t="s">
        <v>181</v>
      </c>
      <c r="AF273" s="5" t="s">
        <v>210</v>
      </c>
      <c r="AG273" s="5" t="s">
        <v>184</v>
      </c>
      <c r="AH273" s="5" t="s">
        <v>188</v>
      </c>
      <c r="AI273" s="5" t="s">
        <v>209</v>
      </c>
      <c r="AJ273" s="5" t="s">
        <v>194</v>
      </c>
    </row>
    <row r="274" spans="1:36" x14ac:dyDescent="0.35">
      <c r="A274" s="2">
        <v>3</v>
      </c>
      <c r="B274" s="15">
        <v>0.60416666666666663</v>
      </c>
      <c r="C274" s="21" t="s">
        <v>131</v>
      </c>
      <c r="Y274" s="16" t="s">
        <v>179</v>
      </c>
      <c r="Z274" s="16" t="s">
        <v>206</v>
      </c>
      <c r="AA274" s="16" t="s">
        <v>181</v>
      </c>
      <c r="AC274" s="16" t="s">
        <v>189</v>
      </c>
      <c r="AD274" s="16" t="s">
        <v>181</v>
      </c>
      <c r="AE274" s="16" t="s">
        <v>181</v>
      </c>
    </row>
    <row r="275" spans="1:36" x14ac:dyDescent="0.35">
      <c r="A275" s="7">
        <v>3</v>
      </c>
      <c r="B275" s="15">
        <v>0.59583333333333333</v>
      </c>
      <c r="C275" s="21" t="s">
        <v>131</v>
      </c>
      <c r="Y275" s="16" t="s">
        <v>187</v>
      </c>
      <c r="Z275" s="16" t="s">
        <v>200</v>
      </c>
      <c r="AA275" s="16" t="s">
        <v>191</v>
      </c>
      <c r="AB275" s="16" t="s">
        <v>157</v>
      </c>
      <c r="AC275" s="16" t="s">
        <v>182</v>
      </c>
      <c r="AD275" s="16" t="s">
        <v>181</v>
      </c>
      <c r="AE275" s="16" t="s">
        <v>181</v>
      </c>
      <c r="AF275" s="5" t="s">
        <v>191</v>
      </c>
      <c r="AG275" s="5" t="s">
        <v>197</v>
      </c>
    </row>
    <row r="276" spans="1:36" x14ac:dyDescent="0.35">
      <c r="A276" s="2">
        <v>3</v>
      </c>
      <c r="B276" s="15">
        <v>0.58888888888888891</v>
      </c>
      <c r="C276" s="21" t="s">
        <v>131</v>
      </c>
      <c r="Y276" s="16" t="s">
        <v>187</v>
      </c>
      <c r="Z276" s="16" t="s">
        <v>180</v>
      </c>
      <c r="AA276" s="16" t="s">
        <v>195</v>
      </c>
      <c r="AB276" s="16" t="s">
        <v>181</v>
      </c>
      <c r="AC276" s="16" t="s">
        <v>189</v>
      </c>
      <c r="AD276" s="16" t="s">
        <v>181</v>
      </c>
      <c r="AE276" s="16" t="s">
        <v>181</v>
      </c>
      <c r="AF276" s="5" t="s">
        <v>196</v>
      </c>
      <c r="AG276" s="5" t="s">
        <v>194</v>
      </c>
    </row>
    <row r="277" spans="1:36" x14ac:dyDescent="0.35">
      <c r="A277" s="7">
        <v>3</v>
      </c>
      <c r="B277" s="15">
        <v>0.57986111111111116</v>
      </c>
      <c r="C277" s="21" t="s">
        <v>131</v>
      </c>
      <c r="AF277" s="5" t="s">
        <v>191</v>
      </c>
      <c r="AG277" s="5" t="s">
        <v>184</v>
      </c>
      <c r="AH277" s="5" t="s">
        <v>181</v>
      </c>
      <c r="AI277" s="5" t="s">
        <v>192</v>
      </c>
      <c r="AJ277" s="5" t="s">
        <v>214</v>
      </c>
    </row>
    <row r="278" spans="1:36" x14ac:dyDescent="0.35">
      <c r="A278" s="2">
        <v>3</v>
      </c>
      <c r="B278" s="15">
        <v>0.57222222222222219</v>
      </c>
      <c r="C278" s="21" t="s">
        <v>131</v>
      </c>
      <c r="Y278" s="16" t="s">
        <v>179</v>
      </c>
      <c r="Z278" s="16" t="s">
        <v>183</v>
      </c>
      <c r="AA278" s="16" t="s">
        <v>181</v>
      </c>
      <c r="AC278" s="16" t="s">
        <v>182</v>
      </c>
      <c r="AD278" s="16" t="s">
        <v>181</v>
      </c>
      <c r="AE278" s="16" t="s">
        <v>181</v>
      </c>
      <c r="AF278" s="5" t="s">
        <v>199</v>
      </c>
      <c r="AG278" s="5" t="s">
        <v>184</v>
      </c>
      <c r="AH278" s="5" t="s">
        <v>181</v>
      </c>
      <c r="AI278" s="5" t="s">
        <v>192</v>
      </c>
      <c r="AJ278" s="5" t="s">
        <v>194</v>
      </c>
    </row>
    <row r="279" spans="1:36" x14ac:dyDescent="0.35">
      <c r="A279" s="7">
        <v>3</v>
      </c>
      <c r="B279" s="15">
        <v>0.5625</v>
      </c>
      <c r="C279" s="21" t="s">
        <v>131</v>
      </c>
      <c r="Y279" s="16" t="s">
        <v>218</v>
      </c>
      <c r="Z279" s="16" t="s">
        <v>149</v>
      </c>
      <c r="AF279" s="5" t="s">
        <v>230</v>
      </c>
      <c r="AG279" s="5" t="s">
        <v>213</v>
      </c>
    </row>
    <row r="280" spans="1:36" x14ac:dyDescent="0.35">
      <c r="A280" s="2">
        <v>3</v>
      </c>
      <c r="B280" s="15">
        <v>0.5541666666666667</v>
      </c>
      <c r="C280" s="21" t="s">
        <v>131</v>
      </c>
      <c r="Y280" s="16" t="s">
        <v>205</v>
      </c>
      <c r="Z280" s="16" t="s">
        <v>198</v>
      </c>
      <c r="AA280" s="16" t="s">
        <v>181</v>
      </c>
      <c r="AC280" s="16" t="s">
        <v>189</v>
      </c>
      <c r="AD280" s="16" t="s">
        <v>181</v>
      </c>
      <c r="AE280" s="16" t="s">
        <v>181</v>
      </c>
    </row>
    <row r="281" spans="1:36" x14ac:dyDescent="0.35">
      <c r="A281" s="7">
        <v>3</v>
      </c>
      <c r="B281" s="14">
        <v>0.55138888888888893</v>
      </c>
      <c r="C281" s="21" t="s">
        <v>131</v>
      </c>
      <c r="Y281" s="16" t="s">
        <v>187</v>
      </c>
      <c r="Z281" s="16" t="s">
        <v>217</v>
      </c>
      <c r="AA281" s="16" t="s">
        <v>210</v>
      </c>
      <c r="AB281" s="16" t="s">
        <v>181</v>
      </c>
      <c r="AC281" s="16" t="s">
        <v>189</v>
      </c>
      <c r="AD281" s="16" t="s">
        <v>181</v>
      </c>
      <c r="AE281" s="16" t="s">
        <v>181</v>
      </c>
      <c r="AF281" s="5" t="s">
        <v>195</v>
      </c>
      <c r="AG281" s="5" t="s">
        <v>184</v>
      </c>
      <c r="AH281" s="5" t="s">
        <v>231</v>
      </c>
      <c r="AI281" s="5" t="s">
        <v>198</v>
      </c>
      <c r="AJ281" s="5" t="s">
        <v>214</v>
      </c>
    </row>
    <row r="282" spans="1:36" x14ac:dyDescent="0.35">
      <c r="A282" s="2">
        <v>3</v>
      </c>
      <c r="B282" s="15">
        <v>0.54305555555555551</v>
      </c>
      <c r="C282" s="21" t="s">
        <v>131</v>
      </c>
      <c r="AF282" s="5" t="s">
        <v>210</v>
      </c>
      <c r="AG282" s="5" t="s">
        <v>194</v>
      </c>
      <c r="AH282" s="5" t="s">
        <v>217</v>
      </c>
    </row>
    <row r="283" spans="1:36" x14ac:dyDescent="0.35">
      <c r="A283" s="7">
        <v>3</v>
      </c>
      <c r="B283" s="15">
        <v>0.53333333333333333</v>
      </c>
      <c r="C283" s="21" t="s">
        <v>131</v>
      </c>
      <c r="Y283" s="16" t="s">
        <v>187</v>
      </c>
      <c r="Z283" s="16" t="s">
        <v>217</v>
      </c>
      <c r="AA283" s="16" t="s">
        <v>210</v>
      </c>
      <c r="AB283" s="16" t="s">
        <v>181</v>
      </c>
      <c r="AC283" s="16" t="s">
        <v>182</v>
      </c>
      <c r="AD283" s="16" t="s">
        <v>181</v>
      </c>
      <c r="AE283" s="16" t="s">
        <v>181</v>
      </c>
      <c r="AF283" s="5" t="s">
        <v>223</v>
      </c>
      <c r="AG283" s="5" t="s">
        <v>226</v>
      </c>
      <c r="AH283" s="5" t="s">
        <v>211</v>
      </c>
    </row>
    <row r="284" spans="1:36" x14ac:dyDescent="0.35">
      <c r="A284" s="7">
        <v>3</v>
      </c>
      <c r="B284" s="15">
        <v>0.5229166666666667</v>
      </c>
      <c r="C284" s="21" t="s">
        <v>131</v>
      </c>
      <c r="AF284" s="5" t="s">
        <v>195</v>
      </c>
      <c r="AG284" s="5" t="s">
        <v>184</v>
      </c>
      <c r="AH284" s="5" t="s">
        <v>181</v>
      </c>
      <c r="AI284" s="5" t="s">
        <v>216</v>
      </c>
      <c r="AJ284" s="5" t="s">
        <v>186</v>
      </c>
    </row>
    <row r="285" spans="1:36" x14ac:dyDescent="0.35">
      <c r="A285" s="2">
        <v>3</v>
      </c>
      <c r="B285" s="15">
        <v>0.50694444444444442</v>
      </c>
      <c r="C285" s="21" t="s">
        <v>131</v>
      </c>
      <c r="Y285" s="16" t="s">
        <v>187</v>
      </c>
      <c r="Z285" s="16" t="s">
        <v>224</v>
      </c>
      <c r="AA285" s="16" t="s">
        <v>183</v>
      </c>
      <c r="AB285" s="16" t="s">
        <v>157</v>
      </c>
      <c r="AC285" s="16" t="s">
        <v>182</v>
      </c>
      <c r="AD285" s="16" t="s">
        <v>181</v>
      </c>
      <c r="AE285" s="16" t="s">
        <v>181</v>
      </c>
    </row>
    <row r="286" spans="1:36" x14ac:dyDescent="0.35">
      <c r="A286" s="7">
        <v>3</v>
      </c>
      <c r="B286" s="15">
        <v>0.50069444444444444</v>
      </c>
      <c r="C286" s="21" t="s">
        <v>131</v>
      </c>
      <c r="Y286" s="16" t="s">
        <v>187</v>
      </c>
      <c r="Z286" s="16" t="s">
        <v>219</v>
      </c>
      <c r="AA286" s="16" t="s">
        <v>192</v>
      </c>
      <c r="AB286" s="16" t="s">
        <v>157</v>
      </c>
      <c r="AC286" s="16" t="s">
        <v>187</v>
      </c>
      <c r="AD286" s="16" t="s">
        <v>181</v>
      </c>
      <c r="AE286" s="16" t="s">
        <v>157</v>
      </c>
      <c r="AF286" s="5" t="s">
        <v>224</v>
      </c>
      <c r="AG286" s="5" t="s">
        <v>184</v>
      </c>
      <c r="AH286" s="5" t="s">
        <v>230</v>
      </c>
      <c r="AI286" s="5" t="s">
        <v>212</v>
      </c>
      <c r="AJ286" s="5" t="s">
        <v>186</v>
      </c>
    </row>
    <row r="287" spans="1:36" x14ac:dyDescent="0.35">
      <c r="A287" s="2">
        <v>3</v>
      </c>
      <c r="B287" s="15">
        <v>0.4826388888888889</v>
      </c>
      <c r="C287" s="21" t="s">
        <v>131</v>
      </c>
      <c r="Y287" s="16" t="s">
        <v>187</v>
      </c>
      <c r="Z287" s="16" t="s">
        <v>224</v>
      </c>
      <c r="AA287" s="16" t="s">
        <v>196</v>
      </c>
      <c r="AB287" s="16" t="s">
        <v>181</v>
      </c>
      <c r="AC287" s="16" t="s">
        <v>189</v>
      </c>
      <c r="AD287" s="16" t="s">
        <v>181</v>
      </c>
      <c r="AE287" s="16" t="s">
        <v>181</v>
      </c>
      <c r="AF287" s="5" t="s">
        <v>198</v>
      </c>
      <c r="AG287" s="5" t="s">
        <v>186</v>
      </c>
    </row>
    <row r="288" spans="1:36" x14ac:dyDescent="0.35">
      <c r="A288" s="2">
        <v>3</v>
      </c>
      <c r="B288" s="15">
        <v>0.46875</v>
      </c>
      <c r="C288" s="21" t="s">
        <v>131</v>
      </c>
      <c r="Y288" s="16" t="s">
        <v>179</v>
      </c>
      <c r="Z288" s="16" t="s">
        <v>200</v>
      </c>
      <c r="AA288" s="16" t="s">
        <v>181</v>
      </c>
      <c r="AC288" s="16" t="s">
        <v>182</v>
      </c>
      <c r="AD288" s="16" t="s">
        <v>181</v>
      </c>
      <c r="AE288" s="16" t="s">
        <v>181</v>
      </c>
      <c r="AF288" s="5" t="s">
        <v>215</v>
      </c>
      <c r="AG288" s="5" t="s">
        <v>186</v>
      </c>
    </row>
    <row r="289" spans="1:36" x14ac:dyDescent="0.35">
      <c r="A289" s="7">
        <v>3</v>
      </c>
      <c r="B289" s="15">
        <v>0.45624999999999999</v>
      </c>
      <c r="C289" s="21" t="s">
        <v>131</v>
      </c>
      <c r="AF289" s="5" t="s">
        <v>202</v>
      </c>
      <c r="AG289" s="5" t="s">
        <v>194</v>
      </c>
    </row>
    <row r="290" spans="1:36" x14ac:dyDescent="0.35">
      <c r="A290" s="2">
        <v>3</v>
      </c>
      <c r="B290" s="15">
        <v>0.45277777777777778</v>
      </c>
      <c r="C290" s="21" t="s">
        <v>131</v>
      </c>
      <c r="Y290" s="16" t="s">
        <v>218</v>
      </c>
      <c r="Z290" s="16" t="s">
        <v>149</v>
      </c>
      <c r="AD290" s="16" t="s">
        <v>180</v>
      </c>
      <c r="AE290" s="16" t="s">
        <v>157</v>
      </c>
    </row>
    <row r="291" spans="1:36" x14ac:dyDescent="0.35">
      <c r="A291" s="2">
        <v>3</v>
      </c>
      <c r="B291" s="15">
        <v>0.44305555555555554</v>
      </c>
      <c r="C291" s="21" t="s">
        <v>131</v>
      </c>
      <c r="AF291" s="5" t="s">
        <v>219</v>
      </c>
      <c r="AG291" s="5" t="s">
        <v>213</v>
      </c>
    </row>
    <row r="292" spans="1:36" x14ac:dyDescent="0.35">
      <c r="A292" s="7">
        <v>3</v>
      </c>
      <c r="B292" s="15">
        <v>0.43611111111111112</v>
      </c>
      <c r="C292" s="21" t="s">
        <v>131</v>
      </c>
      <c r="Y292" s="16" t="s">
        <v>179</v>
      </c>
      <c r="Z292" s="16" t="s">
        <v>219</v>
      </c>
      <c r="AA292" s="16" t="s">
        <v>193</v>
      </c>
      <c r="AC292" s="16" t="s">
        <v>187</v>
      </c>
      <c r="AD292" s="16" t="s">
        <v>181</v>
      </c>
      <c r="AE292" s="16" t="s">
        <v>181</v>
      </c>
      <c r="AF292" s="5" t="s">
        <v>180</v>
      </c>
      <c r="AG292" s="5" t="s">
        <v>197</v>
      </c>
    </row>
    <row r="293" spans="1:36" x14ac:dyDescent="0.35">
      <c r="A293" s="7">
        <v>3</v>
      </c>
      <c r="B293" s="15">
        <v>0.43055555555555558</v>
      </c>
      <c r="C293" s="21" t="s">
        <v>131</v>
      </c>
      <c r="Y293" s="16" t="s">
        <v>179</v>
      </c>
      <c r="Z293" s="16" t="s">
        <v>188</v>
      </c>
      <c r="AA293" s="16" t="s">
        <v>210</v>
      </c>
      <c r="AC293" s="16" t="s">
        <v>182</v>
      </c>
      <c r="AD293" s="16" t="s">
        <v>181</v>
      </c>
      <c r="AE293" s="16" t="s">
        <v>181</v>
      </c>
    </row>
    <row r="294" spans="1:36" x14ac:dyDescent="0.35">
      <c r="A294" s="2">
        <v>3</v>
      </c>
      <c r="B294" s="15">
        <v>0.41736111111111113</v>
      </c>
      <c r="C294" s="21" t="s">
        <v>131</v>
      </c>
      <c r="Y294" s="16" t="s">
        <v>179</v>
      </c>
      <c r="Z294" s="16" t="s">
        <v>217</v>
      </c>
      <c r="AA294" s="16" t="s">
        <v>181</v>
      </c>
      <c r="AC294" s="16" t="s">
        <v>189</v>
      </c>
      <c r="AD294" s="16" t="s">
        <v>217</v>
      </c>
      <c r="AE294" s="16" t="s">
        <v>157</v>
      </c>
      <c r="AF294" s="5" t="s">
        <v>221</v>
      </c>
      <c r="AG294" s="5" t="s">
        <v>226</v>
      </c>
      <c r="AH294" s="5" t="s">
        <v>220</v>
      </c>
    </row>
    <row r="295" spans="1:36" x14ac:dyDescent="0.35">
      <c r="A295" s="7">
        <v>3</v>
      </c>
      <c r="B295" s="15">
        <v>0.40277777777777779</v>
      </c>
      <c r="C295" s="21" t="s">
        <v>131</v>
      </c>
      <c r="AF295" s="5" t="s">
        <v>191</v>
      </c>
      <c r="AG295" s="5" t="s">
        <v>184</v>
      </c>
      <c r="AH295" s="5" t="s">
        <v>181</v>
      </c>
      <c r="AI295" s="5" t="s">
        <v>192</v>
      </c>
      <c r="AJ295" s="5" t="s">
        <v>194</v>
      </c>
    </row>
    <row r="296" spans="1:36" x14ac:dyDescent="0.35">
      <c r="A296" s="2">
        <v>3</v>
      </c>
      <c r="B296" s="15">
        <v>0.39166666666666666</v>
      </c>
      <c r="C296" s="21" t="s">
        <v>131</v>
      </c>
      <c r="Y296" s="16" t="s">
        <v>179</v>
      </c>
      <c r="Z296" s="16" t="s">
        <v>220</v>
      </c>
      <c r="AA296" s="16" t="s">
        <v>216</v>
      </c>
      <c r="AC296" s="16" t="s">
        <v>189</v>
      </c>
      <c r="AD296" s="16" t="s">
        <v>181</v>
      </c>
      <c r="AE296" s="16" t="s">
        <v>181</v>
      </c>
      <c r="AF296" s="5" t="s">
        <v>195</v>
      </c>
      <c r="AG296" s="5" t="s">
        <v>197</v>
      </c>
    </row>
    <row r="297" spans="1:36" x14ac:dyDescent="0.35">
      <c r="A297" s="7">
        <v>3</v>
      </c>
      <c r="B297" s="15">
        <v>0.38680555555555557</v>
      </c>
      <c r="C297" s="21" t="s">
        <v>131</v>
      </c>
      <c r="Y297" s="16" t="s">
        <v>187</v>
      </c>
      <c r="Z297" s="16" t="s">
        <v>228</v>
      </c>
      <c r="AA297" s="16" t="s">
        <v>192</v>
      </c>
      <c r="AB297" s="16" t="s">
        <v>157</v>
      </c>
      <c r="AC297" s="16" t="s">
        <v>189</v>
      </c>
      <c r="AD297" s="16" t="s">
        <v>181</v>
      </c>
      <c r="AE297" s="16" t="s">
        <v>181</v>
      </c>
    </row>
    <row r="298" spans="1:36" x14ac:dyDescent="0.35">
      <c r="A298" s="7">
        <v>3</v>
      </c>
      <c r="B298" s="15">
        <v>0.37569444444444444</v>
      </c>
      <c r="C298" s="21" t="s">
        <v>131</v>
      </c>
      <c r="Y298" s="16" t="s">
        <v>179</v>
      </c>
      <c r="Z298" s="16" t="s">
        <v>193</v>
      </c>
      <c r="AA298" s="16" t="s">
        <v>181</v>
      </c>
      <c r="AC298" s="16" t="s">
        <v>189</v>
      </c>
      <c r="AD298" s="16" t="s">
        <v>207</v>
      </c>
      <c r="AE298" s="16" t="s">
        <v>181</v>
      </c>
      <c r="AF298" s="5" t="s">
        <v>190</v>
      </c>
      <c r="AG298" s="5" t="s">
        <v>194</v>
      </c>
    </row>
    <row r="299" spans="1:36" x14ac:dyDescent="0.35">
      <c r="A299" s="2">
        <v>3</v>
      </c>
      <c r="B299" s="15">
        <v>0.3611111111111111</v>
      </c>
      <c r="C299" s="21" t="s">
        <v>131</v>
      </c>
      <c r="Y299" s="16" t="s">
        <v>187</v>
      </c>
      <c r="Z299" s="16" t="s">
        <v>231</v>
      </c>
      <c r="AA299" s="16" t="s">
        <v>181</v>
      </c>
      <c r="AB299" s="16" t="s">
        <v>181</v>
      </c>
      <c r="AC299" s="16" t="s">
        <v>189</v>
      </c>
      <c r="AD299" s="16" t="s">
        <v>181</v>
      </c>
      <c r="AE299" s="16" t="s">
        <v>181</v>
      </c>
      <c r="AF299" s="5" t="s">
        <v>198</v>
      </c>
      <c r="AG299" s="5" t="s">
        <v>213</v>
      </c>
    </row>
    <row r="300" spans="1:36" x14ac:dyDescent="0.35">
      <c r="A300" s="7">
        <v>3</v>
      </c>
      <c r="B300" s="14">
        <v>0.35208333333333336</v>
      </c>
      <c r="C300" s="21" t="s">
        <v>131</v>
      </c>
      <c r="Y300" s="16" t="s">
        <v>187</v>
      </c>
      <c r="Z300" s="16" t="s">
        <v>198</v>
      </c>
      <c r="AA300" s="16" t="s">
        <v>212</v>
      </c>
      <c r="AB300" s="16" t="s">
        <v>181</v>
      </c>
      <c r="AC300" s="16" t="s">
        <v>189</v>
      </c>
      <c r="AD300" s="16" t="s">
        <v>181</v>
      </c>
      <c r="AE300" s="16" t="s">
        <v>181</v>
      </c>
      <c r="AF300" s="5" t="s">
        <v>188</v>
      </c>
      <c r="AG300" s="5" t="s">
        <v>194</v>
      </c>
      <c r="AH300" s="5" t="s">
        <v>216</v>
      </c>
    </row>
    <row r="301" spans="1:36" x14ac:dyDescent="0.35">
      <c r="A301" s="2">
        <v>3</v>
      </c>
      <c r="B301" s="15">
        <v>0.34027777777777779</v>
      </c>
      <c r="C301" s="21" t="s">
        <v>131</v>
      </c>
      <c r="AF301" s="5" t="s">
        <v>196</v>
      </c>
      <c r="AG301" s="5" t="s">
        <v>214</v>
      </c>
      <c r="AH301" s="5" t="s">
        <v>224</v>
      </c>
    </row>
    <row r="302" spans="1:36" x14ac:dyDescent="0.35">
      <c r="A302" s="2">
        <v>3</v>
      </c>
      <c r="B302" s="15">
        <v>0.33194444444444443</v>
      </c>
      <c r="C302" s="21" t="s">
        <v>131</v>
      </c>
      <c r="Y302" s="16" t="s">
        <v>205</v>
      </c>
      <c r="Z302" s="16" t="s">
        <v>219</v>
      </c>
      <c r="AA302" s="16" t="s">
        <v>191</v>
      </c>
      <c r="AC302" s="16" t="s">
        <v>187</v>
      </c>
      <c r="AD302" s="16" t="s">
        <v>181</v>
      </c>
      <c r="AE302" s="16" t="s">
        <v>181</v>
      </c>
    </row>
    <row r="303" spans="1:36" x14ac:dyDescent="0.35">
      <c r="A303" s="7">
        <v>3</v>
      </c>
      <c r="B303" s="14">
        <v>0.3298611111111111</v>
      </c>
      <c r="C303" s="21" t="s">
        <v>131</v>
      </c>
      <c r="Y303" s="16" t="s">
        <v>179</v>
      </c>
      <c r="Z303" s="16" t="s">
        <v>191</v>
      </c>
      <c r="AA303" s="16" t="s">
        <v>181</v>
      </c>
      <c r="AC303" s="16" t="s">
        <v>189</v>
      </c>
      <c r="AD303" s="16" t="s">
        <v>212</v>
      </c>
      <c r="AE303" s="16" t="s">
        <v>140</v>
      </c>
      <c r="AF303" s="5" t="s">
        <v>209</v>
      </c>
      <c r="AG303" s="5" t="s">
        <v>226</v>
      </c>
      <c r="AH303" s="5" t="s">
        <v>212</v>
      </c>
    </row>
    <row r="304" spans="1:36" x14ac:dyDescent="0.35">
      <c r="A304" s="2">
        <v>3</v>
      </c>
      <c r="B304" s="15">
        <v>0.30486111111111114</v>
      </c>
      <c r="C304" s="21" t="s">
        <v>131</v>
      </c>
      <c r="Y304" s="16" t="s">
        <v>179</v>
      </c>
      <c r="AF304" s="5" t="s">
        <v>233</v>
      </c>
      <c r="AG304" s="5" t="s">
        <v>197</v>
      </c>
    </row>
    <row r="305" spans="1:36" x14ac:dyDescent="0.35">
      <c r="A305" s="7">
        <v>3</v>
      </c>
      <c r="B305" s="15">
        <v>0.2902777777777778</v>
      </c>
      <c r="C305" s="21" t="s">
        <v>131</v>
      </c>
      <c r="AF305" s="5" t="s">
        <v>201</v>
      </c>
      <c r="AG305" s="5" t="s">
        <v>184</v>
      </c>
      <c r="AH305" s="5" t="s">
        <v>216</v>
      </c>
      <c r="AI305" s="5" t="s">
        <v>202</v>
      </c>
      <c r="AJ305" s="5" t="s">
        <v>194</v>
      </c>
    </row>
    <row r="306" spans="1:36" x14ac:dyDescent="0.35">
      <c r="A306" s="2">
        <v>3</v>
      </c>
      <c r="B306" s="15">
        <v>0.28055555555555556</v>
      </c>
      <c r="C306" s="21" t="s">
        <v>131</v>
      </c>
      <c r="Y306" s="16" t="s">
        <v>205</v>
      </c>
      <c r="Z306" s="16" t="s">
        <v>217</v>
      </c>
      <c r="AA306" s="16" t="s">
        <v>216</v>
      </c>
      <c r="AC306" s="16" t="s">
        <v>187</v>
      </c>
      <c r="AD306" s="16" t="s">
        <v>181</v>
      </c>
      <c r="AE306" s="16" t="s">
        <v>181</v>
      </c>
    </row>
    <row r="307" spans="1:36" x14ac:dyDescent="0.35">
      <c r="A307" s="7">
        <v>3</v>
      </c>
      <c r="B307" s="15">
        <v>0.2673611111111111</v>
      </c>
      <c r="C307" s="21" t="s">
        <v>131</v>
      </c>
      <c r="Y307" s="16" t="s">
        <v>179</v>
      </c>
      <c r="Z307" s="16" t="s">
        <v>193</v>
      </c>
      <c r="AA307" s="16" t="s">
        <v>181</v>
      </c>
      <c r="AC307" s="16" t="s">
        <v>189</v>
      </c>
      <c r="AD307" s="16" t="s">
        <v>181</v>
      </c>
      <c r="AE307" s="16" t="s">
        <v>140</v>
      </c>
      <c r="AF307" s="5" t="s">
        <v>219</v>
      </c>
      <c r="AG307" s="5" t="s">
        <v>214</v>
      </c>
      <c r="AH307" s="5" t="s">
        <v>217</v>
      </c>
    </row>
    <row r="308" spans="1:36" x14ac:dyDescent="0.35">
      <c r="A308" s="7">
        <v>3</v>
      </c>
      <c r="B308" s="14">
        <v>0.25694444444444442</v>
      </c>
      <c r="C308" s="21" t="s">
        <v>131</v>
      </c>
      <c r="AF308" s="5" t="s">
        <v>219</v>
      </c>
      <c r="AG308" s="5" t="s">
        <v>197</v>
      </c>
    </row>
    <row r="309" spans="1:36" x14ac:dyDescent="0.35">
      <c r="A309" s="7">
        <v>3</v>
      </c>
      <c r="B309" s="15">
        <v>0.25277777777777777</v>
      </c>
      <c r="C309" s="21" t="s">
        <v>131</v>
      </c>
      <c r="Y309" s="16" t="s">
        <v>179</v>
      </c>
      <c r="Z309" s="16" t="s">
        <v>216</v>
      </c>
      <c r="AA309" s="16" t="s">
        <v>193</v>
      </c>
      <c r="AC309" s="16" t="s">
        <v>182</v>
      </c>
      <c r="AD309" s="16" t="s">
        <v>216</v>
      </c>
      <c r="AE309" s="16" t="s">
        <v>181</v>
      </c>
      <c r="AF309" s="5" t="s">
        <v>217</v>
      </c>
      <c r="AG309" s="5" t="s">
        <v>213</v>
      </c>
    </row>
    <row r="310" spans="1:36" x14ac:dyDescent="0.35">
      <c r="A310" s="2">
        <v>3</v>
      </c>
      <c r="B310" s="15">
        <v>0.24791666666666667</v>
      </c>
      <c r="C310" s="21" t="s">
        <v>131</v>
      </c>
      <c r="Y310" s="16" t="s">
        <v>187</v>
      </c>
      <c r="Z310" s="16" t="s">
        <v>217</v>
      </c>
      <c r="AA310" s="16" t="s">
        <v>181</v>
      </c>
      <c r="AB310" s="16" t="s">
        <v>181</v>
      </c>
      <c r="AC310" s="16" t="s">
        <v>189</v>
      </c>
      <c r="AD310" s="16" t="s">
        <v>181</v>
      </c>
      <c r="AE310" s="16" t="s">
        <v>181</v>
      </c>
    </row>
    <row r="311" spans="1:36" x14ac:dyDescent="0.35">
      <c r="A311" s="7">
        <v>3</v>
      </c>
      <c r="B311" s="15">
        <v>0.2326388888888889</v>
      </c>
      <c r="C311" s="21" t="s">
        <v>131</v>
      </c>
      <c r="Y311" s="16" t="s">
        <v>179</v>
      </c>
      <c r="Z311" s="16" t="s">
        <v>191</v>
      </c>
      <c r="AA311" s="16" t="s">
        <v>221</v>
      </c>
      <c r="AC311" s="16" t="s">
        <v>187</v>
      </c>
      <c r="AD311" s="16" t="s">
        <v>207</v>
      </c>
      <c r="AE311" s="16" t="s">
        <v>181</v>
      </c>
    </row>
    <row r="312" spans="1:36" x14ac:dyDescent="0.35">
      <c r="A312" s="7">
        <v>3</v>
      </c>
      <c r="B312" s="15">
        <v>0.22013888888888888</v>
      </c>
      <c r="C312" s="21" t="s">
        <v>131</v>
      </c>
      <c r="AF312" s="5" t="s">
        <v>196</v>
      </c>
      <c r="AG312" s="5" t="s">
        <v>184</v>
      </c>
      <c r="AH312" s="5" t="s">
        <v>181</v>
      </c>
      <c r="AI312" s="5" t="s">
        <v>230</v>
      </c>
      <c r="AJ312" s="5" t="s">
        <v>213</v>
      </c>
    </row>
    <row r="313" spans="1:36" x14ac:dyDescent="0.35">
      <c r="A313" s="2">
        <v>3</v>
      </c>
      <c r="B313" s="15">
        <v>0.21527777777777779</v>
      </c>
      <c r="C313" s="21" t="s">
        <v>131</v>
      </c>
      <c r="Y313" s="16" t="s">
        <v>187</v>
      </c>
      <c r="Z313" s="16" t="s">
        <v>198</v>
      </c>
      <c r="AA313" s="16" t="s">
        <v>191</v>
      </c>
      <c r="AB313" s="16" t="s">
        <v>157</v>
      </c>
      <c r="AC313" s="16" t="s">
        <v>182</v>
      </c>
      <c r="AD313" s="16" t="s">
        <v>181</v>
      </c>
      <c r="AE313" s="16" t="s">
        <v>181</v>
      </c>
    </row>
    <row r="314" spans="1:36" x14ac:dyDescent="0.35">
      <c r="A314" s="2">
        <v>3</v>
      </c>
      <c r="B314" s="15">
        <v>0.2048611111111111</v>
      </c>
      <c r="C314" s="21" t="s">
        <v>131</v>
      </c>
      <c r="AF314" s="5" t="s">
        <v>195</v>
      </c>
      <c r="AG314" s="5" t="s">
        <v>184</v>
      </c>
      <c r="AH314" s="5" t="s">
        <v>181</v>
      </c>
      <c r="AI314" s="5" t="s">
        <v>196</v>
      </c>
      <c r="AJ314" s="5" t="s">
        <v>186</v>
      </c>
    </row>
    <row r="315" spans="1:36" x14ac:dyDescent="0.35">
      <c r="A315" s="7">
        <v>3</v>
      </c>
      <c r="B315" s="15">
        <v>0.19652777777777777</v>
      </c>
      <c r="C315" s="21" t="s">
        <v>131</v>
      </c>
      <c r="Y315" s="16" t="s">
        <v>205</v>
      </c>
      <c r="Z315" s="16" t="s">
        <v>185</v>
      </c>
      <c r="AA315" s="16" t="s">
        <v>193</v>
      </c>
      <c r="AC315" s="16" t="s">
        <v>182</v>
      </c>
      <c r="AD315" s="16" t="s">
        <v>181</v>
      </c>
      <c r="AE315" s="16" t="s">
        <v>181</v>
      </c>
    </row>
    <row r="316" spans="1:36" x14ac:dyDescent="0.35">
      <c r="A316" s="7">
        <v>3</v>
      </c>
      <c r="B316" s="14">
        <v>0.18611111111111112</v>
      </c>
      <c r="C316" s="21" t="s">
        <v>131</v>
      </c>
      <c r="AF316" s="5" t="s">
        <v>183</v>
      </c>
      <c r="AG316" s="5" t="s">
        <v>186</v>
      </c>
    </row>
    <row r="317" spans="1:36" x14ac:dyDescent="0.35">
      <c r="A317" s="2">
        <v>3</v>
      </c>
      <c r="B317" s="15">
        <v>0.17986111111111111</v>
      </c>
      <c r="C317" s="21" t="s">
        <v>131</v>
      </c>
      <c r="AF317" s="5" t="s">
        <v>185</v>
      </c>
      <c r="AG317" s="5" t="s">
        <v>213</v>
      </c>
    </row>
    <row r="318" spans="1:36" x14ac:dyDescent="0.35">
      <c r="A318" s="7">
        <v>3</v>
      </c>
      <c r="B318" s="15">
        <v>0.16319444444444445</v>
      </c>
      <c r="C318" s="21" t="s">
        <v>131</v>
      </c>
      <c r="Y318" s="16" t="s">
        <v>179</v>
      </c>
      <c r="Z318" s="16" t="s">
        <v>206</v>
      </c>
      <c r="AA318" s="16" t="s">
        <v>203</v>
      </c>
      <c r="AC318" s="16" t="s">
        <v>189</v>
      </c>
      <c r="AD318" s="16" t="s">
        <v>181</v>
      </c>
      <c r="AE318" s="16" t="s">
        <v>181</v>
      </c>
      <c r="AF318" s="5" t="s">
        <v>221</v>
      </c>
      <c r="AG318" s="5" t="s">
        <v>184</v>
      </c>
      <c r="AH318" s="5" t="s">
        <v>181</v>
      </c>
      <c r="AI318" s="5" t="s">
        <v>229</v>
      </c>
      <c r="AJ318" s="5" t="s">
        <v>197</v>
      </c>
    </row>
    <row r="319" spans="1:36" x14ac:dyDescent="0.35">
      <c r="A319" s="2">
        <v>3</v>
      </c>
      <c r="B319" s="15">
        <v>0.15625</v>
      </c>
      <c r="C319" s="21" t="s">
        <v>131</v>
      </c>
      <c r="Y319" s="16" t="s">
        <v>179</v>
      </c>
      <c r="Z319" s="16" t="s">
        <v>200</v>
      </c>
      <c r="AA319" s="16" t="s">
        <v>191</v>
      </c>
      <c r="AC319" s="16" t="s">
        <v>182</v>
      </c>
      <c r="AD319" s="16" t="s">
        <v>181</v>
      </c>
      <c r="AE319" s="16" t="s">
        <v>181</v>
      </c>
      <c r="AF319" s="5" t="s">
        <v>191</v>
      </c>
      <c r="AG319" s="5" t="s">
        <v>186</v>
      </c>
    </row>
    <row r="320" spans="1:36" x14ac:dyDescent="0.35">
      <c r="A320" s="7">
        <v>3</v>
      </c>
      <c r="B320" s="15">
        <v>0.14097222222222222</v>
      </c>
      <c r="C320" s="21" t="s">
        <v>131</v>
      </c>
      <c r="Y320" s="16" t="s">
        <v>179</v>
      </c>
      <c r="Z320" s="16" t="s">
        <v>231</v>
      </c>
      <c r="AA320" s="16" t="s">
        <v>181</v>
      </c>
      <c r="AC320" s="16" t="s">
        <v>189</v>
      </c>
      <c r="AD320" s="16" t="s">
        <v>181</v>
      </c>
      <c r="AE320" s="16" t="s">
        <v>181</v>
      </c>
      <c r="AF320" s="5" t="s">
        <v>195</v>
      </c>
      <c r="AG320" s="5" t="s">
        <v>197</v>
      </c>
    </row>
    <row r="321" spans="1:36" x14ac:dyDescent="0.35">
      <c r="A321" s="7">
        <v>3</v>
      </c>
      <c r="B321" s="15">
        <v>0.13541666666666666</v>
      </c>
      <c r="C321" s="21" t="s">
        <v>131</v>
      </c>
      <c r="Y321" s="16" t="s">
        <v>187</v>
      </c>
      <c r="Z321" s="16" t="s">
        <v>223</v>
      </c>
      <c r="AA321" s="16" t="s">
        <v>225</v>
      </c>
      <c r="AB321" s="16" t="s">
        <v>181</v>
      </c>
      <c r="AC321" s="16" t="s">
        <v>187</v>
      </c>
      <c r="AD321" s="16" t="s">
        <v>181</v>
      </c>
      <c r="AE321" s="16" t="s">
        <v>181</v>
      </c>
      <c r="AF321" s="5" t="s">
        <v>192</v>
      </c>
      <c r="AG321" s="5" t="s">
        <v>184</v>
      </c>
      <c r="AH321" s="5" t="s">
        <v>181</v>
      </c>
      <c r="AI321" s="5" t="s">
        <v>207</v>
      </c>
      <c r="AJ321" s="5" t="s">
        <v>213</v>
      </c>
    </row>
    <row r="322" spans="1:36" x14ac:dyDescent="0.35">
      <c r="A322" s="7">
        <v>3</v>
      </c>
      <c r="B322" s="15">
        <v>0.11874999999999999</v>
      </c>
      <c r="C322" s="21" t="s">
        <v>131</v>
      </c>
      <c r="Y322" s="16" t="s">
        <v>179</v>
      </c>
      <c r="Z322" s="16" t="s">
        <v>207</v>
      </c>
      <c r="AA322" s="16" t="s">
        <v>181</v>
      </c>
      <c r="AC322" s="16" t="s">
        <v>182</v>
      </c>
      <c r="AD322" s="16" t="s">
        <v>181</v>
      </c>
      <c r="AE322" s="16" t="s">
        <v>181</v>
      </c>
      <c r="AF322" s="5" t="s">
        <v>210</v>
      </c>
      <c r="AG322" s="5" t="s">
        <v>194</v>
      </c>
      <c r="AH322" s="5" t="s">
        <v>207</v>
      </c>
    </row>
    <row r="323" spans="1:36" x14ac:dyDescent="0.35">
      <c r="A323" s="2">
        <v>3</v>
      </c>
      <c r="B323" s="15">
        <v>8.4722222222222227E-2</v>
      </c>
      <c r="C323" s="21" t="s">
        <v>131</v>
      </c>
      <c r="AF323" s="5" t="s">
        <v>210</v>
      </c>
      <c r="AG323" s="5" t="s">
        <v>184</v>
      </c>
      <c r="AH323" s="5" t="s">
        <v>181</v>
      </c>
      <c r="AI323" s="5" t="s">
        <v>209</v>
      </c>
      <c r="AJ323" s="5" t="s">
        <v>186</v>
      </c>
    </row>
    <row r="324" spans="1:36" x14ac:dyDescent="0.35">
      <c r="A324" s="7">
        <v>3</v>
      </c>
      <c r="B324" s="14">
        <v>7.2916666666666671E-2</v>
      </c>
      <c r="C324" s="21" t="s">
        <v>131</v>
      </c>
      <c r="Y324" s="16" t="s">
        <v>218</v>
      </c>
      <c r="Z324" s="16" t="s">
        <v>149</v>
      </c>
      <c r="AF324" s="5" t="s">
        <v>195</v>
      </c>
      <c r="AG324" s="5" t="s">
        <v>184</v>
      </c>
      <c r="AH324" s="5" t="s">
        <v>181</v>
      </c>
      <c r="AI324" s="5" t="s">
        <v>190</v>
      </c>
      <c r="AJ324" s="5" t="s">
        <v>214</v>
      </c>
    </row>
    <row r="325" spans="1:36" x14ac:dyDescent="0.35">
      <c r="A325" s="2">
        <v>3</v>
      </c>
      <c r="B325" s="15">
        <v>6.805555555555555E-2</v>
      </c>
      <c r="C325" s="21" t="s">
        <v>131</v>
      </c>
      <c r="Y325" s="16" t="s">
        <v>187</v>
      </c>
      <c r="Z325" s="16" t="s">
        <v>202</v>
      </c>
      <c r="AA325" s="16" t="s">
        <v>196</v>
      </c>
      <c r="AB325" s="16" t="s">
        <v>157</v>
      </c>
      <c r="AC325" s="16" t="s">
        <v>182</v>
      </c>
      <c r="AD325" s="16" t="s">
        <v>181</v>
      </c>
      <c r="AE325" s="16" t="s">
        <v>181</v>
      </c>
    </row>
    <row r="326" spans="1:36" x14ac:dyDescent="0.35">
      <c r="A326" s="2">
        <v>3</v>
      </c>
      <c r="B326" s="15">
        <v>4.5138888888888888E-2</v>
      </c>
      <c r="C326" s="21" t="s">
        <v>162</v>
      </c>
      <c r="Y326" s="16" t="s">
        <v>187</v>
      </c>
      <c r="Z326" s="16" t="s">
        <v>185</v>
      </c>
      <c r="AA326" s="16" t="s">
        <v>193</v>
      </c>
      <c r="AB326" s="16" t="s">
        <v>157</v>
      </c>
      <c r="AC326" s="16" t="s">
        <v>182</v>
      </c>
      <c r="AD326" s="16" t="s">
        <v>181</v>
      </c>
      <c r="AE326" s="16" t="s">
        <v>181</v>
      </c>
    </row>
    <row r="327" spans="1:36" x14ac:dyDescent="0.35">
      <c r="A327" s="7">
        <v>3</v>
      </c>
      <c r="B327" s="15">
        <v>1.3888888888888888E-2</v>
      </c>
      <c r="C327" s="21" t="s">
        <v>162</v>
      </c>
      <c r="Y327" s="16" t="s">
        <v>187</v>
      </c>
      <c r="Z327" s="16" t="s">
        <v>219</v>
      </c>
      <c r="AA327" s="16" t="s">
        <v>231</v>
      </c>
      <c r="AB327" s="16" t="s">
        <v>157</v>
      </c>
      <c r="AC327" s="16" t="s">
        <v>182</v>
      </c>
      <c r="AD327" s="16" t="s">
        <v>181</v>
      </c>
      <c r="AE327" s="16" t="s">
        <v>181</v>
      </c>
    </row>
    <row r="328" spans="1:36" x14ac:dyDescent="0.35">
      <c r="A328" s="2">
        <v>4</v>
      </c>
      <c r="B328" s="15">
        <v>0.81458333333333333</v>
      </c>
      <c r="C328" s="21" t="s">
        <v>174</v>
      </c>
      <c r="Y328" s="16" t="s">
        <v>187</v>
      </c>
      <c r="Z328" s="16" t="s">
        <v>231</v>
      </c>
      <c r="AA328" s="16" t="s">
        <v>181</v>
      </c>
      <c r="AB328" s="16" t="s">
        <v>181</v>
      </c>
      <c r="AC328" s="16" t="s">
        <v>182</v>
      </c>
      <c r="AD328" s="16" t="s">
        <v>181</v>
      </c>
      <c r="AE328" s="16" t="s">
        <v>181</v>
      </c>
    </row>
    <row r="329" spans="1:36" x14ac:dyDescent="0.35">
      <c r="A329" s="2">
        <v>4</v>
      </c>
      <c r="B329" s="15">
        <v>0.80555555555555558</v>
      </c>
      <c r="C329" s="21" t="s">
        <v>162</v>
      </c>
      <c r="Y329" s="16" t="s">
        <v>179</v>
      </c>
      <c r="Z329" s="16" t="s">
        <v>185</v>
      </c>
      <c r="AA329" s="16" t="s">
        <v>234</v>
      </c>
      <c r="AB329" s="16" t="s">
        <v>189</v>
      </c>
      <c r="AC329" s="16" t="s">
        <v>181</v>
      </c>
      <c r="AD329" s="16" t="s">
        <v>181</v>
      </c>
      <c r="AE329" s="16" t="s">
        <v>181</v>
      </c>
      <c r="AF329" s="5" t="s">
        <v>199</v>
      </c>
      <c r="AG329" s="5" t="s">
        <v>184</v>
      </c>
      <c r="AH329" s="5" t="s">
        <v>181</v>
      </c>
      <c r="AI329" s="5" t="s">
        <v>206</v>
      </c>
      <c r="AJ329" s="5" t="s">
        <v>197</v>
      </c>
    </row>
    <row r="330" spans="1:36" x14ac:dyDescent="0.35">
      <c r="A330" s="2">
        <v>4</v>
      </c>
      <c r="B330" s="15">
        <v>0.80069444444444449</v>
      </c>
      <c r="C330" s="21" t="s">
        <v>131</v>
      </c>
      <c r="Y330" s="16" t="s">
        <v>187</v>
      </c>
      <c r="Z330" s="16" t="s">
        <v>215</v>
      </c>
      <c r="AA330" s="16" t="s">
        <v>183</v>
      </c>
      <c r="AB330" s="16" t="s">
        <v>181</v>
      </c>
      <c r="AC330" s="16" t="s">
        <v>189</v>
      </c>
      <c r="AD330" s="16" t="s">
        <v>181</v>
      </c>
      <c r="AE330" s="16" t="s">
        <v>181</v>
      </c>
    </row>
    <row r="331" spans="1:36" x14ac:dyDescent="0.35">
      <c r="A331" s="7">
        <v>4</v>
      </c>
      <c r="B331" s="15">
        <v>0.79722222222222228</v>
      </c>
      <c r="C331" s="21" t="s">
        <v>131</v>
      </c>
      <c r="AF331" s="5" t="s">
        <v>196</v>
      </c>
      <c r="AG331" s="5" t="s">
        <v>186</v>
      </c>
    </row>
    <row r="332" spans="1:36" x14ac:dyDescent="0.35">
      <c r="A332" s="7">
        <v>4</v>
      </c>
      <c r="B332" s="15">
        <v>0.79236111111111107</v>
      </c>
      <c r="C332" s="21" t="s">
        <v>131</v>
      </c>
      <c r="Y332" s="16" t="s">
        <v>179</v>
      </c>
      <c r="Z332" s="16" t="s">
        <v>229</v>
      </c>
      <c r="AA332" s="16" t="s">
        <v>181</v>
      </c>
      <c r="AC332" s="16" t="s">
        <v>187</v>
      </c>
      <c r="AD332" s="16" t="s">
        <v>181</v>
      </c>
      <c r="AE332" s="16" t="s">
        <v>181</v>
      </c>
      <c r="AF332" s="5" t="s">
        <v>201</v>
      </c>
      <c r="AG332" s="5" t="s">
        <v>184</v>
      </c>
      <c r="AH332" s="5" t="s">
        <v>181</v>
      </c>
      <c r="AI332" s="5" t="s">
        <v>191</v>
      </c>
      <c r="AJ332" s="5" t="s">
        <v>197</v>
      </c>
    </row>
    <row r="333" spans="1:36" x14ac:dyDescent="0.35">
      <c r="A333" s="2">
        <v>4</v>
      </c>
      <c r="B333" s="15">
        <v>0.78333333333333333</v>
      </c>
      <c r="C333" s="21" t="s">
        <v>131</v>
      </c>
      <c r="Y333" s="16" t="s">
        <v>187</v>
      </c>
      <c r="Z333" s="16" t="s">
        <v>180</v>
      </c>
      <c r="AA333" s="16" t="s">
        <v>196</v>
      </c>
      <c r="AB333" s="16" t="s">
        <v>181</v>
      </c>
      <c r="AC333" s="16" t="s">
        <v>189</v>
      </c>
      <c r="AD333" s="16" t="s">
        <v>181</v>
      </c>
      <c r="AE333" s="16" t="s">
        <v>181</v>
      </c>
      <c r="AF333" s="5" t="s">
        <v>196</v>
      </c>
      <c r="AG333" s="5" t="s">
        <v>184</v>
      </c>
      <c r="AH333" s="5" t="s">
        <v>181</v>
      </c>
      <c r="AI333" s="5" t="s">
        <v>195</v>
      </c>
      <c r="AJ333" s="5" t="s">
        <v>197</v>
      </c>
    </row>
    <row r="334" spans="1:36" x14ac:dyDescent="0.35">
      <c r="A334" s="7">
        <v>4</v>
      </c>
      <c r="B334" s="15">
        <v>0.77638888888888891</v>
      </c>
      <c r="C334" s="21" t="s">
        <v>131</v>
      </c>
      <c r="Y334" s="16" t="s">
        <v>205</v>
      </c>
      <c r="Z334" s="16" t="s">
        <v>229</v>
      </c>
      <c r="AA334" s="16" t="s">
        <v>181</v>
      </c>
      <c r="AC334" s="16" t="s">
        <v>189</v>
      </c>
      <c r="AD334" s="16" t="s">
        <v>181</v>
      </c>
      <c r="AE334" s="16" t="s">
        <v>181</v>
      </c>
    </row>
    <row r="335" spans="1:36" x14ac:dyDescent="0.35">
      <c r="A335" s="7">
        <v>4</v>
      </c>
      <c r="B335" s="15">
        <v>0.77430555555555558</v>
      </c>
      <c r="C335" s="21" t="s">
        <v>131</v>
      </c>
      <c r="Y335" s="16" t="s">
        <v>187</v>
      </c>
      <c r="Z335" s="16" t="s">
        <v>180</v>
      </c>
      <c r="AA335" s="16" t="s">
        <v>196</v>
      </c>
      <c r="AB335" s="16" t="s">
        <v>181</v>
      </c>
      <c r="AC335" s="16" t="s">
        <v>189</v>
      </c>
      <c r="AD335" s="16" t="s">
        <v>181</v>
      </c>
      <c r="AE335" s="16" t="s">
        <v>181</v>
      </c>
      <c r="AF335" s="5" t="s">
        <v>223</v>
      </c>
      <c r="AG335" s="5" t="s">
        <v>194</v>
      </c>
    </row>
    <row r="336" spans="1:36" x14ac:dyDescent="0.35">
      <c r="A336" s="2">
        <v>4</v>
      </c>
      <c r="B336" s="15">
        <v>0.75902777777777775</v>
      </c>
      <c r="C336" s="21" t="s">
        <v>131</v>
      </c>
      <c r="AF336" s="5" t="s">
        <v>192</v>
      </c>
      <c r="AG336" s="5" t="s">
        <v>197</v>
      </c>
    </row>
    <row r="337" spans="1:36" x14ac:dyDescent="0.35">
      <c r="A337" s="2">
        <v>4</v>
      </c>
      <c r="B337" s="15">
        <v>0.75277777777777777</v>
      </c>
      <c r="C337" s="21" t="s">
        <v>131</v>
      </c>
      <c r="Y337" s="16" t="s">
        <v>187</v>
      </c>
      <c r="Z337" s="16" t="s">
        <v>224</v>
      </c>
      <c r="AA337" s="16" t="s">
        <v>221</v>
      </c>
      <c r="AB337" s="16" t="s">
        <v>157</v>
      </c>
      <c r="AC337" s="16" t="s">
        <v>182</v>
      </c>
      <c r="AD337" s="16" t="s">
        <v>181</v>
      </c>
      <c r="AE337" s="16" t="s">
        <v>157</v>
      </c>
      <c r="AF337" s="5" t="s">
        <v>215</v>
      </c>
      <c r="AG337" s="5" t="s">
        <v>214</v>
      </c>
    </row>
    <row r="338" spans="1:36" x14ac:dyDescent="0.35">
      <c r="A338" s="7">
        <v>4</v>
      </c>
      <c r="B338" s="15">
        <v>0.72222222222222221</v>
      </c>
      <c r="C338" s="21" t="s">
        <v>131</v>
      </c>
      <c r="Y338" s="16" t="s">
        <v>187</v>
      </c>
      <c r="Z338" s="16" t="s">
        <v>219</v>
      </c>
      <c r="AA338" s="16" t="s">
        <v>192</v>
      </c>
      <c r="AB338" s="16" t="s">
        <v>157</v>
      </c>
      <c r="AC338" s="16" t="s">
        <v>189</v>
      </c>
      <c r="AD338" s="16" t="s">
        <v>181</v>
      </c>
      <c r="AE338" s="16" t="s">
        <v>181</v>
      </c>
      <c r="AF338" s="5" t="s">
        <v>180</v>
      </c>
      <c r="AG338" s="5" t="s">
        <v>194</v>
      </c>
    </row>
    <row r="339" spans="1:36" x14ac:dyDescent="0.35">
      <c r="A339" s="2">
        <v>4</v>
      </c>
      <c r="B339" s="15">
        <v>0.7</v>
      </c>
      <c r="C339" s="21" t="s">
        <v>131</v>
      </c>
      <c r="Y339" s="16" t="s">
        <v>205</v>
      </c>
      <c r="Z339" s="16" t="s">
        <v>185</v>
      </c>
      <c r="AA339" s="16" t="s">
        <v>191</v>
      </c>
      <c r="AC339" s="16" t="s">
        <v>182</v>
      </c>
      <c r="AD339" s="16" t="s">
        <v>181</v>
      </c>
      <c r="AE339" s="16" t="s">
        <v>181</v>
      </c>
    </row>
    <row r="340" spans="1:36" x14ac:dyDescent="0.35">
      <c r="A340" s="2">
        <v>4</v>
      </c>
      <c r="B340" s="15">
        <v>0.6875</v>
      </c>
      <c r="C340" s="21" t="s">
        <v>131</v>
      </c>
      <c r="Y340" s="16" t="s">
        <v>179</v>
      </c>
      <c r="Z340" s="16" t="s">
        <v>207</v>
      </c>
      <c r="AA340" s="16" t="s">
        <v>181</v>
      </c>
      <c r="AC340" s="16" t="s">
        <v>187</v>
      </c>
      <c r="AD340" s="16" t="s">
        <v>181</v>
      </c>
      <c r="AE340" s="16" t="s">
        <v>181</v>
      </c>
      <c r="AF340" s="5" t="s">
        <v>221</v>
      </c>
      <c r="AG340" s="5" t="s">
        <v>214</v>
      </c>
    </row>
    <row r="341" spans="1:36" x14ac:dyDescent="0.35">
      <c r="A341" s="2">
        <v>4</v>
      </c>
      <c r="B341" s="15">
        <v>0.67361111111111116</v>
      </c>
      <c r="C341" s="21" t="s">
        <v>131</v>
      </c>
      <c r="Y341" s="16" t="s">
        <v>187</v>
      </c>
      <c r="Z341" s="16" t="s">
        <v>200</v>
      </c>
      <c r="AA341" s="16" t="s">
        <v>193</v>
      </c>
      <c r="AB341" s="16" t="s">
        <v>181</v>
      </c>
      <c r="AC341" s="16" t="s">
        <v>187</v>
      </c>
      <c r="AD341" s="16" t="s">
        <v>181</v>
      </c>
      <c r="AE341" s="16" t="s">
        <v>181</v>
      </c>
      <c r="AF341" s="5" t="s">
        <v>204</v>
      </c>
      <c r="AG341" s="5" t="s">
        <v>184</v>
      </c>
      <c r="AH341" s="5" t="s">
        <v>181</v>
      </c>
      <c r="AI341" s="5" t="s">
        <v>221</v>
      </c>
      <c r="AJ341" s="5" t="s">
        <v>197</v>
      </c>
    </row>
    <row r="342" spans="1:36" x14ac:dyDescent="0.35">
      <c r="A342" s="7">
        <v>4</v>
      </c>
      <c r="B342" s="15">
        <v>0.66527777777777775</v>
      </c>
      <c r="C342" s="21" t="s">
        <v>131</v>
      </c>
      <c r="Y342" s="16" t="s">
        <v>179</v>
      </c>
      <c r="Z342" s="16" t="s">
        <v>231</v>
      </c>
      <c r="AA342" s="16" t="s">
        <v>183</v>
      </c>
      <c r="AB342" s="16" t="s">
        <v>181</v>
      </c>
      <c r="AC342" s="16" t="s">
        <v>182</v>
      </c>
      <c r="AD342" s="16" t="s">
        <v>181</v>
      </c>
      <c r="AE342" s="16" t="s">
        <v>181</v>
      </c>
    </row>
    <row r="343" spans="1:36" x14ac:dyDescent="0.35">
      <c r="A343" s="7">
        <v>4</v>
      </c>
      <c r="B343" s="15">
        <v>0.65138888888888891</v>
      </c>
      <c r="C343" s="21" t="s">
        <v>131</v>
      </c>
      <c r="Y343" s="16" t="s">
        <v>187</v>
      </c>
      <c r="Z343" s="16" t="s">
        <v>198</v>
      </c>
      <c r="AA343" s="16" t="s">
        <v>188</v>
      </c>
      <c r="AB343" s="16" t="s">
        <v>157</v>
      </c>
      <c r="AC343" s="16" t="s">
        <v>189</v>
      </c>
      <c r="AD343" s="16" t="s">
        <v>181</v>
      </c>
      <c r="AE343" s="16" t="s">
        <v>181</v>
      </c>
      <c r="AF343" s="5" t="s">
        <v>224</v>
      </c>
      <c r="AG343" s="5" t="s">
        <v>197</v>
      </c>
    </row>
    <row r="344" spans="1:36" x14ac:dyDescent="0.35">
      <c r="A344" s="2">
        <v>4</v>
      </c>
      <c r="B344" s="15">
        <v>0.63680555555555551</v>
      </c>
      <c r="C344" s="21" t="s">
        <v>131</v>
      </c>
      <c r="Y344" s="16" t="s">
        <v>187</v>
      </c>
      <c r="Z344" s="16" t="s">
        <v>211</v>
      </c>
      <c r="AA344" s="16" t="s">
        <v>183</v>
      </c>
      <c r="AB344" s="16" t="s">
        <v>157</v>
      </c>
      <c r="AC344" s="16" t="s">
        <v>182</v>
      </c>
      <c r="AD344" s="16" t="s">
        <v>181</v>
      </c>
      <c r="AE344" s="16" t="s">
        <v>181</v>
      </c>
    </row>
    <row r="345" spans="1:36" x14ac:dyDescent="0.35">
      <c r="A345" s="7">
        <v>4</v>
      </c>
      <c r="B345" s="15">
        <v>0.62569444444444444</v>
      </c>
      <c r="C345" s="21" t="s">
        <v>131</v>
      </c>
      <c r="Y345" s="16" t="s">
        <v>187</v>
      </c>
      <c r="Z345" s="16" t="s">
        <v>198</v>
      </c>
      <c r="AA345" s="16" t="s">
        <v>191</v>
      </c>
      <c r="AB345" s="16" t="s">
        <v>157</v>
      </c>
      <c r="AC345" s="16" t="s">
        <v>187</v>
      </c>
      <c r="AD345" s="16" t="s">
        <v>181</v>
      </c>
      <c r="AE345" s="16" t="s">
        <v>181</v>
      </c>
      <c r="AF345" s="5" t="s">
        <v>191</v>
      </c>
      <c r="AG345" s="5" t="s">
        <v>194</v>
      </c>
    </row>
    <row r="346" spans="1:36" x14ac:dyDescent="0.35">
      <c r="A346" s="7">
        <v>4</v>
      </c>
      <c r="B346" s="15">
        <v>0.61458333333333337</v>
      </c>
      <c r="C346" s="21" t="s">
        <v>131</v>
      </c>
      <c r="Y346" s="16" t="s">
        <v>205</v>
      </c>
      <c r="Z346" s="16" t="s">
        <v>219</v>
      </c>
      <c r="AA346" s="16" t="s">
        <v>217</v>
      </c>
      <c r="AC346" s="16" t="s">
        <v>189</v>
      </c>
      <c r="AD346" s="16" t="s">
        <v>181</v>
      </c>
      <c r="AE346" s="16" t="s">
        <v>181</v>
      </c>
      <c r="AF346" s="5" t="s">
        <v>181</v>
      </c>
    </row>
    <row r="347" spans="1:36" x14ac:dyDescent="0.35">
      <c r="A347" s="7">
        <v>4</v>
      </c>
      <c r="B347" s="15">
        <v>0.61388888888888893</v>
      </c>
      <c r="C347" s="21" t="s">
        <v>131</v>
      </c>
      <c r="Y347" s="16" t="s">
        <v>187</v>
      </c>
      <c r="Z347" s="16" t="s">
        <v>220</v>
      </c>
      <c r="AA347" s="16" t="s">
        <v>196</v>
      </c>
      <c r="AB347" s="16" t="s">
        <v>181</v>
      </c>
      <c r="AC347" s="16" t="s">
        <v>189</v>
      </c>
      <c r="AD347" s="16" t="s">
        <v>181</v>
      </c>
      <c r="AE347" s="16" t="s">
        <v>181</v>
      </c>
      <c r="AF347" s="5" t="s">
        <v>209</v>
      </c>
      <c r="AG347" s="5" t="s">
        <v>197</v>
      </c>
    </row>
    <row r="348" spans="1:36" x14ac:dyDescent="0.35">
      <c r="A348" s="2">
        <v>4</v>
      </c>
      <c r="B348" s="15">
        <v>0.59930555555555554</v>
      </c>
      <c r="C348" s="21" t="s">
        <v>131</v>
      </c>
      <c r="Y348" s="16" t="s">
        <v>179</v>
      </c>
      <c r="Z348" s="16" t="s">
        <v>185</v>
      </c>
      <c r="AA348" s="16" t="s">
        <v>193</v>
      </c>
      <c r="AC348" s="16" t="s">
        <v>182</v>
      </c>
      <c r="AD348" s="16" t="s">
        <v>181</v>
      </c>
      <c r="AE348" s="16" t="s">
        <v>181</v>
      </c>
      <c r="AF348" s="5" t="s">
        <v>199</v>
      </c>
      <c r="AG348" s="5" t="s">
        <v>184</v>
      </c>
      <c r="AH348" s="5" t="s">
        <v>181</v>
      </c>
      <c r="AI348" s="5" t="s">
        <v>188</v>
      </c>
      <c r="AJ348" s="5" t="s">
        <v>186</v>
      </c>
    </row>
    <row r="349" spans="1:36" x14ac:dyDescent="0.35">
      <c r="A349">
        <v>4</v>
      </c>
      <c r="B349" s="15">
        <v>0.59375</v>
      </c>
      <c r="C349" s="21" t="s">
        <v>131</v>
      </c>
      <c r="AF349" s="5" t="s">
        <v>225</v>
      </c>
      <c r="AG349" s="5" t="s">
        <v>184</v>
      </c>
      <c r="AH349" s="5" t="s">
        <v>203</v>
      </c>
      <c r="AI349" s="5" t="s">
        <v>180</v>
      </c>
      <c r="AJ349" s="5" t="s">
        <v>194</v>
      </c>
    </row>
    <row r="350" spans="1:36" x14ac:dyDescent="0.35">
      <c r="A350" s="7">
        <v>4</v>
      </c>
      <c r="B350" s="15">
        <v>0.58125000000000004</v>
      </c>
      <c r="C350" s="21" t="s">
        <v>131</v>
      </c>
      <c r="Y350" s="16" t="s">
        <v>179</v>
      </c>
      <c r="Z350" s="16" t="s">
        <v>216</v>
      </c>
      <c r="AA350" s="16" t="s">
        <v>201</v>
      </c>
      <c r="AC350" s="16" t="s">
        <v>189</v>
      </c>
      <c r="AD350" s="16" t="s">
        <v>181</v>
      </c>
      <c r="AE350" s="16" t="s">
        <v>181</v>
      </c>
      <c r="AF350" s="5" t="s">
        <v>199</v>
      </c>
      <c r="AG350" s="5" t="s">
        <v>184</v>
      </c>
      <c r="AH350" s="5" t="s">
        <v>223</v>
      </c>
      <c r="AI350" s="5" t="s">
        <v>225</v>
      </c>
      <c r="AJ350" s="5" t="s">
        <v>194</v>
      </c>
    </row>
    <row r="351" spans="1:36" x14ac:dyDescent="0.35">
      <c r="A351">
        <v>4</v>
      </c>
      <c r="B351" s="15">
        <v>0.57291666666666663</v>
      </c>
      <c r="C351" s="21" t="s">
        <v>131</v>
      </c>
      <c r="Y351" s="16" t="s">
        <v>187</v>
      </c>
      <c r="Z351" s="16" t="s">
        <v>210</v>
      </c>
      <c r="AA351" s="16" t="s">
        <v>201</v>
      </c>
      <c r="AB351" s="16" t="s">
        <v>181</v>
      </c>
      <c r="AC351" s="16" t="s">
        <v>189</v>
      </c>
      <c r="AD351" s="16" t="s">
        <v>181</v>
      </c>
      <c r="AE351" s="16" t="s">
        <v>181</v>
      </c>
      <c r="AF351" s="5" t="s">
        <v>225</v>
      </c>
      <c r="AG351" s="5" t="s">
        <v>197</v>
      </c>
    </row>
    <row r="352" spans="1:36" x14ac:dyDescent="0.35">
      <c r="A352">
        <v>4</v>
      </c>
      <c r="B352" s="15">
        <v>0.56458333333333333</v>
      </c>
      <c r="C352" s="21" t="s">
        <v>131</v>
      </c>
      <c r="Y352" s="16" t="s">
        <v>179</v>
      </c>
      <c r="Z352" s="16" t="s">
        <v>202</v>
      </c>
      <c r="AA352" s="16" t="s">
        <v>181</v>
      </c>
      <c r="AC352" s="16" t="s">
        <v>187</v>
      </c>
      <c r="AD352" s="16" t="s">
        <v>181</v>
      </c>
      <c r="AE352" s="16" t="s">
        <v>181</v>
      </c>
      <c r="AF352" s="5" t="s">
        <v>232</v>
      </c>
      <c r="AG352" s="5" t="s">
        <v>184</v>
      </c>
      <c r="AH352" s="5" t="s">
        <v>181</v>
      </c>
      <c r="AI352" s="5" t="s">
        <v>204</v>
      </c>
      <c r="AJ352" s="5" t="s">
        <v>197</v>
      </c>
    </row>
    <row r="353" spans="1:36" x14ac:dyDescent="0.35">
      <c r="A353" s="7">
        <v>4</v>
      </c>
      <c r="B353" s="15">
        <v>0.55833333333333335</v>
      </c>
      <c r="C353" s="21" t="s">
        <v>131</v>
      </c>
      <c r="Y353" s="16" t="s">
        <v>179</v>
      </c>
      <c r="Z353" s="16" t="s">
        <v>229</v>
      </c>
      <c r="AA353" s="16" t="s">
        <v>207</v>
      </c>
      <c r="AC353" s="16" t="s">
        <v>187</v>
      </c>
      <c r="AD353" s="16" t="s">
        <v>181</v>
      </c>
      <c r="AE353" s="16" t="s">
        <v>181</v>
      </c>
      <c r="AF353" s="5" t="s">
        <v>193</v>
      </c>
      <c r="AG353" s="5" t="s">
        <v>184</v>
      </c>
      <c r="AH353" s="5" t="s">
        <v>181</v>
      </c>
      <c r="AI353" s="5" t="s">
        <v>207</v>
      </c>
      <c r="AJ353" s="5" t="s">
        <v>194</v>
      </c>
    </row>
    <row r="354" spans="1:36" x14ac:dyDescent="0.35">
      <c r="A354" s="7">
        <v>4</v>
      </c>
      <c r="B354" s="15">
        <v>0.54861111111111116</v>
      </c>
      <c r="C354" s="21" t="s">
        <v>131</v>
      </c>
      <c r="Y354" s="16" t="s">
        <v>179</v>
      </c>
      <c r="Z354" s="16" t="s">
        <v>190</v>
      </c>
      <c r="AA354" s="16" t="s">
        <v>193</v>
      </c>
      <c r="AC354" s="16" t="s">
        <v>182</v>
      </c>
      <c r="AD354" s="16" t="s">
        <v>181</v>
      </c>
      <c r="AE354" s="16" t="s">
        <v>181</v>
      </c>
      <c r="AF354" s="5" t="s">
        <v>188</v>
      </c>
      <c r="AG354" s="5" t="s">
        <v>194</v>
      </c>
      <c r="AH354" s="5" t="s">
        <v>230</v>
      </c>
    </row>
    <row r="355" spans="1:36" x14ac:dyDescent="0.35">
      <c r="A355">
        <v>4</v>
      </c>
      <c r="B355" s="15">
        <v>0.53819444444444442</v>
      </c>
      <c r="C355" s="21" t="s">
        <v>131</v>
      </c>
      <c r="Y355" s="16" t="s">
        <v>205</v>
      </c>
      <c r="Z355" s="16" t="s">
        <v>211</v>
      </c>
      <c r="AA355" s="16" t="s">
        <v>198</v>
      </c>
      <c r="AC355" s="16" t="s">
        <v>187</v>
      </c>
      <c r="AD355" s="16" t="s">
        <v>181</v>
      </c>
      <c r="AE355" s="16" t="s">
        <v>181</v>
      </c>
    </row>
    <row r="356" spans="1:36" x14ac:dyDescent="0.35">
      <c r="A356" s="7">
        <v>4</v>
      </c>
      <c r="B356" s="14">
        <v>0.53541666666666665</v>
      </c>
      <c r="C356" s="21" t="s">
        <v>131</v>
      </c>
      <c r="Y356" s="16" t="s">
        <v>187</v>
      </c>
      <c r="Z356" s="16" t="s">
        <v>198</v>
      </c>
      <c r="AA356" s="16" t="s">
        <v>188</v>
      </c>
      <c r="AB356" s="16" t="s">
        <v>181</v>
      </c>
      <c r="AC356" s="16" t="s">
        <v>187</v>
      </c>
      <c r="AD356" s="16" t="s">
        <v>181</v>
      </c>
      <c r="AE356" s="16" t="s">
        <v>181</v>
      </c>
      <c r="AF356" s="5" t="s">
        <v>212</v>
      </c>
      <c r="AG356" s="5" t="s">
        <v>194</v>
      </c>
      <c r="AH356" s="5" t="s">
        <v>190</v>
      </c>
    </row>
    <row r="357" spans="1:36" x14ac:dyDescent="0.35">
      <c r="A357">
        <v>4</v>
      </c>
      <c r="B357" s="15">
        <v>0.51666666666666672</v>
      </c>
      <c r="C357" s="21" t="s">
        <v>131</v>
      </c>
      <c r="Y357" s="16" t="s">
        <v>205</v>
      </c>
      <c r="Z357" s="16" t="s">
        <v>209</v>
      </c>
      <c r="AA357" s="16" t="s">
        <v>235</v>
      </c>
      <c r="AC357" s="16" t="s">
        <v>189</v>
      </c>
      <c r="AD357" s="16" t="s">
        <v>181</v>
      </c>
      <c r="AE357" s="16" t="s">
        <v>181</v>
      </c>
    </row>
    <row r="358" spans="1:36" x14ac:dyDescent="0.35">
      <c r="A358" s="7">
        <v>4</v>
      </c>
      <c r="B358" s="14">
        <v>0.51249999999999996</v>
      </c>
      <c r="C358" s="21" t="s">
        <v>131</v>
      </c>
      <c r="Y358" s="16" t="s">
        <v>179</v>
      </c>
      <c r="Z358" s="16" t="s">
        <v>220</v>
      </c>
      <c r="AA358" s="16" t="s">
        <v>195</v>
      </c>
      <c r="AC358" s="16" t="s">
        <v>182</v>
      </c>
      <c r="AD358" s="16" t="s">
        <v>217</v>
      </c>
      <c r="AE358" s="16" t="s">
        <v>181</v>
      </c>
    </row>
    <row r="359" spans="1:36" x14ac:dyDescent="0.35">
      <c r="A359">
        <v>4</v>
      </c>
      <c r="B359" s="15">
        <v>0.49861111111111112</v>
      </c>
      <c r="C359" s="21" t="s">
        <v>131</v>
      </c>
      <c r="Y359" s="16" t="s">
        <v>187</v>
      </c>
      <c r="Z359" s="16" t="s">
        <v>209</v>
      </c>
      <c r="AA359" s="16" t="s">
        <v>181</v>
      </c>
      <c r="AB359" s="16" t="s">
        <v>181</v>
      </c>
      <c r="AC359" s="16" t="s">
        <v>189</v>
      </c>
      <c r="AD359" s="16" t="s">
        <v>181</v>
      </c>
      <c r="AE359" s="16" t="s">
        <v>181</v>
      </c>
      <c r="AF359" s="5" t="s">
        <v>192</v>
      </c>
      <c r="AG359" s="5" t="s">
        <v>197</v>
      </c>
    </row>
    <row r="360" spans="1:36" x14ac:dyDescent="0.35">
      <c r="A360" s="7">
        <v>4</v>
      </c>
      <c r="B360" s="15">
        <v>0.49236111111111114</v>
      </c>
      <c r="C360" s="21" t="s">
        <v>131</v>
      </c>
      <c r="Y360" s="16" t="s">
        <v>187</v>
      </c>
      <c r="Z360" s="16" t="s">
        <v>206</v>
      </c>
      <c r="AA360" s="16" t="s">
        <v>183</v>
      </c>
      <c r="AB360" s="16" t="s">
        <v>181</v>
      </c>
      <c r="AC360" s="16" t="s">
        <v>182</v>
      </c>
      <c r="AD360" s="16" t="s">
        <v>181</v>
      </c>
      <c r="AE360" s="16" t="s">
        <v>181</v>
      </c>
    </row>
    <row r="361" spans="1:36" x14ac:dyDescent="0.35">
      <c r="A361">
        <v>4</v>
      </c>
      <c r="B361" s="15">
        <v>0.4861111111111111</v>
      </c>
      <c r="C361" s="21" t="s">
        <v>131</v>
      </c>
      <c r="Y361" s="16" t="s">
        <v>187</v>
      </c>
      <c r="Z361" s="16" t="s">
        <v>180</v>
      </c>
      <c r="AA361" s="16" t="s">
        <v>183</v>
      </c>
      <c r="AB361" s="16" t="s">
        <v>181</v>
      </c>
      <c r="AC361" s="16" t="s">
        <v>182</v>
      </c>
      <c r="AD361" s="16" t="s">
        <v>181</v>
      </c>
      <c r="AE361" s="16" t="s">
        <v>181</v>
      </c>
    </row>
    <row r="362" spans="1:36" x14ac:dyDescent="0.35">
      <c r="A362" s="7">
        <v>4</v>
      </c>
      <c r="B362" s="15">
        <v>0.4777777777777778</v>
      </c>
      <c r="C362" s="21" t="s">
        <v>131</v>
      </c>
      <c r="Y362" s="16" t="s">
        <v>187</v>
      </c>
      <c r="Z362" s="16" t="s">
        <v>228</v>
      </c>
      <c r="AA362" s="16" t="s">
        <v>188</v>
      </c>
      <c r="AB362" s="16" t="s">
        <v>181</v>
      </c>
      <c r="AC362" s="16" t="s">
        <v>189</v>
      </c>
      <c r="AD362" s="16" t="s">
        <v>181</v>
      </c>
      <c r="AE362" s="16" t="s">
        <v>181</v>
      </c>
      <c r="AF362" s="5" t="s">
        <v>202</v>
      </c>
      <c r="AG362" s="5" t="s">
        <v>194</v>
      </c>
    </row>
    <row r="363" spans="1:36" x14ac:dyDescent="0.35">
      <c r="A363" s="7">
        <v>4</v>
      </c>
      <c r="B363" s="15">
        <v>0.46111111111111114</v>
      </c>
      <c r="C363" s="21" t="s">
        <v>131</v>
      </c>
      <c r="Y363" s="16" t="s">
        <v>179</v>
      </c>
      <c r="Z363" s="16" t="s">
        <v>201</v>
      </c>
      <c r="AA363" s="16" t="s">
        <v>181</v>
      </c>
      <c r="AC363" s="16" t="s">
        <v>182</v>
      </c>
      <c r="AD363" s="16" t="s">
        <v>181</v>
      </c>
      <c r="AE363" s="16" t="s">
        <v>181</v>
      </c>
      <c r="AF363" s="5" t="s">
        <v>210</v>
      </c>
      <c r="AG363" s="5" t="s">
        <v>184</v>
      </c>
      <c r="AH363" s="5" t="s">
        <v>181</v>
      </c>
      <c r="AI363" s="5" t="s">
        <v>183</v>
      </c>
      <c r="AJ363" s="5" t="s">
        <v>197</v>
      </c>
    </row>
    <row r="364" spans="1:36" x14ac:dyDescent="0.35">
      <c r="A364">
        <v>4</v>
      </c>
      <c r="B364" s="15">
        <v>79.61944444444444</v>
      </c>
      <c r="C364" s="21" t="s">
        <v>131</v>
      </c>
      <c r="Y364" s="16" t="s">
        <v>179</v>
      </c>
      <c r="Z364" s="16" t="s">
        <v>223</v>
      </c>
      <c r="AA364" s="16" t="s">
        <v>225</v>
      </c>
      <c r="AC364" s="16" t="s">
        <v>182</v>
      </c>
      <c r="AD364" s="16" t="s">
        <v>216</v>
      </c>
      <c r="AE364" s="16" t="s">
        <v>181</v>
      </c>
      <c r="AF364" s="5" t="s">
        <v>225</v>
      </c>
      <c r="AG364" s="5" t="s">
        <v>184</v>
      </c>
      <c r="AH364" s="5" t="s">
        <v>190</v>
      </c>
      <c r="AI364" s="5" t="s">
        <v>231</v>
      </c>
      <c r="AJ364" s="5" t="s">
        <v>213</v>
      </c>
    </row>
    <row r="365" spans="1:36" x14ac:dyDescent="0.35">
      <c r="A365" s="7">
        <v>4</v>
      </c>
      <c r="B365" s="15">
        <v>0.43333333333333335</v>
      </c>
      <c r="C365" s="21" t="s">
        <v>131</v>
      </c>
      <c r="Y365" s="16" t="s">
        <v>205</v>
      </c>
      <c r="Z365" s="16" t="s">
        <v>190</v>
      </c>
      <c r="AA365" s="16" t="s">
        <v>201</v>
      </c>
      <c r="AC365" s="16" t="s">
        <v>189</v>
      </c>
      <c r="AD365" s="16" t="s">
        <v>181</v>
      </c>
      <c r="AE365" s="16" t="s">
        <v>181</v>
      </c>
    </row>
    <row r="366" spans="1:36" x14ac:dyDescent="0.35">
      <c r="A366">
        <v>4</v>
      </c>
      <c r="B366" s="15">
        <v>0.42986111111111114</v>
      </c>
      <c r="C366" s="21" t="s">
        <v>131</v>
      </c>
      <c r="Y366" s="16" t="s">
        <v>187</v>
      </c>
      <c r="Z366" s="16" t="s">
        <v>224</v>
      </c>
      <c r="AA366" s="16" t="s">
        <v>221</v>
      </c>
      <c r="AB366" s="16" t="s">
        <v>181</v>
      </c>
      <c r="AC366" s="16" t="s">
        <v>182</v>
      </c>
      <c r="AD366" s="16" t="s">
        <v>181</v>
      </c>
      <c r="AE366" s="16" t="s">
        <v>181</v>
      </c>
      <c r="AF366" s="5" t="s">
        <v>221</v>
      </c>
      <c r="AG366" s="5" t="s">
        <v>184</v>
      </c>
      <c r="AH366" s="5" t="s">
        <v>211</v>
      </c>
      <c r="AI366" s="5" t="s">
        <v>198</v>
      </c>
      <c r="AJ366" s="5" t="s">
        <v>214</v>
      </c>
    </row>
    <row r="367" spans="1:36" x14ac:dyDescent="0.35">
      <c r="A367">
        <v>4</v>
      </c>
      <c r="B367" s="15">
        <v>0.41597222222222224</v>
      </c>
      <c r="C367" s="21" t="s">
        <v>131</v>
      </c>
      <c r="Y367" s="16" t="s">
        <v>179</v>
      </c>
      <c r="Z367" s="16" t="s">
        <v>211</v>
      </c>
      <c r="AA367" s="16" t="s">
        <v>181</v>
      </c>
      <c r="AC367" s="16" t="s">
        <v>182</v>
      </c>
      <c r="AD367" s="16" t="s">
        <v>181</v>
      </c>
      <c r="AE367" s="16" t="s">
        <v>181</v>
      </c>
      <c r="AF367" s="5" t="s">
        <v>221</v>
      </c>
      <c r="AG367" s="5" t="s">
        <v>184</v>
      </c>
      <c r="AH367" s="5" t="s">
        <v>181</v>
      </c>
      <c r="AI367" s="5" t="s">
        <v>200</v>
      </c>
      <c r="AJ367" s="5" t="s">
        <v>197</v>
      </c>
    </row>
    <row r="368" spans="1:36" x14ac:dyDescent="0.35">
      <c r="A368" s="7">
        <v>4</v>
      </c>
      <c r="B368" s="15">
        <v>0.40625</v>
      </c>
      <c r="C368" s="21" t="s">
        <v>131</v>
      </c>
      <c r="AF368" s="5" t="s">
        <v>196</v>
      </c>
      <c r="AG368" s="5" t="s">
        <v>194</v>
      </c>
    </row>
    <row r="369" spans="1:36" x14ac:dyDescent="0.35">
      <c r="A369">
        <v>4</v>
      </c>
      <c r="B369" s="15">
        <v>0.39930555555555558</v>
      </c>
      <c r="C369" s="21" t="s">
        <v>131</v>
      </c>
      <c r="Y369" s="16" t="s">
        <v>179</v>
      </c>
      <c r="Z369" s="16" t="s">
        <v>220</v>
      </c>
      <c r="AA369" s="16" t="s">
        <v>181</v>
      </c>
      <c r="AC369" s="16" t="s">
        <v>189</v>
      </c>
      <c r="AD369" s="16" t="s">
        <v>181</v>
      </c>
      <c r="AE369" s="16" t="s">
        <v>181</v>
      </c>
      <c r="AF369" s="5" t="s">
        <v>195</v>
      </c>
      <c r="AG369" s="5" t="s">
        <v>184</v>
      </c>
      <c r="AH369" s="5" t="s">
        <v>181</v>
      </c>
      <c r="AI369" s="5" t="s">
        <v>185</v>
      </c>
      <c r="AJ369" s="5" t="s">
        <v>197</v>
      </c>
    </row>
    <row r="370" spans="1:36" x14ac:dyDescent="0.35">
      <c r="A370" s="7">
        <v>4</v>
      </c>
      <c r="B370" s="15">
        <v>0.39097222222222222</v>
      </c>
      <c r="C370" s="21" t="s">
        <v>131</v>
      </c>
      <c r="Y370" s="16" t="s">
        <v>187</v>
      </c>
      <c r="Z370" s="16" t="s">
        <v>219</v>
      </c>
      <c r="AA370" s="16" t="s">
        <v>188</v>
      </c>
      <c r="AB370" s="16" t="s">
        <v>181</v>
      </c>
      <c r="AC370" s="16" t="s">
        <v>189</v>
      </c>
      <c r="AD370" s="16" t="s">
        <v>181</v>
      </c>
      <c r="AE370" s="16" t="s">
        <v>181</v>
      </c>
    </row>
    <row r="371" spans="1:36" x14ac:dyDescent="0.35">
      <c r="A371">
        <v>4</v>
      </c>
      <c r="B371" s="15">
        <v>0.38472222222222224</v>
      </c>
      <c r="C371" s="21" t="s">
        <v>131</v>
      </c>
      <c r="Y371" s="16" t="s">
        <v>187</v>
      </c>
      <c r="Z371" s="16" t="s">
        <v>183</v>
      </c>
      <c r="AA371" s="16" t="s">
        <v>188</v>
      </c>
      <c r="AB371" s="16" t="s">
        <v>181</v>
      </c>
      <c r="AC371" s="16" t="s">
        <v>189</v>
      </c>
      <c r="AD371" s="16" t="s">
        <v>181</v>
      </c>
      <c r="AE371" s="16" t="s">
        <v>181</v>
      </c>
    </row>
    <row r="372" spans="1:36" x14ac:dyDescent="0.35">
      <c r="A372" s="7">
        <v>4</v>
      </c>
      <c r="B372" s="14">
        <v>0.37152777777777779</v>
      </c>
      <c r="C372" s="21" t="s">
        <v>131</v>
      </c>
      <c r="Y372" s="16" t="s">
        <v>218</v>
      </c>
      <c r="Z372" s="16" t="s">
        <v>132</v>
      </c>
      <c r="AD372" s="16" t="s">
        <v>200</v>
      </c>
      <c r="AF372" s="5" t="s">
        <v>202</v>
      </c>
      <c r="AG372" s="5" t="s">
        <v>194</v>
      </c>
    </row>
    <row r="373" spans="1:36" x14ac:dyDescent="0.35">
      <c r="A373">
        <v>4</v>
      </c>
      <c r="B373" s="15">
        <v>0.34722222222222221</v>
      </c>
      <c r="C373" s="21" t="s">
        <v>131</v>
      </c>
      <c r="Y373" s="16" t="s">
        <v>179</v>
      </c>
      <c r="Z373" s="16" t="s">
        <v>216</v>
      </c>
      <c r="AA373" s="16" t="s">
        <v>181</v>
      </c>
      <c r="AC373" s="16" t="s">
        <v>182</v>
      </c>
      <c r="AD373" s="16" t="s">
        <v>181</v>
      </c>
      <c r="AE373" s="16" t="s">
        <v>181</v>
      </c>
      <c r="AF373" s="5" t="s">
        <v>191</v>
      </c>
      <c r="AG373" s="5" t="s">
        <v>184</v>
      </c>
      <c r="AH373" s="5" t="s">
        <v>181</v>
      </c>
      <c r="AI373" s="5" t="s">
        <v>180</v>
      </c>
      <c r="AJ373" s="5" t="s">
        <v>213</v>
      </c>
    </row>
    <row r="374" spans="1:36" x14ac:dyDescent="0.35">
      <c r="A374" s="7">
        <v>4</v>
      </c>
      <c r="B374" s="14">
        <v>0.33958333333333335</v>
      </c>
      <c r="C374" s="21" t="s">
        <v>131</v>
      </c>
      <c r="Y374" s="16" t="s">
        <v>179</v>
      </c>
      <c r="Z374" s="16" t="s">
        <v>180</v>
      </c>
      <c r="AA374" s="16" t="s">
        <v>221</v>
      </c>
      <c r="AC374" s="16" t="s">
        <v>182</v>
      </c>
      <c r="AD374" s="16" t="s">
        <v>181</v>
      </c>
      <c r="AE374" s="16" t="s">
        <v>181</v>
      </c>
      <c r="AF374" s="5" t="s">
        <v>221</v>
      </c>
      <c r="AG374" s="5" t="s">
        <v>194</v>
      </c>
    </row>
    <row r="375" spans="1:36" x14ac:dyDescent="0.35">
      <c r="A375" s="7">
        <v>4</v>
      </c>
      <c r="B375" s="15">
        <v>0.33124999999999999</v>
      </c>
      <c r="C375" s="21" t="s">
        <v>131</v>
      </c>
      <c r="Y375" s="16" t="s">
        <v>187</v>
      </c>
      <c r="Z375" s="16" t="s">
        <v>223</v>
      </c>
      <c r="AA375" s="16" t="s">
        <v>201</v>
      </c>
      <c r="AB375" s="16" t="s">
        <v>157</v>
      </c>
      <c r="AC375" s="16" t="s">
        <v>187</v>
      </c>
      <c r="AD375" s="16" t="s">
        <v>181</v>
      </c>
      <c r="AE375" s="16" t="s">
        <v>181</v>
      </c>
    </row>
    <row r="376" spans="1:36" x14ac:dyDescent="0.35">
      <c r="A376" s="7">
        <v>4</v>
      </c>
      <c r="B376" s="15">
        <v>0.31944444444444442</v>
      </c>
      <c r="C376" s="21" t="s">
        <v>131</v>
      </c>
      <c r="Y376" s="16" t="s">
        <v>179</v>
      </c>
      <c r="Z376" s="16" t="s">
        <v>208</v>
      </c>
      <c r="AA376" s="16" t="s">
        <v>183</v>
      </c>
      <c r="AC376" s="16" t="s">
        <v>187</v>
      </c>
      <c r="AD376" s="16" t="s">
        <v>181</v>
      </c>
      <c r="AE376" s="16" t="s">
        <v>181</v>
      </c>
      <c r="AF376" s="5" t="s">
        <v>221</v>
      </c>
      <c r="AG376" s="5" t="s">
        <v>194</v>
      </c>
    </row>
    <row r="377" spans="1:36" x14ac:dyDescent="0.35">
      <c r="A377">
        <v>4</v>
      </c>
      <c r="B377" s="15">
        <v>0.3125</v>
      </c>
      <c r="C377" s="21" t="s">
        <v>131</v>
      </c>
      <c r="Y377" s="16" t="s">
        <v>187</v>
      </c>
      <c r="Z377" s="16" t="s">
        <v>198</v>
      </c>
      <c r="AA377" s="16" t="s">
        <v>188</v>
      </c>
      <c r="AB377" s="16" t="s">
        <v>157</v>
      </c>
      <c r="AC377" s="16" t="s">
        <v>182</v>
      </c>
      <c r="AD377" s="16" t="s">
        <v>181</v>
      </c>
      <c r="AE377" s="16" t="s">
        <v>181</v>
      </c>
      <c r="AF377" s="5" t="s">
        <v>193</v>
      </c>
      <c r="AG377" s="5" t="s">
        <v>184</v>
      </c>
      <c r="AH377" s="5" t="s">
        <v>181</v>
      </c>
      <c r="AI377" s="5" t="s">
        <v>208</v>
      </c>
      <c r="AJ377" s="5" t="s">
        <v>197</v>
      </c>
    </row>
    <row r="378" spans="1:36" x14ac:dyDescent="0.35">
      <c r="A378">
        <v>4</v>
      </c>
      <c r="B378" s="15">
        <v>0.30416666666666664</v>
      </c>
      <c r="C378" s="21" t="s">
        <v>131</v>
      </c>
      <c r="Y378" s="16" t="s">
        <v>179</v>
      </c>
      <c r="Z378" s="16" t="s">
        <v>207</v>
      </c>
      <c r="AA378" s="16" t="s">
        <v>183</v>
      </c>
      <c r="AC378" s="16" t="s">
        <v>182</v>
      </c>
      <c r="AD378" s="16" t="s">
        <v>181</v>
      </c>
      <c r="AE378" s="16" t="s">
        <v>181</v>
      </c>
      <c r="AF378" s="5" t="s">
        <v>210</v>
      </c>
      <c r="AG378" s="5" t="s">
        <v>184</v>
      </c>
      <c r="AH378" s="5" t="s">
        <v>181</v>
      </c>
      <c r="AI378" s="5" t="s">
        <v>183</v>
      </c>
      <c r="AJ378" s="5" t="s">
        <v>197</v>
      </c>
    </row>
    <row r="379" spans="1:36" x14ac:dyDescent="0.35">
      <c r="A379" s="7">
        <v>4</v>
      </c>
      <c r="B379" s="15">
        <v>0.2986111111111111</v>
      </c>
      <c r="C379" s="21" t="s">
        <v>131</v>
      </c>
      <c r="Y379" s="16" t="s">
        <v>179</v>
      </c>
      <c r="Z379" s="16" t="s">
        <v>190</v>
      </c>
      <c r="AA379" s="16" t="s">
        <v>181</v>
      </c>
      <c r="AC379" s="16" t="s">
        <v>189</v>
      </c>
      <c r="AD379" s="16" t="s">
        <v>181</v>
      </c>
      <c r="AE379" s="16" t="s">
        <v>181</v>
      </c>
      <c r="AF379" s="5" t="s">
        <v>191</v>
      </c>
      <c r="AG379" s="5" t="s">
        <v>184</v>
      </c>
      <c r="AH379" s="5" t="s">
        <v>181</v>
      </c>
      <c r="AI379" s="5" t="s">
        <v>224</v>
      </c>
      <c r="AJ379" s="5" t="s">
        <v>186</v>
      </c>
    </row>
    <row r="380" spans="1:36" x14ac:dyDescent="0.35">
      <c r="A380">
        <v>4</v>
      </c>
      <c r="B380" s="15">
        <v>0.28819444444444442</v>
      </c>
      <c r="C380" s="21" t="s">
        <v>131</v>
      </c>
      <c r="Y380" s="16" t="s">
        <v>179</v>
      </c>
      <c r="Z380" s="16" t="s">
        <v>210</v>
      </c>
      <c r="AA380" s="16" t="s">
        <v>191</v>
      </c>
      <c r="AC380" s="16" t="s">
        <v>182</v>
      </c>
      <c r="AD380" s="16" t="s">
        <v>181</v>
      </c>
      <c r="AE380" s="16" t="s">
        <v>181</v>
      </c>
      <c r="AF380" s="5" t="s">
        <v>211</v>
      </c>
      <c r="AG380" s="5" t="s">
        <v>197</v>
      </c>
    </row>
    <row r="381" spans="1:36" x14ac:dyDescent="0.35">
      <c r="A381">
        <v>4</v>
      </c>
      <c r="B381" s="15">
        <v>0.27430555555555558</v>
      </c>
      <c r="C381" s="21" t="s">
        <v>131</v>
      </c>
      <c r="Y381" s="16" t="s">
        <v>179</v>
      </c>
      <c r="Z381" s="16" t="s">
        <v>212</v>
      </c>
      <c r="AA381" s="16" t="s">
        <v>196</v>
      </c>
      <c r="AC381" s="16" t="s">
        <v>189</v>
      </c>
      <c r="AD381" s="16" t="s">
        <v>181</v>
      </c>
      <c r="AE381" s="16" t="s">
        <v>181</v>
      </c>
      <c r="AF381" s="5" t="s">
        <v>195</v>
      </c>
      <c r="AG381" s="5" t="s">
        <v>197</v>
      </c>
    </row>
    <row r="382" spans="1:36" x14ac:dyDescent="0.35">
      <c r="A382" s="7">
        <v>4</v>
      </c>
      <c r="B382" s="15">
        <v>0.26874999999999999</v>
      </c>
      <c r="C382" s="21" t="s">
        <v>131</v>
      </c>
      <c r="Y382" s="16" t="s">
        <v>187</v>
      </c>
      <c r="Z382" s="16" t="s">
        <v>209</v>
      </c>
      <c r="AA382" s="16" t="s">
        <v>191</v>
      </c>
      <c r="AB382" s="16" t="s">
        <v>181</v>
      </c>
      <c r="AC382" s="16" t="s">
        <v>187</v>
      </c>
      <c r="AD382" s="16" t="s">
        <v>181</v>
      </c>
      <c r="AE382" s="16" t="s">
        <v>181</v>
      </c>
    </row>
    <row r="383" spans="1:36" x14ac:dyDescent="0.35">
      <c r="A383">
        <v>4</v>
      </c>
      <c r="B383" s="15">
        <v>0.2638888888888889</v>
      </c>
      <c r="C383" s="21" t="s">
        <v>131</v>
      </c>
      <c r="Y383" s="16" t="s">
        <v>179</v>
      </c>
      <c r="Z383" s="16" t="s">
        <v>220</v>
      </c>
      <c r="AA383" s="16" t="s">
        <v>209</v>
      </c>
      <c r="AC383" s="16" t="s">
        <v>189</v>
      </c>
      <c r="AD383" s="16" t="s">
        <v>181</v>
      </c>
      <c r="AE383" s="16" t="s">
        <v>140</v>
      </c>
      <c r="AF383" s="5" t="s">
        <v>209</v>
      </c>
      <c r="AG383" s="5" t="s">
        <v>214</v>
      </c>
      <c r="AH383" s="5" t="s">
        <v>217</v>
      </c>
    </row>
    <row r="384" spans="1:36" x14ac:dyDescent="0.35">
      <c r="A384" s="7">
        <v>4</v>
      </c>
      <c r="B384" s="15">
        <v>0.24652777777777779</v>
      </c>
      <c r="C384" s="21" t="s">
        <v>131</v>
      </c>
      <c r="AF384" s="5" t="s">
        <v>219</v>
      </c>
      <c r="AG384" s="5" t="s">
        <v>213</v>
      </c>
    </row>
    <row r="385" spans="1:36" x14ac:dyDescent="0.35">
      <c r="A385">
        <v>4</v>
      </c>
      <c r="B385" s="15">
        <v>0.24444444444444444</v>
      </c>
      <c r="C385" s="21" t="s">
        <v>131</v>
      </c>
      <c r="Y385" s="16" t="s">
        <v>187</v>
      </c>
      <c r="Z385" s="16" t="s">
        <v>219</v>
      </c>
      <c r="AA385" s="16" t="s">
        <v>193</v>
      </c>
      <c r="AB385" s="16" t="s">
        <v>157</v>
      </c>
      <c r="AC385" s="16" t="s">
        <v>182</v>
      </c>
      <c r="AD385" s="16" t="s">
        <v>181</v>
      </c>
      <c r="AE385" s="16" t="s">
        <v>157</v>
      </c>
      <c r="AF385" s="5" t="s">
        <v>202</v>
      </c>
      <c r="AG385" s="5" t="s">
        <v>213</v>
      </c>
    </row>
    <row r="386" spans="1:36" x14ac:dyDescent="0.35">
      <c r="A386" s="7">
        <v>4</v>
      </c>
      <c r="B386" s="15">
        <v>0.2361111111111111</v>
      </c>
      <c r="C386" s="21" t="s">
        <v>131</v>
      </c>
      <c r="Y386" s="16" t="s">
        <v>179</v>
      </c>
      <c r="Z386" s="16" t="s">
        <v>202</v>
      </c>
      <c r="AA386" s="16" t="s">
        <v>181</v>
      </c>
      <c r="AC386" s="16" t="s">
        <v>189</v>
      </c>
      <c r="AD386" s="16" t="s">
        <v>181</v>
      </c>
      <c r="AE386" s="16" t="s">
        <v>181</v>
      </c>
      <c r="AF386" s="5" t="s">
        <v>200</v>
      </c>
      <c r="AG386" s="5" t="s">
        <v>213</v>
      </c>
    </row>
    <row r="387" spans="1:36" x14ac:dyDescent="0.35">
      <c r="A387" s="7">
        <v>4</v>
      </c>
      <c r="B387" s="15">
        <v>0.22777777777777777</v>
      </c>
      <c r="C387" s="21" t="s">
        <v>131</v>
      </c>
      <c r="Y387" s="16" t="s">
        <v>179</v>
      </c>
      <c r="Z387" s="16" t="s">
        <v>200</v>
      </c>
      <c r="AA387" s="16" t="s">
        <v>201</v>
      </c>
      <c r="AC387" s="16" t="s">
        <v>189</v>
      </c>
      <c r="AD387" s="16" t="s">
        <v>181</v>
      </c>
      <c r="AE387" s="16" t="s">
        <v>181</v>
      </c>
      <c r="AF387" s="5" t="s">
        <v>224</v>
      </c>
      <c r="AG387" s="5" t="s">
        <v>197</v>
      </c>
    </row>
    <row r="388" spans="1:36" x14ac:dyDescent="0.35">
      <c r="A388">
        <v>4</v>
      </c>
      <c r="B388" s="15">
        <v>0.21527777777777779</v>
      </c>
      <c r="C388" s="21" t="s">
        <v>131</v>
      </c>
      <c r="Y388" s="16" t="s">
        <v>179</v>
      </c>
      <c r="Z388" s="16" t="s">
        <v>212</v>
      </c>
      <c r="AA388" s="16" t="s">
        <v>210</v>
      </c>
      <c r="AC388" s="16" t="s">
        <v>182</v>
      </c>
      <c r="AD388" s="16" t="s">
        <v>211</v>
      </c>
      <c r="AE388" s="16" t="s">
        <v>157</v>
      </c>
      <c r="AF388" s="5" t="s">
        <v>230</v>
      </c>
      <c r="AG388" s="5" t="s">
        <v>214</v>
      </c>
      <c r="AH388" s="5" t="s">
        <v>224</v>
      </c>
    </row>
    <row r="389" spans="1:36" x14ac:dyDescent="0.35">
      <c r="A389" s="7">
        <v>4</v>
      </c>
      <c r="B389" s="14">
        <v>0.19444444444444445</v>
      </c>
      <c r="C389" s="21" t="s">
        <v>131</v>
      </c>
      <c r="AF389" s="5" t="s">
        <v>198</v>
      </c>
      <c r="AG389" s="5" t="s">
        <v>213</v>
      </c>
    </row>
    <row r="390" spans="1:36" x14ac:dyDescent="0.35">
      <c r="A390" s="7">
        <v>4</v>
      </c>
      <c r="B390" s="15">
        <v>0.18888888888888888</v>
      </c>
      <c r="C390" s="21" t="s">
        <v>131</v>
      </c>
      <c r="Y390" s="16" t="s">
        <v>187</v>
      </c>
      <c r="Z390" s="16" t="s">
        <v>198</v>
      </c>
      <c r="AA390" s="16" t="s">
        <v>191</v>
      </c>
      <c r="AB390" s="16" t="s">
        <v>157</v>
      </c>
      <c r="AC390" s="16" t="s">
        <v>182</v>
      </c>
      <c r="AD390" s="16" t="s">
        <v>181</v>
      </c>
      <c r="AE390" s="16" t="s">
        <v>181</v>
      </c>
      <c r="AF390" s="5" t="s">
        <v>191</v>
      </c>
      <c r="AG390" s="5" t="s">
        <v>184</v>
      </c>
      <c r="AH390" s="5" t="s">
        <v>223</v>
      </c>
      <c r="AI390" s="5" t="s">
        <v>191</v>
      </c>
      <c r="AJ390" s="5" t="s">
        <v>214</v>
      </c>
    </row>
    <row r="391" spans="1:36" x14ac:dyDescent="0.35">
      <c r="A391">
        <v>4</v>
      </c>
      <c r="B391" s="15">
        <v>0.15416666666666667</v>
      </c>
      <c r="C391" s="21" t="s">
        <v>131</v>
      </c>
      <c r="AF391" s="5" t="s">
        <v>188</v>
      </c>
      <c r="AG391" s="5" t="s">
        <v>184</v>
      </c>
      <c r="AH391" s="5" t="s">
        <v>181</v>
      </c>
      <c r="AI391" s="5" t="s">
        <v>220</v>
      </c>
      <c r="AJ391" s="5" t="s">
        <v>197</v>
      </c>
    </row>
    <row r="392" spans="1:36" x14ac:dyDescent="0.35">
      <c r="A392" s="7">
        <v>4</v>
      </c>
      <c r="B392" s="14">
        <v>0.15069444444444444</v>
      </c>
      <c r="C392" s="21" t="s">
        <v>131</v>
      </c>
      <c r="Y392" s="16" t="s">
        <v>179</v>
      </c>
      <c r="Z392" s="16" t="s">
        <v>217</v>
      </c>
      <c r="AA392" s="16" t="s">
        <v>210</v>
      </c>
      <c r="AC392" s="16" t="s">
        <v>189</v>
      </c>
      <c r="AD392" s="16" t="s">
        <v>181</v>
      </c>
      <c r="AE392" s="16" t="s">
        <v>181</v>
      </c>
      <c r="AF392" s="5" t="s">
        <v>210</v>
      </c>
      <c r="AG392" s="5" t="s">
        <v>213</v>
      </c>
    </row>
    <row r="393" spans="1:36" x14ac:dyDescent="0.35">
      <c r="A393">
        <v>4</v>
      </c>
      <c r="B393" s="15">
        <v>0.13125000000000001</v>
      </c>
      <c r="C393" s="21" t="s">
        <v>131</v>
      </c>
      <c r="Y393" s="16" t="s">
        <v>179</v>
      </c>
      <c r="Z393" s="16" t="s">
        <v>209</v>
      </c>
      <c r="AA393" s="16" t="s">
        <v>188</v>
      </c>
      <c r="AC393" s="16" t="s">
        <v>189</v>
      </c>
      <c r="AD393" s="16" t="s">
        <v>181</v>
      </c>
      <c r="AE393" s="16" t="s">
        <v>181</v>
      </c>
      <c r="AF393" s="5" t="s">
        <v>193</v>
      </c>
      <c r="AG393" s="5" t="s">
        <v>184</v>
      </c>
      <c r="AH393" s="5" t="s">
        <v>209</v>
      </c>
      <c r="AI393" s="5" t="s">
        <v>208</v>
      </c>
      <c r="AJ393" s="5" t="s">
        <v>186</v>
      </c>
    </row>
    <row r="394" spans="1:36" x14ac:dyDescent="0.35">
      <c r="A394">
        <v>4</v>
      </c>
      <c r="B394" s="15">
        <v>0.11458333333333333</v>
      </c>
      <c r="C394" s="21" t="s">
        <v>131</v>
      </c>
      <c r="Y394" s="16" t="s">
        <v>179</v>
      </c>
      <c r="Z394" s="16" t="s">
        <v>200</v>
      </c>
      <c r="AA394" s="16" t="s">
        <v>181</v>
      </c>
      <c r="AC394" s="16" t="s">
        <v>189</v>
      </c>
      <c r="AD394" s="16" t="s">
        <v>181</v>
      </c>
      <c r="AE394" s="16" t="s">
        <v>181</v>
      </c>
      <c r="AF394" s="5" t="s">
        <v>199</v>
      </c>
      <c r="AG394" s="5" t="s">
        <v>184</v>
      </c>
      <c r="AH394" s="5" t="s">
        <v>200</v>
      </c>
      <c r="AI394" s="5" t="s">
        <v>231</v>
      </c>
      <c r="AJ394" s="5" t="s">
        <v>194</v>
      </c>
    </row>
    <row r="395" spans="1:36" x14ac:dyDescent="0.35">
      <c r="A395" s="7">
        <v>4</v>
      </c>
      <c r="B395" s="15">
        <v>0.10069444444444445</v>
      </c>
      <c r="C395" s="21" t="s">
        <v>131</v>
      </c>
      <c r="Y395" s="16" t="s">
        <v>205</v>
      </c>
      <c r="Z395" s="16" t="s">
        <v>229</v>
      </c>
      <c r="AA395" s="16" t="s">
        <v>188</v>
      </c>
      <c r="AB395" s="16" t="s">
        <v>181</v>
      </c>
      <c r="AC395" s="16" t="s">
        <v>189</v>
      </c>
      <c r="AD395" s="16" t="s">
        <v>181</v>
      </c>
      <c r="AE395" s="16" t="s">
        <v>181</v>
      </c>
    </row>
    <row r="396" spans="1:36" x14ac:dyDescent="0.35">
      <c r="A396">
        <v>4</v>
      </c>
      <c r="B396" s="15">
        <v>9.7222222222222224E-2</v>
      </c>
      <c r="C396" s="21" t="s">
        <v>131</v>
      </c>
      <c r="Y396" s="16" t="s">
        <v>187</v>
      </c>
      <c r="Z396" s="16" t="s">
        <v>207</v>
      </c>
      <c r="AA396" s="16" t="s">
        <v>203</v>
      </c>
      <c r="AB396" s="16" t="s">
        <v>181</v>
      </c>
      <c r="AC396" s="16" t="s">
        <v>189</v>
      </c>
      <c r="AD396" s="16" t="s">
        <v>181</v>
      </c>
      <c r="AE396" s="16" t="s">
        <v>157</v>
      </c>
    </row>
    <row r="397" spans="1:36" x14ac:dyDescent="0.35">
      <c r="A397" s="7"/>
      <c r="B397" s="15"/>
    </row>
    <row r="398" spans="1:36" x14ac:dyDescent="0.35">
      <c r="A398" s="7"/>
      <c r="B398" s="15"/>
    </row>
    <row r="399" spans="1:36" x14ac:dyDescent="0.35">
      <c r="A399" s="7"/>
      <c r="B399" s="15"/>
    </row>
    <row r="400" spans="1:36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E20" sqref="E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236</v>
      </c>
      <c r="C2" s="8" t="s">
        <v>149</v>
      </c>
      <c r="D2" s="8" t="s">
        <v>179</v>
      </c>
      <c r="E2" s="8">
        <v>15.016666666667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0.48499999999999999</v>
      </c>
      <c r="CK2" s="2">
        <f>(0.075*H2)+(0.07*L2)+(0.055*M2)+(0.055*N2)+(0.095*J2)+(0.09*O2)+(0.05*P2)+(0.05*R2)+(0.05*S2)+(0.05*AB2)</f>
        <v>0.33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0.19500000000000001</v>
      </c>
      <c r="CN2" s="2">
        <f t="shared" ref="CN2:CN37" si="3">(0.035*AN2)+(0.025*AS2)-(0.035*AT2)-(0.035*AV2)</f>
        <v>-4.0000000000000008E-2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0.48499999999999999</v>
      </c>
    </row>
    <row r="3" spans="1:126" x14ac:dyDescent="0.35">
      <c r="A3" s="8">
        <v>44</v>
      </c>
      <c r="B3" s="8" t="s">
        <v>237</v>
      </c>
      <c r="C3" s="8" t="s">
        <v>149</v>
      </c>
      <c r="D3" s="8" t="s">
        <v>179</v>
      </c>
      <c r="E3" s="8">
        <v>24.916666666666998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18</v>
      </c>
      <c r="AZ3" s="1">
        <f>COUNTIFS(Tracking!AA:AA,A3&amp;C3,Tracking!C:C,"5v5",Tracking!Y:Y,"C")</f>
        <v>10</v>
      </c>
      <c r="BA3" s="1">
        <f>COUNTIFS(Tracking!AA:AA,A3&amp;C3,Tracking!C:C,"5v5",Tracking!Y:Y,"F")</f>
        <v>2</v>
      </c>
      <c r="BB3" s="1">
        <f>COUNTIFS(Tracking!AA:AA,A3&amp;C3,Tracking!C:C,"5v5",Tracking!AB:AB,"Y")</f>
        <v>5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0.8650000000000001</v>
      </c>
      <c r="CK3" s="2">
        <f>(0.075*H3)+(0.07*L3)+(0.055*M3)+(0.055*N3)+(0.095*J3)+(0.09*O3)+(0.05*P3)+(0.05*R3)+(0.05*S3)+(0.05*AB3)+0.15</f>
        <v>0.28000000000000003</v>
      </c>
      <c r="CL3" s="2">
        <f t="shared" si="2"/>
        <v>0</v>
      </c>
      <c r="CM3" s="2">
        <f t="shared" ref="CM3" si="7">(0.025*(AY3-AZ3))+(0.035*BA3)-(0.015*BB3)-(0.015*BC3)+(0.015*(AY3-(BD3+BC3)))</f>
        <v>0.39</v>
      </c>
      <c r="CN3" s="2">
        <f t="shared" si="3"/>
        <v>0.18000000000000002</v>
      </c>
      <c r="CO3" s="2">
        <f t="shared" si="4"/>
        <v>1.4999999999999999E-2</v>
      </c>
      <c r="CP3" s="2">
        <f t="shared" si="5"/>
        <v>0</v>
      </c>
      <c r="CQ3" s="2">
        <f t="shared" si="6"/>
        <v>0.8650000000000001</v>
      </c>
    </row>
    <row r="4" spans="1:126" x14ac:dyDescent="0.35">
      <c r="A4" s="8">
        <v>15</v>
      </c>
      <c r="B4" s="8" t="s">
        <v>238</v>
      </c>
      <c r="C4" s="8" t="s">
        <v>149</v>
      </c>
      <c r="D4" s="8" t="s">
        <v>187</v>
      </c>
      <c r="E4" s="8">
        <v>11.75</v>
      </c>
      <c r="F4" s="8" t="s">
        <v>130</v>
      </c>
      <c r="G4" s="19" t="s">
        <v>275</v>
      </c>
      <c r="H4" s="9">
        <f>COUNTIFS(Tracking!E:E,A4,Tracking!D:D,C4,Tracking!C:C,"5v5")</f>
        <v>5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4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5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2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3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2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1.3900000000000001</v>
      </c>
      <c r="CK4" s="2">
        <f>(0.075*H4)+(0.07*L4)+(0.055*M4)+(0.055*N4)+(0.095*J4)+(0.09*O4)+(0.05*P4)+(0.05*R4)+(0.05*S4)+(0.05*AB4)+0.25</f>
        <v>1.075</v>
      </c>
      <c r="CL4" s="2">
        <f t="shared" si="2"/>
        <v>0.2</v>
      </c>
      <c r="CM4" s="2">
        <f>(0.015*(AY4-AZ4))+(0.035*BA4)-(0.015*BB4)-(0.025*BC4)+(0.015*(AY4-(BD4+BC4)))</f>
        <v>0.03</v>
      </c>
      <c r="CN4" s="2">
        <f t="shared" si="3"/>
        <v>-3.5000000000000003E-2</v>
      </c>
      <c r="CO4" s="2">
        <f t="shared" si="4"/>
        <v>0.12</v>
      </c>
      <c r="CP4" s="2">
        <f t="shared" si="5"/>
        <v>0</v>
      </c>
      <c r="CQ4" s="2">
        <f t="shared" si="6"/>
        <v>1.3900000000000001</v>
      </c>
    </row>
    <row r="5" spans="1:126" x14ac:dyDescent="0.35">
      <c r="A5" s="8">
        <v>23</v>
      </c>
      <c r="B5" s="8" t="s">
        <v>239</v>
      </c>
      <c r="C5" s="8" t="s">
        <v>149</v>
      </c>
      <c r="D5" s="8" t="s">
        <v>179</v>
      </c>
      <c r="E5" s="8">
        <v>25.216666666666999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13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2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0.75000000000000011</v>
      </c>
      <c r="CK5" s="2">
        <f t="shared" ref="CK3:CK37" si="8">(0.075*H5)+(0.07*L5)+(0.055*M5)+(0.055*N5)+(0.095*J5)+(0.09*O5)+(0.05*P5)+(0.05*R5)+(0.05*S5)+(0.05*AB5)</f>
        <v>0.4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0.15500000000000003</v>
      </c>
      <c r="CN5" s="2">
        <f t="shared" si="3"/>
        <v>0.16</v>
      </c>
      <c r="CO5" s="2">
        <f t="shared" si="4"/>
        <v>0</v>
      </c>
      <c r="CP5" s="2">
        <f t="shared" si="5"/>
        <v>0</v>
      </c>
      <c r="CQ5" s="2">
        <f t="shared" si="6"/>
        <v>0.75000000000000011</v>
      </c>
    </row>
    <row r="6" spans="1:126" x14ac:dyDescent="0.35">
      <c r="A6" s="8">
        <v>63</v>
      </c>
      <c r="B6" s="8" t="s">
        <v>240</v>
      </c>
      <c r="C6" s="8" t="s">
        <v>149</v>
      </c>
      <c r="D6" s="8" t="s">
        <v>182</v>
      </c>
      <c r="E6" s="8">
        <v>15.8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5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1.0799999999999998</v>
      </c>
      <c r="CK6" s="2">
        <f>(0.075*H6)+(0.07*L6)+(0.055*M6)+(0.055*N6)+(0.095*J6)+(0.09*O6)+(0.05*P6)+(0.05*R6)+(0.05*S6)+(0.05*AB6)+0.25</f>
        <v>0.93499999999999994</v>
      </c>
      <c r="CL6" s="2">
        <f t="shared" si="2"/>
        <v>4.4999999999999998E-2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0</v>
      </c>
      <c r="CP6" s="2">
        <f t="shared" si="5"/>
        <v>0</v>
      </c>
      <c r="CQ6" s="2">
        <f t="shared" si="6"/>
        <v>1.0799999999999998</v>
      </c>
    </row>
    <row r="7" spans="1:126" x14ac:dyDescent="0.35">
      <c r="A7" s="8">
        <v>46</v>
      </c>
      <c r="B7" s="8" t="s">
        <v>241</v>
      </c>
      <c r="C7" s="8" t="s">
        <v>149</v>
      </c>
      <c r="D7" s="8" t="s">
        <v>179</v>
      </c>
      <c r="E7" s="8">
        <v>23.383333333332999</v>
      </c>
      <c r="F7" s="8" t="s">
        <v>130</v>
      </c>
      <c r="G7" s="19" t="s">
        <v>275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12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5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8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5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</v>
      </c>
      <c r="CK7" s="2">
        <f t="shared" si="8"/>
        <v>0.43</v>
      </c>
      <c r="CL7" s="2">
        <f t="shared" si="2"/>
        <v>0</v>
      </c>
      <c r="CM7" s="2">
        <f t="shared" si="9"/>
        <v>8.4999999999999992E-2</v>
      </c>
      <c r="CN7" s="2">
        <f t="shared" si="3"/>
        <v>-3.5000000000000003E-2</v>
      </c>
      <c r="CO7" s="2">
        <f t="shared" si="4"/>
        <v>1.4999999999999999E-2</v>
      </c>
      <c r="CP7" s="2">
        <f t="shared" si="5"/>
        <v>0</v>
      </c>
      <c r="CQ7" s="2">
        <f t="shared" si="6"/>
        <v>0.495</v>
      </c>
    </row>
    <row r="8" spans="1:126" x14ac:dyDescent="0.35">
      <c r="A8" s="8">
        <v>14</v>
      </c>
      <c r="B8" s="8" t="s">
        <v>242</v>
      </c>
      <c r="C8" s="8" t="s">
        <v>149</v>
      </c>
      <c r="D8" s="8" t="s">
        <v>189</v>
      </c>
      <c r="E8" s="8">
        <v>15.266666666667</v>
      </c>
      <c r="F8" s="8" t="s">
        <v>130</v>
      </c>
      <c r="G8" s="19" t="s">
        <v>275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4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1.125</v>
      </c>
      <c r="CK8" s="2">
        <f t="shared" si="8"/>
        <v>0.755</v>
      </c>
      <c r="CL8" s="2">
        <f t="shared" si="2"/>
        <v>0.08</v>
      </c>
      <c r="CM8" s="2">
        <f t="shared" si="9"/>
        <v>6.5000000000000002E-2</v>
      </c>
      <c r="CN8" s="2">
        <f t="shared" si="3"/>
        <v>0.12000000000000001</v>
      </c>
      <c r="CO8" s="2">
        <f t="shared" si="4"/>
        <v>1.4999999999999999E-2</v>
      </c>
      <c r="CP8" s="2">
        <f t="shared" si="5"/>
        <v>0.09</v>
      </c>
      <c r="CQ8" s="2">
        <f t="shared" si="6"/>
        <v>1.0349999999999999</v>
      </c>
    </row>
    <row r="9" spans="1:126" x14ac:dyDescent="0.35">
      <c r="A9" s="8">
        <v>6</v>
      </c>
      <c r="B9" s="8" t="s">
        <v>243</v>
      </c>
      <c r="C9" s="8" t="s">
        <v>149</v>
      </c>
      <c r="D9" s="8" t="s">
        <v>179</v>
      </c>
      <c r="E9" s="8">
        <v>14.866666666666999</v>
      </c>
      <c r="F9" s="8" t="s">
        <v>130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0.42000000000000004</v>
      </c>
      <c r="CK9" s="2">
        <f t="shared" si="8"/>
        <v>5.5E-2</v>
      </c>
      <c r="CL9" s="2">
        <f t="shared" si="2"/>
        <v>4.4999999999999998E-2</v>
      </c>
      <c r="CM9" s="2">
        <f t="shared" si="9"/>
        <v>0.18</v>
      </c>
      <c r="CN9" s="2">
        <f t="shared" si="3"/>
        <v>0.125</v>
      </c>
      <c r="CO9" s="2">
        <f t="shared" si="4"/>
        <v>1.4999999999999999E-2</v>
      </c>
      <c r="CP9" s="2">
        <f t="shared" si="5"/>
        <v>0</v>
      </c>
      <c r="CQ9" s="2">
        <f t="shared" si="6"/>
        <v>0.42000000000000004</v>
      </c>
    </row>
    <row r="10" spans="1:126" x14ac:dyDescent="0.35">
      <c r="A10" s="8">
        <v>27</v>
      </c>
      <c r="B10" s="8" t="s">
        <v>244</v>
      </c>
      <c r="C10" s="8" t="s">
        <v>149</v>
      </c>
      <c r="D10" s="8" t="s">
        <v>189</v>
      </c>
      <c r="E10" s="8">
        <v>17.583333333333002</v>
      </c>
      <c r="F10" s="8" t="s">
        <v>130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8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3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2</v>
      </c>
      <c r="CJ10" s="2">
        <f t="shared" si="1"/>
        <v>0.84499999999999997</v>
      </c>
      <c r="CK10" s="2">
        <f t="shared" si="8"/>
        <v>0.51</v>
      </c>
      <c r="CL10" s="2">
        <f t="shared" si="2"/>
        <v>3.5000000000000003E-2</v>
      </c>
      <c r="CM10" s="2">
        <f t="shared" si="9"/>
        <v>1.4999999999999999E-2</v>
      </c>
      <c r="CN10" s="2">
        <f t="shared" si="3"/>
        <v>0.10500000000000001</v>
      </c>
      <c r="CO10" s="2">
        <f t="shared" si="4"/>
        <v>0.09</v>
      </c>
      <c r="CP10" s="2">
        <f t="shared" si="5"/>
        <v>0.09</v>
      </c>
      <c r="CQ10" s="2">
        <f t="shared" si="6"/>
        <v>0.755</v>
      </c>
    </row>
    <row r="11" spans="1:126" x14ac:dyDescent="0.35">
      <c r="A11" s="8">
        <v>95</v>
      </c>
      <c r="B11" s="8" t="s">
        <v>245</v>
      </c>
      <c r="C11" s="8" t="s">
        <v>149</v>
      </c>
      <c r="D11" s="8" t="s">
        <v>187</v>
      </c>
      <c r="E11" s="8">
        <v>16.05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0.71500000000000008</v>
      </c>
      <c r="CK11" s="2">
        <f t="shared" si="8"/>
        <v>0.27</v>
      </c>
      <c r="CL11" s="2">
        <f t="shared" si="2"/>
        <v>0.14499999999999996</v>
      </c>
      <c r="CM11" s="2">
        <f t="shared" si="9"/>
        <v>0</v>
      </c>
      <c r="CN11" s="2">
        <f t="shared" si="3"/>
        <v>0.14500000000000002</v>
      </c>
      <c r="CO11" s="2">
        <f t="shared" si="4"/>
        <v>4.4999999999999998E-2</v>
      </c>
      <c r="CP11" s="2">
        <f t="shared" si="5"/>
        <v>0.11</v>
      </c>
      <c r="CQ11" s="2">
        <f t="shared" si="6"/>
        <v>0.60500000000000009</v>
      </c>
    </row>
    <row r="12" spans="1:126" x14ac:dyDescent="0.35">
      <c r="A12" s="8">
        <v>64</v>
      </c>
      <c r="B12" s="8" t="s">
        <v>246</v>
      </c>
      <c r="C12" s="8" t="s">
        <v>149</v>
      </c>
      <c r="D12" s="8" t="s">
        <v>187</v>
      </c>
      <c r="E12" s="8">
        <v>20.100000000000001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8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1.3249999999999997</v>
      </c>
      <c r="CK12" s="2">
        <f t="shared" si="8"/>
        <v>0.81</v>
      </c>
      <c r="CL12" s="2">
        <f t="shared" si="2"/>
        <v>0.23499999999999999</v>
      </c>
      <c r="CM12" s="2">
        <f t="shared" si="9"/>
        <v>6.5000000000000002E-2</v>
      </c>
      <c r="CN12" s="2">
        <f t="shared" si="3"/>
        <v>0.16500000000000001</v>
      </c>
      <c r="CO12" s="2">
        <f t="shared" si="4"/>
        <v>1.4999999999999999E-2</v>
      </c>
      <c r="CP12" s="2">
        <f t="shared" si="5"/>
        <v>3.5000000000000003E-2</v>
      </c>
      <c r="CQ12" s="2">
        <f t="shared" si="6"/>
        <v>1.2899999999999998</v>
      </c>
    </row>
    <row r="13" spans="1:126" x14ac:dyDescent="0.35">
      <c r="A13" s="8">
        <v>96</v>
      </c>
      <c r="B13" s="8" t="s">
        <v>247</v>
      </c>
      <c r="C13" s="8" t="s">
        <v>149</v>
      </c>
      <c r="D13" s="8" t="s">
        <v>182</v>
      </c>
      <c r="E13" s="8">
        <v>20.516666666667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6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8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1.1950000000000001</v>
      </c>
      <c r="CK13" s="2">
        <f t="shared" si="8"/>
        <v>0.57499999999999996</v>
      </c>
      <c r="CL13" s="2">
        <f t="shared" si="2"/>
        <v>0.22500000000000003</v>
      </c>
      <c r="CM13" s="2">
        <f t="shared" si="9"/>
        <v>0</v>
      </c>
      <c r="CN13" s="2">
        <f t="shared" si="3"/>
        <v>0.25</v>
      </c>
      <c r="CO13" s="2">
        <f t="shared" si="4"/>
        <v>0.09</v>
      </c>
      <c r="CP13" s="2">
        <f t="shared" si="5"/>
        <v>5.5E-2</v>
      </c>
      <c r="CQ13" s="2">
        <f t="shared" si="6"/>
        <v>1.1400000000000001</v>
      </c>
    </row>
    <row r="14" spans="1:126" x14ac:dyDescent="0.35">
      <c r="A14" s="8">
        <v>10</v>
      </c>
      <c r="B14" s="8" t="s">
        <v>248</v>
      </c>
      <c r="C14" s="8" t="s">
        <v>149</v>
      </c>
      <c r="D14" s="8" t="s">
        <v>187</v>
      </c>
      <c r="E14" s="8">
        <v>11.533333333332999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2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0.83500000000000019</v>
      </c>
      <c r="CK14" s="2">
        <f>(0.075*H14)+(0.07*L14)+(0.055*M14)+(0.055*N14)+(0.095*J14)+(0.09*O14)+(0.05*P14)+(0.05*R14)+(0.05*S14)+(0.05*AB14)+0.15</f>
        <v>0.45500000000000007</v>
      </c>
      <c r="CL14" s="2">
        <f t="shared" si="2"/>
        <v>7.0000000000000007E-2</v>
      </c>
      <c r="CM14" s="2">
        <f t="shared" si="9"/>
        <v>0</v>
      </c>
      <c r="CN14" s="2">
        <f t="shared" si="3"/>
        <v>0.12</v>
      </c>
      <c r="CO14" s="2">
        <f t="shared" si="4"/>
        <v>0.13500000000000001</v>
      </c>
      <c r="CP14" s="2">
        <f t="shared" si="5"/>
        <v>5.5E-2</v>
      </c>
      <c r="CQ14" s="2">
        <f t="shared" si="6"/>
        <v>0.78000000000000014</v>
      </c>
    </row>
    <row r="15" spans="1:126" x14ac:dyDescent="0.35">
      <c r="A15" s="8">
        <v>24</v>
      </c>
      <c r="B15" s="8" t="s">
        <v>249</v>
      </c>
      <c r="C15" s="8" t="s">
        <v>149</v>
      </c>
      <c r="D15" s="8" t="s">
        <v>187</v>
      </c>
      <c r="E15" s="8">
        <v>17.316666666667</v>
      </c>
      <c r="F15" s="8" t="s">
        <v>130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0.71499999999999997</v>
      </c>
      <c r="CK15" s="2">
        <f t="shared" si="8"/>
        <v>0.54499999999999993</v>
      </c>
      <c r="CL15" s="2">
        <f t="shared" si="2"/>
        <v>0.09</v>
      </c>
      <c r="CM15" s="2">
        <f t="shared" si="9"/>
        <v>0</v>
      </c>
      <c r="CN15" s="2">
        <f t="shared" si="3"/>
        <v>-7.0000000000000007E-2</v>
      </c>
      <c r="CO15" s="2">
        <f t="shared" si="4"/>
        <v>0.06</v>
      </c>
      <c r="CP15" s="2">
        <f t="shared" si="5"/>
        <v>0.09</v>
      </c>
      <c r="CQ15" s="2">
        <f t="shared" si="6"/>
        <v>0.625</v>
      </c>
    </row>
    <row r="16" spans="1:126" x14ac:dyDescent="0.35">
      <c r="A16" s="8">
        <v>18</v>
      </c>
      <c r="B16" s="8" t="s">
        <v>250</v>
      </c>
      <c r="C16" s="8" t="s">
        <v>149</v>
      </c>
      <c r="D16" s="8" t="s">
        <v>187</v>
      </c>
      <c r="E16" s="8">
        <v>13.883333333333001</v>
      </c>
      <c r="F16" s="8" t="s">
        <v>130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1.1649999999999998</v>
      </c>
      <c r="CK16" s="2">
        <f>(0.075*H16)+(0.07*L16)+(0.055*M16)+(0.055*N16)+(0.095*J16)+(0.09*O16)+(0.05*P16)+(0.05*R16)+(0.05*S16)+(0.05*AB16)+0.4</f>
        <v>0.875</v>
      </c>
      <c r="CL16" s="2">
        <f t="shared" si="2"/>
        <v>0.09</v>
      </c>
      <c r="CM16" s="2">
        <f t="shared" si="9"/>
        <v>0</v>
      </c>
      <c r="CN16" s="2">
        <f t="shared" si="3"/>
        <v>7.0000000000000007E-2</v>
      </c>
      <c r="CO16" s="2">
        <f t="shared" si="4"/>
        <v>7.4999999999999997E-2</v>
      </c>
      <c r="CP16" s="2">
        <f t="shared" si="5"/>
        <v>5.5E-2</v>
      </c>
      <c r="CQ16" s="2">
        <f t="shared" si="6"/>
        <v>1.1099999999999999</v>
      </c>
    </row>
    <row r="17" spans="1:95" x14ac:dyDescent="0.35">
      <c r="A17" s="8">
        <v>55</v>
      </c>
      <c r="B17" s="8" t="s">
        <v>251</v>
      </c>
      <c r="C17" s="8" t="s">
        <v>149</v>
      </c>
      <c r="D17" s="8" t="s">
        <v>179</v>
      </c>
      <c r="E17" s="8">
        <v>27.733333333333</v>
      </c>
      <c r="F17" s="8" t="s">
        <v>130</v>
      </c>
      <c r="G17" s="19" t="s">
        <v>275</v>
      </c>
      <c r="H17" s="9">
        <f>COUNTIFS(Tracking!E:E,A17,Tracking!D:D,C17,Tracking!C:C,"5v5")</f>
        <v>4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22</v>
      </c>
      <c r="AL17" s="5">
        <f>COUNTIFS(Tracking!AF:AF,A17&amp;C17,Tracking!C:C,"5v5")-AT17</f>
        <v>15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8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6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9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5</v>
      </c>
      <c r="AY17" s="1">
        <f>COUNTIFS(Tracking!AA:AA,A17&amp;C17,Tracking!C:C,"5v5")</f>
        <v>16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5</v>
      </c>
      <c r="BB17" s="1">
        <f>COUNTIFS(Tracking!AA:AA,A17&amp;C17,Tracking!C:C,"5v5",Tracking!AB:AB,"Y")</f>
        <v>5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1.8250000000000002</v>
      </c>
      <c r="CK17" s="2">
        <f>(0.075*H17)+(0.07*L17)+(0.055*M17)+(0.055*N17)+(0.095*J17)+(0.09*O17)+(0.05*P17)+(0.05*R17)+(0.05*S17)+(0.05*AB17)+0.25</f>
        <v>0.96500000000000008</v>
      </c>
      <c r="CL17" s="2">
        <f t="shared" si="2"/>
        <v>0.08</v>
      </c>
      <c r="CM17" s="2">
        <f t="shared" si="9"/>
        <v>0.43500000000000005</v>
      </c>
      <c r="CN17" s="2">
        <f t="shared" si="3"/>
        <v>0.29000000000000004</v>
      </c>
      <c r="CO17" s="2">
        <f t="shared" si="4"/>
        <v>0</v>
      </c>
      <c r="CP17" s="2">
        <f t="shared" si="5"/>
        <v>5.5E-2</v>
      </c>
      <c r="CQ17" s="2">
        <f t="shared" si="6"/>
        <v>1.7700000000000002</v>
      </c>
    </row>
    <row r="18" spans="1:95" x14ac:dyDescent="0.35">
      <c r="A18" s="8">
        <v>91</v>
      </c>
      <c r="B18" s="8" t="s">
        <v>252</v>
      </c>
      <c r="C18" s="8" t="s">
        <v>149</v>
      </c>
      <c r="D18" s="8" t="s">
        <v>187</v>
      </c>
      <c r="E18" s="8">
        <v>17.183333333333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0.93500000000000005</v>
      </c>
      <c r="CK18" s="2">
        <f t="shared" si="8"/>
        <v>0.67500000000000004</v>
      </c>
      <c r="CL18" s="2">
        <f t="shared" si="2"/>
        <v>4.5000000000000012E-2</v>
      </c>
      <c r="CM18" s="2">
        <f t="shared" si="9"/>
        <v>0</v>
      </c>
      <c r="CN18" s="2">
        <f t="shared" si="3"/>
        <v>8.5000000000000006E-2</v>
      </c>
      <c r="CO18" s="2">
        <f t="shared" si="4"/>
        <v>7.4999999999999997E-2</v>
      </c>
      <c r="CP18" s="2">
        <f t="shared" si="5"/>
        <v>5.5E-2</v>
      </c>
      <c r="CQ18" s="2">
        <f t="shared" si="6"/>
        <v>0.88</v>
      </c>
    </row>
    <row r="19" spans="1:95" x14ac:dyDescent="0.35">
      <c r="A19" s="8">
        <v>53</v>
      </c>
      <c r="B19" s="8" t="s">
        <v>253</v>
      </c>
      <c r="C19" s="8" t="s">
        <v>149</v>
      </c>
      <c r="D19" s="8" t="s">
        <v>187</v>
      </c>
      <c r="E19" s="8">
        <v>19.383333333332999</v>
      </c>
      <c r="F19" s="8" t="s">
        <v>130</v>
      </c>
      <c r="G19" s="19" t="s">
        <v>275</v>
      </c>
      <c r="H19" s="9">
        <f>COUNTIFS(Tracking!E:E,A19,Tracking!D:D,C19,Tracking!C:C,"5v5")</f>
        <v>4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5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4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1.91</v>
      </c>
      <c r="CK19" s="2">
        <f>(0.075*H19)+(0.07*L19)+(0.055*M19)+(0.055*N19)+(0.095*J19)+(0.09*O19)+(0.05*P19)+(0.05*R19)+(0.05*S19)+(0.05*AB19)+0.2</f>
        <v>1.2150000000000001</v>
      </c>
      <c r="CL19" s="2">
        <f t="shared" si="2"/>
        <v>0.18</v>
      </c>
      <c r="CM19" s="2">
        <f t="shared" si="9"/>
        <v>6.5000000000000002E-2</v>
      </c>
      <c r="CN19" s="2">
        <f t="shared" si="3"/>
        <v>0.18000000000000002</v>
      </c>
      <c r="CO19" s="2">
        <f t="shared" si="4"/>
        <v>0.18</v>
      </c>
      <c r="CP19" s="2">
        <f t="shared" si="5"/>
        <v>0.09</v>
      </c>
      <c r="CQ19" s="2">
        <f t="shared" si="6"/>
        <v>1.8199999999999998</v>
      </c>
    </row>
    <row r="20" spans="1:95" x14ac:dyDescent="0.35">
      <c r="A20" s="8">
        <v>62</v>
      </c>
      <c r="B20" s="8" t="s">
        <v>254</v>
      </c>
      <c r="C20" s="8" t="s">
        <v>132</v>
      </c>
      <c r="D20" s="8" t="s">
        <v>189</v>
      </c>
      <c r="E20" s="8">
        <v>21.15</v>
      </c>
      <c r="F20" s="8" t="s">
        <v>130</v>
      </c>
      <c r="G20" s="19" t="s">
        <v>275</v>
      </c>
      <c r="H20" s="9">
        <f>COUNTIFS(Tracking!E:E,A20,Tracking!D:D,C20,Tracking!C:C,"5v5")</f>
        <v>6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5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5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4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2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1.7699999999999998</v>
      </c>
      <c r="CK20" s="2">
        <f>(0.075*H20)+(0.07*L20)+(0.055*M20)+(0.055*N20)+(0.095*J20)+(0.09*O20)+(0.05*P20)+(0.05*R20)+(0.05*S20)+(0.05*AB20)+0.2</f>
        <v>1.5650000000000002</v>
      </c>
      <c r="CL20" s="2">
        <f t="shared" si="2"/>
        <v>3.5000000000000003E-2</v>
      </c>
      <c r="CM20" s="2">
        <f t="shared" si="9"/>
        <v>7.4999999999999997E-2</v>
      </c>
      <c r="CN20" s="2">
        <f t="shared" si="3"/>
        <v>1.4999999999999999E-2</v>
      </c>
      <c r="CO20" s="2">
        <f t="shared" si="4"/>
        <v>4.4999999999999998E-2</v>
      </c>
      <c r="CP20" s="2">
        <f t="shared" si="5"/>
        <v>3.5000000000000003E-2</v>
      </c>
      <c r="CQ20" s="2">
        <f t="shared" si="6"/>
        <v>1.7349999999999999</v>
      </c>
    </row>
    <row r="21" spans="1:95" x14ac:dyDescent="0.35">
      <c r="A21" s="8">
        <v>11</v>
      </c>
      <c r="B21" s="8" t="s">
        <v>255</v>
      </c>
      <c r="C21" s="8" t="s">
        <v>132</v>
      </c>
      <c r="D21" s="8" t="s">
        <v>187</v>
      </c>
      <c r="E21" s="8">
        <v>18.966666666666999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0.48500000000000004</v>
      </c>
      <c r="CK21" s="2">
        <f t="shared" si="8"/>
        <v>0.38500000000000001</v>
      </c>
      <c r="CL21" s="2">
        <f t="shared" si="2"/>
        <v>0</v>
      </c>
      <c r="CM21" s="2">
        <f t="shared" si="9"/>
        <v>1.4999999999999999E-2</v>
      </c>
      <c r="CN21" s="2">
        <f t="shared" si="3"/>
        <v>2.4999999999999994E-2</v>
      </c>
      <c r="CO21" s="2">
        <f t="shared" si="4"/>
        <v>0.06</v>
      </c>
      <c r="CP21" s="2">
        <f t="shared" si="5"/>
        <v>0</v>
      </c>
      <c r="CQ21" s="2">
        <f t="shared" si="6"/>
        <v>0.48500000000000004</v>
      </c>
    </row>
    <row r="22" spans="1:95" x14ac:dyDescent="0.35">
      <c r="A22" s="8">
        <v>8</v>
      </c>
      <c r="B22" s="8" t="s">
        <v>256</v>
      </c>
      <c r="C22" s="8" t="s">
        <v>132</v>
      </c>
      <c r="D22" s="8" t="s">
        <v>179</v>
      </c>
      <c r="E22" s="8">
        <v>23.45</v>
      </c>
      <c r="F22" s="8" t="s">
        <v>130</v>
      </c>
      <c r="G22" s="19" t="s">
        <v>275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2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6</v>
      </c>
      <c r="BL22" s="10">
        <f>COUNTIFS(Tracking!G:G,A22,Tracking!D:D,C22,Tracking!C:C,"5v4")</f>
        <v>4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1.62</v>
      </c>
      <c r="CK22" s="2">
        <f t="shared" si="8"/>
        <v>0.70500000000000007</v>
      </c>
      <c r="CL22" s="2">
        <f t="shared" si="2"/>
        <v>0.245</v>
      </c>
      <c r="CM22" s="2">
        <f t="shared" si="9"/>
        <v>0.185</v>
      </c>
      <c r="CN22" s="2">
        <f t="shared" si="3"/>
        <v>0.22000000000000003</v>
      </c>
      <c r="CO22" s="2">
        <f t="shared" si="4"/>
        <v>0</v>
      </c>
      <c r="CP22" s="2">
        <f>(0.055*BM22)+(0.055*BN22)+(0.035*BO22)+(0.035*BQ22)+(0.055*BH22)+(0.035*BI22)+(0.035*BG22)+0.1</f>
        <v>0.26500000000000001</v>
      </c>
      <c r="CQ22" s="2">
        <f t="shared" si="6"/>
        <v>1.355</v>
      </c>
    </row>
    <row r="23" spans="1:95" x14ac:dyDescent="0.35">
      <c r="A23" s="8">
        <v>10</v>
      </c>
      <c r="B23" s="8" t="s">
        <v>257</v>
      </c>
      <c r="C23" s="8" t="s">
        <v>132</v>
      </c>
      <c r="D23" s="8" t="s">
        <v>187</v>
      </c>
      <c r="E23" s="8">
        <v>13.116666666666999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0.36</v>
      </c>
      <c r="CK23" s="2">
        <f t="shared" si="8"/>
        <v>7.0000000000000007E-2</v>
      </c>
      <c r="CL23" s="2">
        <f t="shared" si="2"/>
        <v>0.09</v>
      </c>
      <c r="CM23" s="2">
        <f t="shared" si="9"/>
        <v>0</v>
      </c>
      <c r="CN23" s="2">
        <f t="shared" si="3"/>
        <v>9.5000000000000001E-2</v>
      </c>
      <c r="CO23" s="2">
        <f t="shared" si="4"/>
        <v>0.105</v>
      </c>
      <c r="CP23" s="2">
        <f t="shared" si="5"/>
        <v>0</v>
      </c>
      <c r="CQ23" s="2">
        <f t="shared" si="6"/>
        <v>0.36</v>
      </c>
    </row>
    <row r="24" spans="1:95" x14ac:dyDescent="0.35">
      <c r="A24" s="8">
        <v>7</v>
      </c>
      <c r="B24" s="8" t="s">
        <v>258</v>
      </c>
      <c r="C24" s="8" t="s">
        <v>132</v>
      </c>
      <c r="D24" s="8" t="s">
        <v>179</v>
      </c>
      <c r="E24" s="8">
        <v>28.883333333332999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10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17</v>
      </c>
      <c r="AZ24" s="1">
        <f>COUNTIFS(Tracking!AA:AA,A24&amp;C24,Tracking!C:C,"5v5",Tracking!Y:Y,"C")</f>
        <v>13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5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0.93</v>
      </c>
      <c r="CK24" s="2">
        <f t="shared" si="8"/>
        <v>0.4</v>
      </c>
      <c r="CL24" s="2">
        <f t="shared" si="2"/>
        <v>4.4999999999999998E-2</v>
      </c>
      <c r="CM24" s="2">
        <f t="shared" si="9"/>
        <v>0.15999999999999998</v>
      </c>
      <c r="CN24" s="2">
        <f t="shared" si="3"/>
        <v>0.27500000000000002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0.89500000000000002</v>
      </c>
    </row>
    <row r="25" spans="1:95" x14ac:dyDescent="0.35">
      <c r="A25" s="8">
        <v>6</v>
      </c>
      <c r="B25" s="8" t="s">
        <v>259</v>
      </c>
      <c r="C25" s="8" t="s">
        <v>132</v>
      </c>
      <c r="D25" s="8" t="s">
        <v>179</v>
      </c>
      <c r="E25" s="8">
        <v>15.633333333333001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0.54500000000000004</v>
      </c>
      <c r="CK25" s="2">
        <f t="shared" si="8"/>
        <v>0.38500000000000001</v>
      </c>
      <c r="CL25" s="2">
        <f t="shared" si="2"/>
        <v>0</v>
      </c>
      <c r="CM25" s="2">
        <f t="shared" si="9"/>
        <v>9.5000000000000001E-2</v>
      </c>
      <c r="CN25" s="2">
        <f t="shared" si="3"/>
        <v>0.05</v>
      </c>
      <c r="CO25" s="2">
        <f t="shared" si="4"/>
        <v>1.4999999999999999E-2</v>
      </c>
      <c r="CP25" s="2">
        <f t="shared" si="5"/>
        <v>0</v>
      </c>
      <c r="CQ25" s="2">
        <f t="shared" si="6"/>
        <v>0.54500000000000004</v>
      </c>
    </row>
    <row r="26" spans="1:95" x14ac:dyDescent="0.35">
      <c r="A26" s="8">
        <v>18</v>
      </c>
      <c r="B26" s="8" t="s">
        <v>260</v>
      </c>
      <c r="C26" s="8" t="s">
        <v>132</v>
      </c>
      <c r="D26" s="8" t="s">
        <v>187</v>
      </c>
      <c r="E26" s="8">
        <v>13.3</v>
      </c>
      <c r="F26" s="8" t="s">
        <v>130</v>
      </c>
      <c r="G26" s="19" t="s">
        <v>275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1.3450000000000002</v>
      </c>
      <c r="CK26" s="2">
        <f>(0.075*H26)+(0.07*L26)+(0.055*M26)+(0.055*N26)+(0.095*J26)+(0.09*O26)+(0.05*P26)+(0.05*R26)+(0.05*S26)+(0.05*AB26)+0.25</f>
        <v>1.0250000000000001</v>
      </c>
      <c r="CL26" s="2">
        <f t="shared" si="2"/>
        <v>0.09</v>
      </c>
      <c r="CM26" s="2">
        <f t="shared" si="9"/>
        <v>0.03</v>
      </c>
      <c r="CN26" s="2">
        <f t="shared" si="3"/>
        <v>8.5000000000000006E-2</v>
      </c>
      <c r="CO26" s="2">
        <f t="shared" si="4"/>
        <v>4.4999999999999998E-2</v>
      </c>
      <c r="CP26" s="2">
        <f t="shared" si="5"/>
        <v>7.0000000000000007E-2</v>
      </c>
      <c r="CQ26" s="2">
        <f t="shared" si="6"/>
        <v>1.2750000000000001</v>
      </c>
    </row>
    <row r="27" spans="1:95" x14ac:dyDescent="0.35">
      <c r="A27" s="8">
        <v>94</v>
      </c>
      <c r="B27" s="8" t="s">
        <v>261</v>
      </c>
      <c r="C27" s="8" t="s">
        <v>132</v>
      </c>
      <c r="D27" s="8" t="s">
        <v>189</v>
      </c>
      <c r="E27" s="8">
        <v>12.116666666666999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0.28499999999999998</v>
      </c>
      <c r="CK27" s="2">
        <f t="shared" si="8"/>
        <v>7.4999999999999997E-2</v>
      </c>
      <c r="CL27" s="2">
        <f t="shared" si="2"/>
        <v>4.4999999999999998E-2</v>
      </c>
      <c r="CM27" s="2">
        <f t="shared" si="9"/>
        <v>0</v>
      </c>
      <c r="CN27" s="2">
        <f t="shared" si="3"/>
        <v>0.12000000000000001</v>
      </c>
      <c r="CO27" s="2">
        <f t="shared" si="4"/>
        <v>4.4999999999999998E-2</v>
      </c>
      <c r="CP27" s="2">
        <f t="shared" si="5"/>
        <v>0</v>
      </c>
      <c r="CQ27" s="2">
        <f t="shared" si="6"/>
        <v>0.28499999999999998</v>
      </c>
    </row>
    <row r="28" spans="1:95" x14ac:dyDescent="0.35">
      <c r="A28" s="8">
        <v>27</v>
      </c>
      <c r="B28" s="8" t="s">
        <v>262</v>
      </c>
      <c r="C28" s="8" t="s">
        <v>132</v>
      </c>
      <c r="D28" s="8" t="s">
        <v>189</v>
      </c>
      <c r="E28" s="8">
        <v>18.016666666667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5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0.875</v>
      </c>
      <c r="CK28" s="2">
        <f t="shared" si="8"/>
        <v>0.36</v>
      </c>
      <c r="CL28" s="2">
        <f t="shared" si="2"/>
        <v>0.14499999999999999</v>
      </c>
      <c r="CM28" s="2">
        <f t="shared" si="9"/>
        <v>9.5000000000000001E-2</v>
      </c>
      <c r="CN28" s="2">
        <f t="shared" si="3"/>
        <v>0.12000000000000002</v>
      </c>
      <c r="CO28" s="2">
        <f t="shared" si="4"/>
        <v>0.105</v>
      </c>
      <c r="CP28" s="2">
        <f>(0.055*BM28)+(0.055*BN28)+(0.035*BO28)+(0.035*BQ28)+(0.055*BH28)+(0.035*BI28)+(0.035*BG28)+0.05</f>
        <v>0.05</v>
      </c>
      <c r="CQ28" s="2">
        <f t="shared" si="6"/>
        <v>0.82499999999999996</v>
      </c>
    </row>
    <row r="29" spans="1:95" x14ac:dyDescent="0.35">
      <c r="A29" s="8">
        <v>42</v>
      </c>
      <c r="B29" s="8" t="s">
        <v>263</v>
      </c>
      <c r="C29" s="8" t="s">
        <v>132</v>
      </c>
      <c r="D29" s="8" t="s">
        <v>179</v>
      </c>
      <c r="E29" s="8">
        <v>21.366666666667001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10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0.75499999999999989</v>
      </c>
      <c r="CK29" s="2">
        <f t="shared" si="8"/>
        <v>0.33500000000000002</v>
      </c>
      <c r="CL29" s="2">
        <f t="shared" si="2"/>
        <v>4.4999999999999998E-2</v>
      </c>
      <c r="CM29" s="2">
        <f t="shared" si="9"/>
        <v>0.215</v>
      </c>
      <c r="CN29" s="2">
        <f t="shared" si="3"/>
        <v>0.09</v>
      </c>
      <c r="CO29" s="2">
        <f t="shared" si="4"/>
        <v>0</v>
      </c>
      <c r="CP29" s="2">
        <f t="shared" si="5"/>
        <v>7.0000000000000007E-2</v>
      </c>
      <c r="CQ29" s="2">
        <f t="shared" si="6"/>
        <v>0.68499999999999994</v>
      </c>
    </row>
    <row r="30" spans="1:95" x14ac:dyDescent="0.35">
      <c r="A30" s="8">
        <v>25</v>
      </c>
      <c r="B30" s="8" t="s">
        <v>264</v>
      </c>
      <c r="C30" s="8" t="s">
        <v>132</v>
      </c>
      <c r="D30" s="8" t="s">
        <v>182</v>
      </c>
      <c r="E30" s="8">
        <v>15.666666666667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0.8650000000000001</v>
      </c>
      <c r="CK30" s="2">
        <f>(0.075*H30)+(0.07*L30)+(0.055*M30)+(0.055*N30)+(0.095*J30)+(0.09*O30)+(0.05*P30)+(0.05*R30)+(0.05*S30)+(0.05*AB30)+0.2</f>
        <v>0.58499999999999996</v>
      </c>
      <c r="CL30" s="2">
        <f t="shared" si="2"/>
        <v>3.5000000000000003E-2</v>
      </c>
      <c r="CM30" s="2">
        <f t="shared" si="9"/>
        <v>9.5000000000000001E-2</v>
      </c>
      <c r="CN30" s="2">
        <f t="shared" si="3"/>
        <v>-7.0000000000000007E-2</v>
      </c>
      <c r="CO30" s="2">
        <f t="shared" si="4"/>
        <v>0.16500000000000001</v>
      </c>
      <c r="CP30" s="2">
        <f t="shared" si="5"/>
        <v>5.5E-2</v>
      </c>
      <c r="CQ30" s="2">
        <f t="shared" si="6"/>
        <v>0.81</v>
      </c>
    </row>
    <row r="31" spans="1:95" x14ac:dyDescent="0.35">
      <c r="A31" s="8">
        <v>88</v>
      </c>
      <c r="B31" s="8" t="s">
        <v>265</v>
      </c>
      <c r="C31" s="8" t="s">
        <v>132</v>
      </c>
      <c r="D31" s="8" t="s">
        <v>187</v>
      </c>
      <c r="E31" s="8">
        <v>19.850000000000001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2</v>
      </c>
      <c r="M31" s="9">
        <f>COUNTIFS(Tracking!H:H,A31,Tracking!D:D,C31,Tracking!C:C,"5v5")</f>
        <v>4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4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7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5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0.87500000000000011</v>
      </c>
      <c r="CK31" s="2">
        <f t="shared" si="8"/>
        <v>0.67</v>
      </c>
      <c r="CL31" s="2">
        <f t="shared" si="2"/>
        <v>-0.09</v>
      </c>
      <c r="CM31" s="2">
        <f t="shared" si="9"/>
        <v>2.5000000000000001E-2</v>
      </c>
      <c r="CN31" s="2">
        <f t="shared" si="3"/>
        <v>0.16500000000000001</v>
      </c>
      <c r="CO31" s="2">
        <f t="shared" si="4"/>
        <v>1.4999999999999999E-2</v>
      </c>
      <c r="CP31" s="2">
        <f t="shared" si="5"/>
        <v>0.09</v>
      </c>
      <c r="CQ31" s="2">
        <f t="shared" si="6"/>
        <v>0.78500000000000014</v>
      </c>
    </row>
    <row r="32" spans="1:95" x14ac:dyDescent="0.35">
      <c r="A32" s="8">
        <v>28</v>
      </c>
      <c r="B32" s="8" t="s">
        <v>266</v>
      </c>
      <c r="C32" s="8" t="s">
        <v>132</v>
      </c>
      <c r="D32" s="8" t="s">
        <v>189</v>
      </c>
      <c r="E32" s="8">
        <v>12.7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3.4999999999999989E-2</v>
      </c>
      <c r="CK32" s="2">
        <f t="shared" si="8"/>
        <v>0.18</v>
      </c>
      <c r="CL32" s="2">
        <f t="shared" si="2"/>
        <v>-0.09</v>
      </c>
      <c r="CM32" s="2">
        <f t="shared" si="9"/>
        <v>0</v>
      </c>
      <c r="CN32" s="2">
        <f t="shared" si="3"/>
        <v>-7.0000000000000007E-2</v>
      </c>
      <c r="CO32" s="2">
        <f t="shared" si="4"/>
        <v>1.4999999999999999E-2</v>
      </c>
      <c r="CP32" s="2">
        <f t="shared" si="5"/>
        <v>0</v>
      </c>
      <c r="CQ32" s="2">
        <f t="shared" si="6"/>
        <v>3.4999999999999989E-2</v>
      </c>
    </row>
    <row r="33" spans="1:95" x14ac:dyDescent="0.35">
      <c r="A33" s="8">
        <v>29</v>
      </c>
      <c r="B33" s="8" t="s">
        <v>267</v>
      </c>
      <c r="C33" s="8" t="s">
        <v>132</v>
      </c>
      <c r="D33" s="8" t="s">
        <v>187</v>
      </c>
      <c r="E33" s="8">
        <v>20.033333333333001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9</v>
      </c>
      <c r="L33" s="9">
        <f>COUNTIFS(Tracking!G:G,A33,Tracking!D:D,C33,Tracking!C:C,"5v5")</f>
        <v>6</v>
      </c>
      <c r="M33" s="9">
        <f>COUNTIFS(Tracking!H:H,A33,Tracking!D:D,C33,Tracking!C:C,"5v5")</f>
        <v>1</v>
      </c>
      <c r="N33" s="9">
        <f>COUNTIFS(Tracking!I:I,A33,Tracking!D:D,C33,Tracking!C:C,"5v5")</f>
        <v>2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5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5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6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7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2.08</v>
      </c>
      <c r="CK33" s="2">
        <f t="shared" si="8"/>
        <v>1.1300000000000001</v>
      </c>
      <c r="CL33" s="2">
        <f t="shared" si="2"/>
        <v>0.245</v>
      </c>
      <c r="CM33" s="2">
        <f t="shared" si="9"/>
        <v>0.13</v>
      </c>
      <c r="CN33" s="2">
        <f t="shared" si="3"/>
        <v>0.24500000000000005</v>
      </c>
      <c r="CO33" s="2">
        <f t="shared" si="4"/>
        <v>0</v>
      </c>
      <c r="CP33" s="2">
        <f>(0.055*BM33)+(0.055*BN33)+(0.035*BO33)+(0.035*BQ33)+(0.055*BH33)+(0.035*BI33)+(0.035*BG33)+0.15</f>
        <v>0.32999999999999996</v>
      </c>
      <c r="CQ33" s="2">
        <f t="shared" si="6"/>
        <v>1.75</v>
      </c>
    </row>
    <row r="34" spans="1:95" x14ac:dyDescent="0.35">
      <c r="A34" s="8">
        <v>17</v>
      </c>
      <c r="B34" s="8" t="s">
        <v>268</v>
      </c>
      <c r="C34" s="8" t="s">
        <v>132</v>
      </c>
      <c r="D34" s="8" t="s">
        <v>187</v>
      </c>
      <c r="E34" s="8">
        <v>12.533333333332999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0.745</v>
      </c>
      <c r="CK34" s="2">
        <f t="shared" si="8"/>
        <v>0.53</v>
      </c>
      <c r="CL34" s="2">
        <f t="shared" si="2"/>
        <v>0.125</v>
      </c>
      <c r="CM34" s="2">
        <f t="shared" si="9"/>
        <v>0</v>
      </c>
      <c r="CN34" s="2">
        <f t="shared" si="3"/>
        <v>0</v>
      </c>
      <c r="CO34" s="2">
        <f t="shared" si="4"/>
        <v>0.09</v>
      </c>
      <c r="CP34" s="2">
        <f t="shared" si="5"/>
        <v>0</v>
      </c>
      <c r="CQ34" s="2">
        <f t="shared" si="6"/>
        <v>0.745</v>
      </c>
    </row>
    <row r="35" spans="1:95" x14ac:dyDescent="0.35">
      <c r="A35" s="8">
        <v>55</v>
      </c>
      <c r="B35" s="8" t="s">
        <v>269</v>
      </c>
      <c r="C35" s="8" t="s">
        <v>132</v>
      </c>
      <c r="D35" s="8" t="s">
        <v>179</v>
      </c>
      <c r="E35" s="8">
        <v>22.283333333333001</v>
      </c>
      <c r="F35" s="8" t="s">
        <v>130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14</v>
      </c>
      <c r="AL35" s="5">
        <f>COUNTIFS(Tracking!AF:AF,A35&amp;C35,Tracking!C:C,"5v5")-AT35</f>
        <v>12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4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1.2500000000000002</v>
      </c>
      <c r="CK35" s="2">
        <f>(0.075*H35)+(0.07*L35)+(0.055*M35)+(0.055*N35)+(0.095*J35)+(0.09*O35)+(0.05*P35)+(0.05*R35)+(0.05*S35)+(0.05*AB35)+0.15</f>
        <v>0.64999999999999991</v>
      </c>
      <c r="CL35" s="2">
        <f t="shared" si="2"/>
        <v>4.4999999999999998E-2</v>
      </c>
      <c r="CM35" s="2">
        <f t="shared" si="9"/>
        <v>0.16999999999999998</v>
      </c>
      <c r="CN35" s="2">
        <f t="shared" si="3"/>
        <v>0.31500000000000006</v>
      </c>
      <c r="CO35" s="2">
        <f t="shared" si="4"/>
        <v>0</v>
      </c>
      <c r="CP35" s="2">
        <f t="shared" si="5"/>
        <v>7.0000000000000007E-2</v>
      </c>
      <c r="CQ35" s="2">
        <f t="shared" si="6"/>
        <v>1.1800000000000002</v>
      </c>
    </row>
    <row r="36" spans="1:95" x14ac:dyDescent="0.35">
      <c r="A36" s="8">
        <v>49</v>
      </c>
      <c r="B36" s="8" t="s">
        <v>270</v>
      </c>
      <c r="C36" s="8" t="s">
        <v>132</v>
      </c>
      <c r="D36" s="8" t="s">
        <v>179</v>
      </c>
      <c r="E36" s="8">
        <v>19.350000000000001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</v>
      </c>
      <c r="CK36" s="2">
        <f>(0.075*H36)+(0.07*L36)+(0.055*M36)+(0.055*N36)+(0.095*J36)+(0.09*O36)+(0.05*P36)+(0.05*R36)+(0.05*S36)+(0.05*AB36)+0.15</f>
        <v>0.28000000000000003</v>
      </c>
      <c r="CL36" s="2">
        <f t="shared" si="2"/>
        <v>0.13500000000000001</v>
      </c>
      <c r="CM36" s="2">
        <f t="shared" si="9"/>
        <v>0.14499999999999999</v>
      </c>
      <c r="CN36" s="2">
        <f t="shared" si="3"/>
        <v>-0.03</v>
      </c>
      <c r="CO36" s="2">
        <f t="shared" si="4"/>
        <v>0</v>
      </c>
      <c r="CP36" s="2">
        <f t="shared" si="5"/>
        <v>0</v>
      </c>
      <c r="CQ36" s="2">
        <f t="shared" si="6"/>
        <v>0.53</v>
      </c>
    </row>
    <row r="37" spans="1:95" x14ac:dyDescent="0.35">
      <c r="A37" s="8">
        <v>13</v>
      </c>
      <c r="B37" s="8" t="s">
        <v>271</v>
      </c>
      <c r="C37" s="8" t="s">
        <v>132</v>
      </c>
      <c r="D37" s="8" t="s">
        <v>182</v>
      </c>
      <c r="E37" s="8">
        <v>19.083333333333002</v>
      </c>
      <c r="F37" s="8" t="s">
        <v>130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13</v>
      </c>
      <c r="AD37" s="11">
        <f>COUNTIFS(Tracking!Z:Z,A37&amp;C37,Tracking!C:C,"5v5",Tracking!Y:Y,"C")</f>
        <v>8</v>
      </c>
      <c r="AE37" s="11">
        <f>COUNTIFS(Tracking!Z:Z,A37&amp;C37,Tracking!C:C,"5v5",Tracking!Y:Y,"F")</f>
        <v>6</v>
      </c>
      <c r="AF37" s="11">
        <f>COUNTIFS(Tracking!Z:Z,A37&amp;C37,Tracking!C:C,"5v5",Tracking!Y:Y,"C",Tracking!AB:AB,"Y")</f>
        <v>6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1.0149999999999999</v>
      </c>
      <c r="CK37" s="2">
        <f t="shared" si="8"/>
        <v>0.60499999999999998</v>
      </c>
      <c r="CL37" s="2">
        <f t="shared" si="2"/>
        <v>0.14499999999999996</v>
      </c>
      <c r="CM37" s="2">
        <f t="shared" si="9"/>
        <v>6.5000000000000002E-2</v>
      </c>
      <c r="CN37" s="2">
        <f t="shared" si="3"/>
        <v>0.12</v>
      </c>
      <c r="CO37" s="2">
        <f t="shared" si="4"/>
        <v>4.4999999999999998E-2</v>
      </c>
      <c r="CP37" s="2">
        <f t="shared" si="5"/>
        <v>3.5000000000000003E-2</v>
      </c>
      <c r="CQ37" s="2">
        <f t="shared" si="6"/>
        <v>0.98</v>
      </c>
    </row>
    <row r="38" spans="1:95" x14ac:dyDescent="0.35">
      <c r="A38" s="8">
        <v>39</v>
      </c>
      <c r="B38" s="8" t="s">
        <v>272</v>
      </c>
      <c r="C38" s="8" t="s">
        <v>132</v>
      </c>
      <c r="D38" s="8" t="s">
        <v>273</v>
      </c>
      <c r="E38" s="8">
        <v>65.5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274</v>
      </c>
      <c r="C39" s="8" t="s">
        <v>149</v>
      </c>
      <c r="D39" s="8" t="s">
        <v>273</v>
      </c>
      <c r="E39" s="8">
        <v>65.5</v>
      </c>
      <c r="F39" s="8" t="s">
        <v>130</v>
      </c>
      <c r="G39" s="19" t="s">
        <v>275</v>
      </c>
      <c r="AK39" s="5">
        <f>COUNTIFS(Tracking!AI:AI,A39&amp;C39,Tracking!C:C,"5v5")+AL39</f>
        <v>14</v>
      </c>
      <c r="AL39" s="5">
        <f>COUNTIFS(Tracking!AF:AF,A39&amp;C39,Tracking!C:C,"5v5")-AT39</f>
        <v>14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2025-04-25T19:24:18Z</dcterms:modified>
</cp:coreProperties>
</file>