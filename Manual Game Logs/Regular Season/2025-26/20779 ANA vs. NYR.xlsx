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5E89BF04-D7A3-4F47-BB0C-6D6B675C36B3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6" i="2" l="1"/>
  <c r="CK8" i="2"/>
  <c r="CP3" i="2"/>
  <c r="CP5" i="2"/>
  <c r="CK13" i="2"/>
  <c r="CK10" i="2"/>
  <c r="CK32" i="2"/>
  <c r="CK29" i="2"/>
  <c r="CK4" i="2"/>
  <c r="CK14" i="2"/>
  <c r="CK11" i="2"/>
  <c r="CK3" i="2"/>
  <c r="CP11" i="2"/>
  <c r="CP7" i="2"/>
  <c r="CK2" i="2"/>
  <c r="CK6" i="2"/>
  <c r="CK21" i="2"/>
  <c r="CK19" i="2"/>
  <c r="CK36" i="2"/>
  <c r="CK33" i="2"/>
  <c r="CK30" i="2"/>
  <c r="CK20" i="2"/>
  <c r="CP10" i="2"/>
  <c r="CK12" i="2"/>
  <c r="CK16" i="2"/>
  <c r="CK27" i="2"/>
  <c r="CK24" i="2"/>
  <c r="CK9" i="2"/>
  <c r="CK15" i="2"/>
  <c r="CP12" i="2"/>
  <c r="CP9" i="2"/>
  <c r="CK5" i="2"/>
  <c r="CK26" i="2"/>
  <c r="CK23" i="2"/>
  <c r="CP8" i="2"/>
  <c r="CK18" i="2"/>
  <c r="CK35" i="2"/>
  <c r="CK17" i="2"/>
  <c r="CK28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<sst xmlns="http://schemas.openxmlformats.org/spreadsheetml/2006/main" count="2551" uniqueCount="277">
  <si>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</si>
  <si>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</si>
  <si>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</si>
  <si>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</si>
  <si>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</si>
  <si>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</si>
  <si>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</si>
  <si>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</si>
  <si>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</si>
  <si>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</si>
  <si>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</si>
  <si>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</si>
  <si>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</si>
  <si>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</si>
  <si>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</si>
  <si>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</si>
  <si>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</si>
  <si>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</si>
  <si>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</si>
  <si>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</si>
  <si>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</si>
  <si>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</si>
  <si>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</si>
  <si>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</si>
  <si>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</si>
  <si>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</si>
  <si>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</si>
  <si>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</si>
  <si>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</si>
  <si>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</si>
  <si>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</si>
  <si>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</si>
  <si>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</si>
  <si>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</si>
  <si>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</si>
  <si>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</si>
  <si>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</si>
  <si>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</si>
  <si>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</si>
  <si>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</si>
  <si>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</si>
  <si>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</si>
  <si>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</si>
  <si>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</si>
  <si>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</si>
  <si>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</si>
  <si>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</si>
  <si>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</si>
  <si>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</si>
  <si>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</si>
  <si>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</si>
  <si>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</si>
  <si>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</si>
  <si>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</si>
  <si>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</si>
  <si>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</si>
  <si>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</si>
  <si>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</si>
  <si>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</si>
  <si>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</si>
  <si>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</si>
  <si>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</si>
  <si>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</si>
  <si>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</si>
  <si>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</si>
  <si>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</si>
  <si>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</si>
  <si>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</si>
  <si>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</si>
  <si>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</si>
  <si>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</si>
  <si>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</si>
  <si>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</si>
  <si>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</si>
  <si>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</si>
  <si>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</si>
  <si>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</si>
  <si>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</si>
  <si>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</si>
  <si>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</si>
  <si>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</si>
  <si>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</si>
  <si>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</si>
  <si>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</si>
  <si>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</si>
  <si>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</si>
  <si>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</si>
  <si>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</si>
  <si>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</si>
  <si>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</si>
  <si>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</si>
  <si>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</si>
  <si>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</si>
  <si>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</si>
  <si>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</si>
  <si>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</si>
  <si>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</si>
  <si>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</si>
  <si>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</si>
  <si>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</si>
  <si>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</si>
  <si>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</si>
  <si>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</si>
  <si>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</si>
  <si>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</si>
  <si>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</si>
  <si>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</si>
  <si>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</si>
  <si>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</si>
  <si>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</si>
  <si>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</si>
  <si>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</si>
  <si>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</si>
  <si>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</si>
  <si>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</si>
  <si>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</si>
  <si>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</si>
  <si>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</si>
  <si>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</si>
  <si>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</si>
  <si>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</si>
  <si>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</si>
  <si>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</si>
  <si>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</si>
  <si>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</si>
  <si>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</si>
  <si>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</si>
  <si>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</si>
  <si>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</si>
  <si>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</si>
  <si>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</si>
  <si>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ANA</t>
  </si>
  <si>
    <t>w</t>
  </si>
  <si>
    <t>y</t>
  </si>
  <si>
    <t>f</t>
  </si>
  <si>
    <t>oz</t>
  </si>
  <si>
    <t>nr</t>
  </si>
  <si>
    <t>r</t>
  </si>
  <si>
    <t>nz</t>
  </si>
  <si>
    <t>nz regroup</t>
  </si>
  <si>
    <t>NYR</t>
  </si>
  <si>
    <t>O</t>
  </si>
  <si>
    <t>oelc</t>
  </si>
  <si>
    <t>or</t>
  </si>
  <si>
    <t>ol</t>
  </si>
  <si>
    <t>c</t>
  </si>
  <si>
    <t>o</t>
  </si>
  <si>
    <t>opc</t>
  </si>
  <si>
    <t>oelr</t>
  </si>
  <si>
    <t>s</t>
  </si>
  <si>
    <t>nc</t>
  </si>
  <si>
    <t>dz</t>
  </si>
  <si>
    <t>dz exit</t>
  </si>
  <si>
    <t>W</t>
  </si>
  <si>
    <t>orrr</t>
  </si>
  <si>
    <t>Y</t>
  </si>
  <si>
    <t>dl</t>
  </si>
  <si>
    <t>nz recovery</t>
  </si>
  <si>
    <t>nz turnover</t>
  </si>
  <si>
    <t>opl</t>
  </si>
  <si>
    <t>5v4</t>
  </si>
  <si>
    <t>4v5</t>
  </si>
  <si>
    <t>dr</t>
  </si>
  <si>
    <t>R</t>
  </si>
  <si>
    <t>oc</t>
  </si>
  <si>
    <t>dc</t>
  </si>
  <si>
    <t>opr</t>
  </si>
  <si>
    <t>dz counter</t>
  </si>
  <si>
    <t>3 on 2</t>
  </si>
  <si>
    <t>nl</t>
  </si>
  <si>
    <t>oelpl</t>
  </si>
  <si>
    <t>t</t>
  </si>
  <si>
    <t>ofp</t>
  </si>
  <si>
    <t>oz faceoff</t>
  </si>
  <si>
    <t>dsr</t>
  </si>
  <si>
    <t>controlled breakout</t>
  </si>
  <si>
    <t>oelpc</t>
  </si>
  <si>
    <t>orrl</t>
  </si>
  <si>
    <t>nz reload</t>
  </si>
  <si>
    <t>B</t>
  </si>
  <si>
    <t>nsl</t>
  </si>
  <si>
    <t>nsr</t>
  </si>
  <si>
    <t>T</t>
  </si>
  <si>
    <t>5v3</t>
  </si>
  <si>
    <t>D</t>
  </si>
  <si>
    <t>20ANA</t>
  </si>
  <si>
    <t>N</t>
  </si>
  <si>
    <t>L</t>
  </si>
  <si>
    <t>16ANA</t>
  </si>
  <si>
    <t>2ANA</t>
  </si>
  <si>
    <t>PEX</t>
  </si>
  <si>
    <t>8NYR</t>
  </si>
  <si>
    <t>EXC</t>
  </si>
  <si>
    <t>4NYR</t>
  </si>
  <si>
    <t>MEX</t>
  </si>
  <si>
    <t>F</t>
  </si>
  <si>
    <t>64ANA</t>
  </si>
  <si>
    <t>10NYR</t>
  </si>
  <si>
    <t>14ANA</t>
  </si>
  <si>
    <t>98ANA</t>
  </si>
  <si>
    <t>16NYR</t>
  </si>
  <si>
    <t>CLE</t>
  </si>
  <si>
    <t>C</t>
  </si>
  <si>
    <t>28ANA</t>
  </si>
  <si>
    <t>60NYR</t>
  </si>
  <si>
    <t>42NYR</t>
  </si>
  <si>
    <t>CEX</t>
  </si>
  <si>
    <t>51ANA</t>
  </si>
  <si>
    <t>78NYR</t>
  </si>
  <si>
    <t>61ANA</t>
  </si>
  <si>
    <t>18NYR</t>
  </si>
  <si>
    <t>74ANA</t>
  </si>
  <si>
    <t>44NYR</t>
  </si>
  <si>
    <t>39NYR</t>
  </si>
  <si>
    <t>44ANA</t>
  </si>
  <si>
    <t>29NYR</t>
  </si>
  <si>
    <t>FEX</t>
  </si>
  <si>
    <t>94NYR</t>
  </si>
  <si>
    <t>7ANA</t>
  </si>
  <si>
    <t>45ANA</t>
  </si>
  <si>
    <t>31NYR</t>
  </si>
  <si>
    <t>17ANA</t>
  </si>
  <si>
    <t>22NYR</t>
  </si>
  <si>
    <t>65ANA</t>
  </si>
  <si>
    <t>X</t>
  </si>
  <si>
    <t>50NYR</t>
  </si>
  <si>
    <t>41NYR</t>
  </si>
  <si>
    <t>42ANA</t>
  </si>
  <si>
    <t>13NYR</t>
  </si>
  <si>
    <t>14NYR</t>
  </si>
  <si>
    <t>23ANA</t>
  </si>
  <si>
    <t>BOT</t>
  </si>
  <si>
    <t>17NYR</t>
  </si>
  <si>
    <t>93NYR</t>
  </si>
  <si>
    <t>25ANA</t>
  </si>
  <si>
    <t>1ANA</t>
  </si>
  <si>
    <t>Alex Killorn</t>
  </si>
  <si>
    <t>Beckett Sennecke</t>
  </si>
  <si>
    <t>Chris Kreider</t>
  </si>
  <si>
    <t>Cutter Gauthier</t>
  </si>
  <si>
    <t>Drew Helleson</t>
  </si>
  <si>
    <t>Ian Moore</t>
  </si>
  <si>
    <t>Jackson LaCombe</t>
  </si>
  <si>
    <t>Jacob Trouba</t>
  </si>
  <si>
    <t>Jeffrey Viel</t>
  </si>
  <si>
    <t>Mason McTavish</t>
  </si>
  <si>
    <t>Mikael Granlund</t>
  </si>
  <si>
    <t>Olen Zellweger</t>
  </si>
  <si>
    <t>Pavel Mintyukov</t>
  </si>
  <si>
    <t>Radko Gudas</t>
  </si>
  <si>
    <t>Ross Johnston</t>
  </si>
  <si>
    <t>Ryan Poehling</t>
  </si>
  <si>
    <t>Ryan Strome</t>
  </si>
  <si>
    <t>Tim Washe</t>
  </si>
  <si>
    <t>Alexis Lafrenière</t>
  </si>
  <si>
    <t>Artemi Panarin</t>
  </si>
  <si>
    <t>Braden Schneider</t>
  </si>
  <si>
    <t>Brennan Othmann</t>
  </si>
  <si>
    <t>Gabe Perreault</t>
  </si>
  <si>
    <t>J.T. Miller</t>
  </si>
  <si>
    <t>Jonny Brodzinski</t>
  </si>
  <si>
    <t>Matthew Robertson</t>
  </si>
  <si>
    <t>Mika Zibanejad</t>
  </si>
  <si>
    <t>Noah Laba</t>
  </si>
  <si>
    <t>Sam Carrick</t>
  </si>
  <si>
    <t>Scott Morrow</t>
  </si>
  <si>
    <t>Taylor Raddysh</t>
  </si>
  <si>
    <t>Urho Vaakanainen</t>
  </si>
  <si>
    <t>Vincent Trocheck</t>
  </si>
  <si>
    <t>Vladislav Gavrikov</t>
  </si>
  <si>
    <t>Will Borgen</t>
  </si>
  <si>
    <t>Will Cuylle</t>
  </si>
  <si>
    <t>Spencer Martin</t>
  </si>
  <si>
    <t>G</t>
  </si>
  <si>
    <t>Lukas Dostal</t>
  </si>
  <si>
    <t>2025-26</t>
  </si>
  <si>
    <t>1/19/2026 ANA vs. NYR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</si>
</sst>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19"/>
  <sheetViews>
    <sheetView zoomScale="70" zoomScaleNormal="70" workbookViewId="0">
      <pane xSplit="3" ySplit="1" topLeftCell="Q206" activePane="bottomRight" state="frozen"/>
      <selection pane="topRight" activeCell="D1" sqref="D1"/>
      <selection pane="bottomLeft" activeCell="A2" sqref="A2"/>
      <selection pane="bottomRight" activeCell="A2" sqref="A2:XFD26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0.82430555555555551</v>
      </c>
      <c r="C2" s="21" t="s">
        <v>130</v>
      </c>
      <c r="D2" s="1" t="s">
        <v>131</v>
      </c>
      <c r="E2" s="1">
        <v>16</v>
      </c>
      <c r="F2" s="1" t="s">
        <v>132</v>
      </c>
      <c r="N2" s="1" t="s">
        <v>133</v>
      </c>
      <c r="P2" s="1" t="s">
        <v>134</v>
      </c>
      <c r="Q2" s="1" t="s">
        <v>135</v>
      </c>
      <c r="U2" s="1">
        <v>0</v>
      </c>
      <c r="V2" s="1">
        <v>41</v>
      </c>
      <c r="W2" s="1">
        <v>20779</v>
      </c>
      <c r="X2" s="1">
        <v>46041</v>
      </c>
      <c r="AK2" s="7"/>
      <c r="AL2" s="7"/>
    </row>
    <row r="3" spans="1:40" x14ac:dyDescent="0.35">
      <c r="A3" s="2">
        <v>1</v>
      </c>
      <c r="B3" s="15">
        <v>0.73750000000000004</v>
      </c>
      <c r="C3" s="21" t="s">
        <v>130</v>
      </c>
      <c r="D3" s="1" t="s">
        <v>131</v>
      </c>
      <c r="E3" s="1">
        <v>74</v>
      </c>
      <c r="F3" s="1" t="s">
        <v>132</v>
      </c>
      <c r="G3" s="1">
        <v>65</v>
      </c>
      <c r="J3" s="1" t="s">
        <v>136</v>
      </c>
      <c r="N3" s="1" t="s">
        <v>133</v>
      </c>
      <c r="P3" s="1" t="s">
        <v>137</v>
      </c>
      <c r="Q3" s="1" t="s">
        <v>138</v>
      </c>
      <c r="R3" s="1" t="s">
        <v>139</v>
      </c>
      <c r="U3" s="1">
        <v>0</v>
      </c>
      <c r="V3" s="1">
        <v>41</v>
      </c>
      <c r="W3" s="1">
        <v>20779</v>
      </c>
      <c r="X3" s="1">
        <v>46041</v>
      </c>
      <c r="AK3" s="7"/>
      <c r="AL3" s="7"/>
    </row>
    <row r="4" spans="1:40" x14ac:dyDescent="0.35">
      <c r="A4" s="7">
        <v>1</v>
      </c>
      <c r="B4" s="15">
        <v>0.7104166666666667</v>
      </c>
      <c r="C4" s="21" t="s">
        <v>130</v>
      </c>
      <c r="D4" s="1" t="s">
        <v>140</v>
      </c>
      <c r="E4" s="1">
        <v>22</v>
      </c>
      <c r="F4" s="1" t="s">
        <v>132</v>
      </c>
      <c r="M4" s="1" t="s">
        <v>133</v>
      </c>
      <c r="N4" s="1" t="s">
        <v>133</v>
      </c>
      <c r="P4" s="1" t="s">
        <v>134</v>
      </c>
      <c r="Q4" s="1" t="s">
        <v>135</v>
      </c>
      <c r="U4" s="1">
        <v>0</v>
      </c>
      <c r="V4" s="1">
        <v>1</v>
      </c>
      <c r="W4" s="1">
        <v>20779</v>
      </c>
      <c r="X4" s="1">
        <v>46041</v>
      </c>
      <c r="AK4" s="7"/>
      <c r="AL4" s="7"/>
    </row>
    <row r="5" spans="1:40" x14ac:dyDescent="0.35">
      <c r="A5" s="7">
        <v>1</v>
      </c>
      <c r="B5" s="14">
        <v>0.70833333333333337</v>
      </c>
      <c r="C5" s="21" t="s">
        <v>130</v>
      </c>
      <c r="D5" s="1" t="s">
        <v>140</v>
      </c>
      <c r="E5" s="1">
        <v>14</v>
      </c>
      <c r="F5" s="1" t="s">
        <v>137</v>
      </c>
      <c r="M5" s="1" t="s">
        <v>133</v>
      </c>
      <c r="N5" s="1" t="s">
        <v>133</v>
      </c>
      <c r="P5" s="1" t="s">
        <v>134</v>
      </c>
      <c r="Q5" s="1" t="s">
        <v>135</v>
      </c>
      <c r="U5" s="1">
        <v>0</v>
      </c>
      <c r="V5" s="1">
        <v>1</v>
      </c>
      <c r="W5" s="1">
        <v>20779</v>
      </c>
      <c r="X5" s="1">
        <v>46041</v>
      </c>
      <c r="AK5" s="7"/>
      <c r="AL5" s="7"/>
    </row>
    <row r="6" spans="1:40" x14ac:dyDescent="0.35">
      <c r="A6" s="2">
        <v>1</v>
      </c>
      <c r="B6" s="15">
        <v>0.67777777777777781</v>
      </c>
      <c r="C6" s="21" t="s">
        <v>130</v>
      </c>
      <c r="D6" s="1" t="s">
        <v>140</v>
      </c>
      <c r="E6" s="1">
        <v>93</v>
      </c>
      <c r="F6" s="1" t="s">
        <v>141</v>
      </c>
      <c r="G6" s="1">
        <v>8</v>
      </c>
      <c r="H6" s="1">
        <v>17</v>
      </c>
      <c r="I6" s="1">
        <v>29</v>
      </c>
      <c r="J6" s="1" t="s">
        <v>142</v>
      </c>
      <c r="K6" s="1" t="s">
        <v>143</v>
      </c>
      <c r="L6" s="1" t="s">
        <v>144</v>
      </c>
      <c r="M6" s="1" t="s">
        <v>133</v>
      </c>
      <c r="P6" s="1" t="s">
        <v>145</v>
      </c>
      <c r="Q6" s="1" t="s">
        <v>135</v>
      </c>
      <c r="U6" s="1">
        <v>0</v>
      </c>
      <c r="V6" s="1">
        <v>1</v>
      </c>
      <c r="W6" s="1">
        <v>20779</v>
      </c>
      <c r="X6" s="1">
        <v>46041</v>
      </c>
      <c r="AK6" s="7"/>
      <c r="AL6" s="7"/>
    </row>
    <row r="7" spans="1:40" x14ac:dyDescent="0.35">
      <c r="A7" s="2">
        <v>1</v>
      </c>
      <c r="B7" s="15">
        <v>0.6743055555555556</v>
      </c>
      <c r="C7" s="21" t="s">
        <v>130</v>
      </c>
      <c r="D7" s="1" t="s">
        <v>140</v>
      </c>
      <c r="E7" s="1">
        <v>29</v>
      </c>
      <c r="F7" s="1" t="s">
        <v>146</v>
      </c>
      <c r="G7" s="1">
        <v>94</v>
      </c>
      <c r="J7" s="1" t="s">
        <v>144</v>
      </c>
      <c r="P7" s="1" t="s">
        <v>134</v>
      </c>
      <c r="Q7" s="1" t="s">
        <v>135</v>
      </c>
      <c r="U7" s="1">
        <v>0</v>
      </c>
      <c r="V7" s="1">
        <v>1</v>
      </c>
      <c r="W7" s="1">
        <v>20779</v>
      </c>
      <c r="X7" s="1">
        <v>46041</v>
      </c>
      <c r="AK7" s="7"/>
      <c r="AL7" s="7"/>
    </row>
    <row r="8" spans="1:40" x14ac:dyDescent="0.35">
      <c r="A8" s="7">
        <v>1</v>
      </c>
      <c r="B8" s="15">
        <v>0.66666666666666663</v>
      </c>
      <c r="C8" s="21" t="s">
        <v>130</v>
      </c>
      <c r="D8" s="1" t="s">
        <v>140</v>
      </c>
      <c r="E8" s="1">
        <v>29</v>
      </c>
      <c r="F8" s="1" t="s">
        <v>132</v>
      </c>
      <c r="G8" s="1">
        <v>93</v>
      </c>
      <c r="H8" s="1">
        <v>8</v>
      </c>
      <c r="I8" s="1">
        <v>94</v>
      </c>
      <c r="J8" s="1" t="s">
        <v>147</v>
      </c>
      <c r="K8" s="1" t="s">
        <v>148</v>
      </c>
      <c r="L8" s="1" t="s">
        <v>144</v>
      </c>
      <c r="N8" s="1" t="s">
        <v>133</v>
      </c>
      <c r="P8" s="1" t="s">
        <v>145</v>
      </c>
      <c r="Q8" s="1" t="s">
        <v>135</v>
      </c>
      <c r="T8" s="1" t="s">
        <v>133</v>
      </c>
      <c r="U8" s="1">
        <v>0</v>
      </c>
      <c r="V8" s="1">
        <v>1</v>
      </c>
      <c r="W8" s="1">
        <v>20779</v>
      </c>
      <c r="X8" s="1">
        <v>46041</v>
      </c>
      <c r="AK8" s="7"/>
      <c r="AL8" s="7"/>
    </row>
    <row r="9" spans="1:40" x14ac:dyDescent="0.35">
      <c r="A9" s="2">
        <v>1</v>
      </c>
      <c r="B9" s="15">
        <v>0.65763888888888888</v>
      </c>
      <c r="C9" s="21" t="s">
        <v>130</v>
      </c>
      <c r="D9" s="1" t="s">
        <v>131</v>
      </c>
      <c r="E9" s="1">
        <v>7</v>
      </c>
      <c r="F9" s="1" t="s">
        <v>149</v>
      </c>
      <c r="G9" s="1">
        <v>64</v>
      </c>
      <c r="J9" s="1" t="s">
        <v>150</v>
      </c>
      <c r="N9" s="1" t="s">
        <v>133</v>
      </c>
      <c r="P9" s="1" t="s">
        <v>137</v>
      </c>
      <c r="Q9" s="1" t="s">
        <v>151</v>
      </c>
      <c r="R9" s="1" t="s">
        <v>152</v>
      </c>
      <c r="U9" s="1">
        <v>-1</v>
      </c>
      <c r="V9" s="1">
        <v>41</v>
      </c>
      <c r="W9" s="1">
        <v>20779</v>
      </c>
      <c r="X9" s="1">
        <v>46041</v>
      </c>
      <c r="AK9" s="7"/>
      <c r="AL9" s="7"/>
    </row>
    <row r="10" spans="1:40" x14ac:dyDescent="0.35">
      <c r="A10" s="2">
        <v>1</v>
      </c>
      <c r="B10" s="15">
        <v>0.64930555555555558</v>
      </c>
      <c r="C10" s="21" t="s">
        <v>130</v>
      </c>
      <c r="D10" s="1" t="s">
        <v>140</v>
      </c>
      <c r="E10" s="1">
        <v>13</v>
      </c>
      <c r="F10" s="1" t="s">
        <v>153</v>
      </c>
      <c r="G10" s="1">
        <v>16</v>
      </c>
      <c r="H10" s="1">
        <v>4</v>
      </c>
      <c r="I10" s="1">
        <v>10</v>
      </c>
      <c r="J10" s="1" t="s">
        <v>154</v>
      </c>
      <c r="K10" s="1" t="s">
        <v>143</v>
      </c>
      <c r="L10" s="1" t="s">
        <v>150</v>
      </c>
      <c r="M10" s="1" t="s">
        <v>155</v>
      </c>
      <c r="N10" s="1" t="s">
        <v>155</v>
      </c>
      <c r="P10" s="1" t="s">
        <v>137</v>
      </c>
      <c r="Q10" s="1" t="s">
        <v>151</v>
      </c>
      <c r="R10" s="1" t="s">
        <v>152</v>
      </c>
      <c r="U10" s="1">
        <v>-1</v>
      </c>
      <c r="V10" s="1">
        <v>1</v>
      </c>
      <c r="W10" s="1">
        <v>20779</v>
      </c>
      <c r="X10" s="1">
        <v>46041</v>
      </c>
      <c r="AK10" s="7"/>
      <c r="AL10" s="7"/>
    </row>
    <row r="11" spans="1:40" x14ac:dyDescent="0.35">
      <c r="A11" s="2">
        <v>1</v>
      </c>
      <c r="B11" s="15">
        <v>0.62847222222222221</v>
      </c>
      <c r="C11" s="21" t="s">
        <v>130</v>
      </c>
      <c r="D11" s="1" t="s">
        <v>140</v>
      </c>
      <c r="E11" s="1">
        <v>18</v>
      </c>
      <c r="F11" s="1" t="s">
        <v>132</v>
      </c>
      <c r="G11" s="1">
        <v>78</v>
      </c>
      <c r="H11" s="1">
        <v>42</v>
      </c>
      <c r="J11" s="1" t="s">
        <v>144</v>
      </c>
      <c r="K11" s="1" t="s">
        <v>156</v>
      </c>
      <c r="M11" s="1" t="s">
        <v>133</v>
      </c>
      <c r="N11" s="1" t="s">
        <v>133</v>
      </c>
      <c r="P11" s="1" t="s">
        <v>137</v>
      </c>
      <c r="Q11" s="1" t="s">
        <v>151</v>
      </c>
      <c r="R11" s="1" t="s">
        <v>152</v>
      </c>
      <c r="U11" s="1">
        <v>-1</v>
      </c>
      <c r="V11" s="1">
        <v>1</v>
      </c>
      <c r="W11" s="1">
        <v>20779</v>
      </c>
      <c r="X11" s="1">
        <v>46041</v>
      </c>
      <c r="AK11" s="7"/>
      <c r="AL11" s="7"/>
    </row>
    <row r="12" spans="1:40" x14ac:dyDescent="0.35">
      <c r="A12" s="2">
        <v>1</v>
      </c>
      <c r="B12" s="15">
        <v>0.62777777777777777</v>
      </c>
      <c r="C12" s="21" t="s">
        <v>130</v>
      </c>
      <c r="D12" s="1" t="s">
        <v>140</v>
      </c>
      <c r="E12" s="1">
        <v>42</v>
      </c>
      <c r="F12" s="1" t="s">
        <v>137</v>
      </c>
      <c r="M12" s="1" t="s">
        <v>133</v>
      </c>
      <c r="N12" s="1" t="s">
        <v>133</v>
      </c>
      <c r="P12" s="1" t="s">
        <v>137</v>
      </c>
      <c r="Q12" s="1" t="s">
        <v>151</v>
      </c>
      <c r="R12" s="1" t="s">
        <v>152</v>
      </c>
      <c r="U12" s="1">
        <v>-1</v>
      </c>
      <c r="V12" s="1">
        <v>1</v>
      </c>
      <c r="W12" s="1">
        <v>20779</v>
      </c>
      <c r="X12" s="1">
        <v>46041</v>
      </c>
      <c r="AK12" s="7"/>
      <c r="AL12" s="7"/>
    </row>
    <row r="13" spans="1:40" x14ac:dyDescent="0.35">
      <c r="A13" s="7">
        <v>1</v>
      </c>
      <c r="B13" s="15">
        <v>0.58333333333333337</v>
      </c>
      <c r="C13" s="21" t="s">
        <v>130</v>
      </c>
      <c r="D13" s="1" t="s">
        <v>131</v>
      </c>
      <c r="E13" s="1">
        <v>45</v>
      </c>
      <c r="F13" s="1" t="s">
        <v>132</v>
      </c>
      <c r="M13" s="1" t="s">
        <v>133</v>
      </c>
      <c r="N13" s="1" t="s">
        <v>133</v>
      </c>
      <c r="P13" s="1" t="s">
        <v>137</v>
      </c>
      <c r="Q13" s="1" t="s">
        <v>151</v>
      </c>
      <c r="R13" s="1" t="s">
        <v>157</v>
      </c>
      <c r="U13" s="1">
        <v>-1</v>
      </c>
      <c r="V13" s="1">
        <v>41</v>
      </c>
      <c r="W13" s="1">
        <v>20779</v>
      </c>
      <c r="X13" s="1">
        <v>46041</v>
      </c>
      <c r="AK13" s="7"/>
      <c r="AL13" s="7"/>
    </row>
    <row r="14" spans="1:40" x14ac:dyDescent="0.35">
      <c r="A14" s="2">
        <v>1</v>
      </c>
      <c r="B14" s="15">
        <v>0.55555555555555558</v>
      </c>
      <c r="C14" s="21" t="s">
        <v>130</v>
      </c>
      <c r="D14" s="1" t="s">
        <v>140</v>
      </c>
      <c r="E14" s="1">
        <v>44</v>
      </c>
      <c r="F14" s="1" t="s">
        <v>153</v>
      </c>
      <c r="G14" s="1">
        <v>16</v>
      </c>
      <c r="H14" s="1">
        <v>10</v>
      </c>
      <c r="I14" s="1">
        <v>44</v>
      </c>
      <c r="J14" s="1" t="s">
        <v>143</v>
      </c>
      <c r="K14" s="1" t="s">
        <v>144</v>
      </c>
      <c r="L14" s="1" t="s">
        <v>156</v>
      </c>
      <c r="N14" s="1" t="s">
        <v>133</v>
      </c>
      <c r="P14" s="1" t="s">
        <v>137</v>
      </c>
      <c r="Q14" s="1" t="s">
        <v>138</v>
      </c>
      <c r="R14" s="1" t="s">
        <v>158</v>
      </c>
      <c r="U14" s="1">
        <v>-1</v>
      </c>
      <c r="V14" s="1">
        <v>1</v>
      </c>
      <c r="W14" s="1">
        <v>20779</v>
      </c>
      <c r="X14" s="1">
        <v>46041</v>
      </c>
      <c r="AK14" s="7"/>
      <c r="AL14" s="7"/>
    </row>
    <row r="15" spans="1:40" x14ac:dyDescent="0.35">
      <c r="A15" s="2">
        <v>1</v>
      </c>
      <c r="B15" s="15">
        <v>0.35347222222222224</v>
      </c>
      <c r="C15" s="21" t="s">
        <v>130</v>
      </c>
      <c r="D15" s="1" t="s">
        <v>131</v>
      </c>
      <c r="E15" s="1">
        <v>23</v>
      </c>
      <c r="F15" s="1" t="s">
        <v>132</v>
      </c>
      <c r="G15" s="1">
        <v>98</v>
      </c>
      <c r="J15" s="1" t="s">
        <v>144</v>
      </c>
      <c r="M15" s="1" t="s">
        <v>133</v>
      </c>
      <c r="N15" s="1" t="s">
        <v>133</v>
      </c>
      <c r="P15" s="1" t="s">
        <v>134</v>
      </c>
      <c r="Q15" s="1" t="s">
        <v>135</v>
      </c>
      <c r="T15" s="1" t="s">
        <v>133</v>
      </c>
      <c r="U15" s="1">
        <v>-1</v>
      </c>
      <c r="V15" s="1">
        <v>41</v>
      </c>
      <c r="W15" s="1">
        <v>20779</v>
      </c>
      <c r="X15" s="1">
        <v>46041</v>
      </c>
      <c r="AK15" s="7"/>
      <c r="AL15" s="7"/>
    </row>
    <row r="16" spans="1:40" x14ac:dyDescent="0.35">
      <c r="A16" s="2">
        <v>1</v>
      </c>
      <c r="B16" s="15">
        <v>0.24166666666666667</v>
      </c>
      <c r="C16" s="21" t="s">
        <v>130</v>
      </c>
      <c r="D16" s="1" t="s">
        <v>131</v>
      </c>
      <c r="E16" s="1">
        <v>45</v>
      </c>
      <c r="F16" s="1" t="s">
        <v>153</v>
      </c>
      <c r="G16" s="1">
        <v>2</v>
      </c>
      <c r="J16" s="1" t="s">
        <v>156</v>
      </c>
      <c r="P16" s="1" t="s">
        <v>137</v>
      </c>
      <c r="Q16" s="1" t="s">
        <v>151</v>
      </c>
      <c r="R16" s="1" t="s">
        <v>152</v>
      </c>
      <c r="U16" s="1">
        <v>0</v>
      </c>
      <c r="V16" s="1">
        <v>41</v>
      </c>
      <c r="W16" s="1">
        <v>20779</v>
      </c>
      <c r="X16" s="1">
        <v>46041</v>
      </c>
      <c r="AK16" s="7"/>
      <c r="AL16" s="7"/>
    </row>
    <row r="17" spans="1:38" x14ac:dyDescent="0.35">
      <c r="A17" s="2">
        <v>1</v>
      </c>
      <c r="B17" s="15">
        <v>0.21597222222222223</v>
      </c>
      <c r="C17" s="21" t="s">
        <v>130</v>
      </c>
      <c r="D17" s="1" t="s">
        <v>140</v>
      </c>
      <c r="E17" s="1">
        <v>16</v>
      </c>
      <c r="F17" s="1" t="s">
        <v>153</v>
      </c>
      <c r="G17" s="1">
        <v>4</v>
      </c>
      <c r="H17" s="1">
        <v>8</v>
      </c>
      <c r="I17" s="1">
        <v>44</v>
      </c>
      <c r="J17" s="1" t="s">
        <v>143</v>
      </c>
      <c r="K17" s="1" t="s">
        <v>159</v>
      </c>
      <c r="L17" s="1" t="s">
        <v>144</v>
      </c>
      <c r="N17" s="1" t="s">
        <v>133</v>
      </c>
      <c r="P17" s="1" t="s">
        <v>134</v>
      </c>
      <c r="Q17" s="1" t="s">
        <v>135</v>
      </c>
      <c r="U17" s="1">
        <v>0</v>
      </c>
      <c r="V17" s="1">
        <v>1</v>
      </c>
      <c r="W17" s="1">
        <v>20779</v>
      </c>
      <c r="X17" s="1">
        <v>46041</v>
      </c>
      <c r="AK17" s="7"/>
      <c r="AL17" s="7"/>
    </row>
    <row r="18" spans="1:38" x14ac:dyDescent="0.35">
      <c r="A18" s="2">
        <v>1</v>
      </c>
      <c r="B18" s="15">
        <v>3.8194444444444448E-2</v>
      </c>
      <c r="C18" s="21" t="s">
        <v>130</v>
      </c>
      <c r="D18" s="1" t="s">
        <v>131</v>
      </c>
      <c r="E18" s="1">
        <v>28</v>
      </c>
      <c r="F18" s="1" t="s">
        <v>132</v>
      </c>
      <c r="G18" s="1">
        <v>61</v>
      </c>
      <c r="J18" s="1" t="s">
        <v>150</v>
      </c>
      <c r="M18" s="1" t="s">
        <v>133</v>
      </c>
      <c r="N18" s="1" t="s">
        <v>133</v>
      </c>
      <c r="P18" s="1" t="s">
        <v>137</v>
      </c>
      <c r="Q18" s="1" t="s">
        <v>138</v>
      </c>
      <c r="R18" s="1" t="s">
        <v>158</v>
      </c>
      <c r="U18" s="1">
        <v>0</v>
      </c>
      <c r="V18" s="1">
        <v>41</v>
      </c>
      <c r="W18" s="1">
        <v>20779</v>
      </c>
      <c r="X18" s="1">
        <v>46041</v>
      </c>
      <c r="AK18" s="7"/>
      <c r="AL18" s="7"/>
    </row>
    <row r="19" spans="1:38" x14ac:dyDescent="0.35">
      <c r="A19" s="7">
        <v>2</v>
      </c>
      <c r="B19" s="15">
        <v>0.78333333333333333</v>
      </c>
      <c r="C19" s="21" t="s">
        <v>130</v>
      </c>
      <c r="D19" s="1" t="s">
        <v>131</v>
      </c>
      <c r="E19" s="1">
        <v>61</v>
      </c>
      <c r="F19" s="1" t="s">
        <v>132</v>
      </c>
      <c r="N19" s="1" t="s">
        <v>133</v>
      </c>
      <c r="P19" s="1" t="s">
        <v>134</v>
      </c>
      <c r="Q19" s="1" t="s">
        <v>135</v>
      </c>
      <c r="U19" s="1">
        <v>0</v>
      </c>
      <c r="V19" s="1">
        <v>41</v>
      </c>
      <c r="W19" s="1">
        <v>20779</v>
      </c>
      <c r="X19" s="1">
        <v>46041</v>
      </c>
      <c r="AK19" s="7"/>
      <c r="AL19" s="7"/>
    </row>
    <row r="20" spans="1:38" x14ac:dyDescent="0.35">
      <c r="A20" s="2">
        <v>2</v>
      </c>
      <c r="B20" s="15">
        <v>0.77430555555555558</v>
      </c>
      <c r="C20" s="21" t="s">
        <v>130</v>
      </c>
      <c r="D20" s="1" t="s">
        <v>140</v>
      </c>
      <c r="E20" s="1">
        <v>10</v>
      </c>
      <c r="F20" s="1" t="s">
        <v>153</v>
      </c>
      <c r="G20" s="1">
        <v>16</v>
      </c>
      <c r="H20" s="1">
        <v>29</v>
      </c>
      <c r="I20" s="1">
        <v>10</v>
      </c>
      <c r="J20" s="1" t="s">
        <v>156</v>
      </c>
      <c r="K20" s="1" t="s">
        <v>156</v>
      </c>
      <c r="L20" s="1" t="s">
        <v>156</v>
      </c>
      <c r="N20" s="1" t="s">
        <v>155</v>
      </c>
      <c r="P20" s="1" t="s">
        <v>137</v>
      </c>
      <c r="Q20" s="1" t="s">
        <v>151</v>
      </c>
      <c r="R20" s="1" t="s">
        <v>152</v>
      </c>
      <c r="U20" s="1">
        <v>0</v>
      </c>
      <c r="V20" s="1">
        <v>1</v>
      </c>
      <c r="W20" s="1">
        <v>20779</v>
      </c>
      <c r="X20" s="1">
        <v>46041</v>
      </c>
      <c r="AK20" s="7"/>
      <c r="AL20" s="7"/>
    </row>
    <row r="21" spans="1:38" x14ac:dyDescent="0.35">
      <c r="A21" s="7">
        <v>2</v>
      </c>
      <c r="B21" s="15">
        <v>0.74791666666666667</v>
      </c>
      <c r="C21" s="21" t="s">
        <v>160</v>
      </c>
      <c r="D21" s="1" t="s">
        <v>131</v>
      </c>
      <c r="E21" s="1">
        <v>61</v>
      </c>
      <c r="F21" s="1" t="s">
        <v>132</v>
      </c>
      <c r="G21" s="1">
        <v>23</v>
      </c>
      <c r="J21" s="1" t="s">
        <v>143</v>
      </c>
      <c r="M21" s="1" t="s">
        <v>133</v>
      </c>
      <c r="N21" s="1" t="s">
        <v>133</v>
      </c>
      <c r="U21" s="1">
        <v>0</v>
      </c>
      <c r="V21" s="1">
        <v>41</v>
      </c>
      <c r="W21" s="1">
        <v>20779</v>
      </c>
      <c r="X21" s="1">
        <v>46041</v>
      </c>
      <c r="AK21" s="7"/>
      <c r="AL21" s="7"/>
    </row>
    <row r="22" spans="1:38" x14ac:dyDescent="0.35">
      <c r="A22" s="7">
        <v>2</v>
      </c>
      <c r="B22" s="15">
        <v>0.67847222222222225</v>
      </c>
      <c r="C22" s="21" t="s">
        <v>161</v>
      </c>
      <c r="D22" s="1" t="s">
        <v>131</v>
      </c>
      <c r="E22" s="1">
        <v>98</v>
      </c>
      <c r="F22" s="1" t="s">
        <v>132</v>
      </c>
      <c r="G22" s="1">
        <v>17</v>
      </c>
      <c r="H22" s="1">
        <v>20</v>
      </c>
      <c r="I22" s="1">
        <v>65</v>
      </c>
      <c r="J22" s="1" t="s">
        <v>136</v>
      </c>
      <c r="K22" s="1" t="s">
        <v>162</v>
      </c>
      <c r="L22" s="1" t="s">
        <v>162</v>
      </c>
      <c r="N22" s="1" t="s">
        <v>133</v>
      </c>
      <c r="P22" s="1" t="s">
        <v>137</v>
      </c>
      <c r="Q22" s="1" t="s">
        <v>151</v>
      </c>
      <c r="U22" s="1">
        <v>0</v>
      </c>
      <c r="V22" s="1">
        <v>41</v>
      </c>
      <c r="W22" s="1">
        <v>20779</v>
      </c>
      <c r="X22" s="1">
        <v>46041</v>
      </c>
      <c r="AK22" s="7"/>
      <c r="AL22" s="7"/>
    </row>
    <row r="23" spans="1:38" x14ac:dyDescent="0.35">
      <c r="A23" s="2">
        <v>2</v>
      </c>
      <c r="B23" s="15">
        <v>0.6645833333333333</v>
      </c>
      <c r="C23" s="21" t="s">
        <v>160</v>
      </c>
      <c r="D23" s="1" t="s">
        <v>140</v>
      </c>
      <c r="E23" s="1">
        <v>10</v>
      </c>
      <c r="F23" s="1" t="s">
        <v>132</v>
      </c>
      <c r="G23" s="1">
        <v>16</v>
      </c>
      <c r="H23" s="1">
        <v>8</v>
      </c>
      <c r="J23" s="1" t="s">
        <v>143</v>
      </c>
      <c r="K23" s="1" t="s">
        <v>150</v>
      </c>
      <c r="M23" s="1" t="s">
        <v>133</v>
      </c>
      <c r="N23" s="1" t="s">
        <v>133</v>
      </c>
      <c r="P23" s="1" t="s">
        <v>137</v>
      </c>
      <c r="Q23" s="1" t="s">
        <v>138</v>
      </c>
      <c r="T23" s="1" t="s">
        <v>133</v>
      </c>
      <c r="U23" s="1">
        <v>0</v>
      </c>
      <c r="V23" s="1">
        <v>1</v>
      </c>
      <c r="W23" s="1">
        <v>20779</v>
      </c>
      <c r="X23" s="1">
        <v>46041</v>
      </c>
      <c r="AK23" s="7"/>
      <c r="AL23" s="7"/>
    </row>
    <row r="24" spans="1:38" x14ac:dyDescent="0.35">
      <c r="A24" s="7">
        <v>2</v>
      </c>
      <c r="B24" s="15">
        <v>0.64652777777777781</v>
      </c>
      <c r="C24" s="21" t="s">
        <v>130</v>
      </c>
      <c r="D24" s="1" t="s">
        <v>140</v>
      </c>
      <c r="E24" s="1">
        <v>10</v>
      </c>
      <c r="F24" s="1" t="s">
        <v>141</v>
      </c>
      <c r="G24" s="1">
        <v>13</v>
      </c>
      <c r="J24" s="1" t="s">
        <v>143</v>
      </c>
      <c r="N24" s="1" t="s">
        <v>155</v>
      </c>
      <c r="P24" s="1" t="s">
        <v>134</v>
      </c>
      <c r="Q24" s="1" t="s">
        <v>135</v>
      </c>
      <c r="U24" s="1">
        <v>0</v>
      </c>
      <c r="V24" s="1">
        <v>1</v>
      </c>
      <c r="W24" s="1">
        <v>20779</v>
      </c>
      <c r="X24" s="1">
        <v>46041</v>
      </c>
      <c r="AK24" s="7"/>
      <c r="AL24" s="7"/>
    </row>
    <row r="25" spans="1:38" x14ac:dyDescent="0.35">
      <c r="A25" s="2">
        <v>2</v>
      </c>
      <c r="B25" s="15">
        <v>0.64583333333333337</v>
      </c>
      <c r="C25" s="21" t="s">
        <v>130</v>
      </c>
      <c r="D25" s="1" t="s">
        <v>140</v>
      </c>
      <c r="E25" s="1">
        <v>16</v>
      </c>
      <c r="F25" s="1" t="s">
        <v>163</v>
      </c>
      <c r="P25" s="1" t="s">
        <v>134</v>
      </c>
      <c r="Q25" s="1" t="s">
        <v>135</v>
      </c>
      <c r="U25" s="1">
        <v>0</v>
      </c>
      <c r="V25" s="1">
        <v>1</v>
      </c>
      <c r="W25" s="1">
        <v>20779</v>
      </c>
      <c r="X25" s="1">
        <v>46041</v>
      </c>
      <c r="AK25" s="7"/>
      <c r="AL25" s="7"/>
    </row>
    <row r="26" spans="1:38" x14ac:dyDescent="0.35">
      <c r="A26" s="7">
        <v>2</v>
      </c>
      <c r="B26" s="15">
        <v>0.61250000000000004</v>
      </c>
      <c r="C26" s="21" t="s">
        <v>130</v>
      </c>
      <c r="D26" s="1" t="s">
        <v>131</v>
      </c>
      <c r="E26" s="1">
        <v>16</v>
      </c>
      <c r="F26" s="1" t="s">
        <v>146</v>
      </c>
      <c r="G26" s="1">
        <v>20</v>
      </c>
      <c r="H26" s="1">
        <v>16</v>
      </c>
      <c r="I26" s="1">
        <v>7</v>
      </c>
      <c r="J26" s="1" t="s">
        <v>144</v>
      </c>
      <c r="K26" s="1" t="s">
        <v>144</v>
      </c>
      <c r="L26" s="1" t="s">
        <v>136</v>
      </c>
      <c r="N26" s="1" t="s">
        <v>133</v>
      </c>
      <c r="P26" s="1" t="s">
        <v>137</v>
      </c>
      <c r="Q26" s="1" t="s">
        <v>138</v>
      </c>
      <c r="R26" s="1" t="s">
        <v>139</v>
      </c>
      <c r="U26" s="1">
        <v>0</v>
      </c>
      <c r="V26" s="1">
        <v>41</v>
      </c>
      <c r="W26" s="1">
        <v>20779</v>
      </c>
      <c r="X26" s="1">
        <v>46041</v>
      </c>
      <c r="AK26" s="7"/>
      <c r="AL26" s="7"/>
    </row>
    <row r="27" spans="1:38" x14ac:dyDescent="0.35">
      <c r="A27" s="2">
        <v>2</v>
      </c>
      <c r="B27" s="15">
        <v>0.60138888888888886</v>
      </c>
      <c r="C27" s="21" t="s">
        <v>130</v>
      </c>
      <c r="D27" s="1" t="s">
        <v>131</v>
      </c>
      <c r="E27" s="1">
        <v>23</v>
      </c>
      <c r="F27" s="1" t="s">
        <v>132</v>
      </c>
      <c r="G27" s="1">
        <v>2</v>
      </c>
      <c r="H27" s="1">
        <v>23</v>
      </c>
      <c r="I27" s="1">
        <v>65</v>
      </c>
      <c r="J27" s="1" t="s">
        <v>164</v>
      </c>
      <c r="K27" s="1" t="s">
        <v>165</v>
      </c>
      <c r="L27" s="1" t="s">
        <v>162</v>
      </c>
      <c r="M27" s="1" t="s">
        <v>133</v>
      </c>
      <c r="N27" s="1" t="s">
        <v>133</v>
      </c>
      <c r="P27" s="1" t="s">
        <v>137</v>
      </c>
      <c r="Q27" s="1" t="s">
        <v>151</v>
      </c>
      <c r="R27" s="1" t="s">
        <v>152</v>
      </c>
      <c r="U27" s="1">
        <v>0</v>
      </c>
      <c r="V27" s="1">
        <v>41</v>
      </c>
      <c r="W27" s="1">
        <v>20779</v>
      </c>
      <c r="X27" s="1">
        <v>46041</v>
      </c>
      <c r="AK27" s="7"/>
      <c r="AL27" s="7"/>
    </row>
    <row r="28" spans="1:38" x14ac:dyDescent="0.35">
      <c r="A28" s="7">
        <v>2</v>
      </c>
      <c r="B28" s="14">
        <v>0.51597222222222228</v>
      </c>
      <c r="C28" s="21" t="s">
        <v>130</v>
      </c>
      <c r="D28" s="1" t="s">
        <v>131</v>
      </c>
      <c r="E28" s="1">
        <v>45</v>
      </c>
      <c r="F28" s="1" t="s">
        <v>153</v>
      </c>
      <c r="G28" s="1">
        <v>2</v>
      </c>
      <c r="J28" s="1" t="s">
        <v>144</v>
      </c>
      <c r="N28" s="1" t="s">
        <v>155</v>
      </c>
      <c r="P28" s="1" t="s">
        <v>137</v>
      </c>
      <c r="Q28" s="1" t="s">
        <v>138</v>
      </c>
      <c r="R28" s="1" t="s">
        <v>158</v>
      </c>
      <c r="U28" s="1">
        <v>0</v>
      </c>
      <c r="V28" s="1">
        <v>41</v>
      </c>
      <c r="W28" s="1">
        <v>20779</v>
      </c>
      <c r="X28" s="1">
        <v>46041</v>
      </c>
      <c r="AK28" s="7"/>
      <c r="AL28" s="7"/>
    </row>
    <row r="29" spans="1:38" x14ac:dyDescent="0.35">
      <c r="A29" s="7">
        <v>2</v>
      </c>
      <c r="B29" s="14">
        <v>0.48125000000000001</v>
      </c>
      <c r="C29" s="21" t="s">
        <v>130</v>
      </c>
      <c r="D29" s="1" t="s">
        <v>131</v>
      </c>
      <c r="E29" s="1">
        <v>25</v>
      </c>
      <c r="F29" s="1" t="s">
        <v>132</v>
      </c>
      <c r="N29" s="1" t="s">
        <v>133</v>
      </c>
      <c r="P29" s="1" t="s">
        <v>134</v>
      </c>
      <c r="Q29" s="1" t="s">
        <v>135</v>
      </c>
      <c r="U29" s="1">
        <v>0</v>
      </c>
      <c r="V29" s="1">
        <v>41</v>
      </c>
      <c r="W29" s="1">
        <v>20779</v>
      </c>
      <c r="X29" s="1">
        <v>46041</v>
      </c>
      <c r="AK29" s="7"/>
      <c r="AL29" s="7"/>
    </row>
    <row r="30" spans="1:38" x14ac:dyDescent="0.35">
      <c r="A30" s="2">
        <v>2</v>
      </c>
      <c r="B30" s="15">
        <v>0.47986111111111113</v>
      </c>
      <c r="C30" s="21" t="s">
        <v>130</v>
      </c>
      <c r="D30" s="1" t="s">
        <v>131</v>
      </c>
      <c r="E30" s="1">
        <v>28</v>
      </c>
      <c r="F30" s="1" t="s">
        <v>137</v>
      </c>
      <c r="M30" s="1" t="s">
        <v>133</v>
      </c>
      <c r="N30" s="1" t="s">
        <v>133</v>
      </c>
      <c r="P30" s="1" t="s">
        <v>134</v>
      </c>
      <c r="Q30" s="1" t="s">
        <v>135</v>
      </c>
      <c r="T30" s="1" t="s">
        <v>133</v>
      </c>
      <c r="U30" s="1">
        <v>0</v>
      </c>
      <c r="V30" s="1">
        <v>41</v>
      </c>
      <c r="W30" s="1">
        <v>20779</v>
      </c>
      <c r="X30" s="1">
        <v>46041</v>
      </c>
      <c r="AK30" s="7"/>
      <c r="AL30" s="7"/>
    </row>
    <row r="31" spans="1:38" x14ac:dyDescent="0.35">
      <c r="A31" s="7">
        <v>2</v>
      </c>
      <c r="B31" s="14">
        <v>0.37361111111111112</v>
      </c>
      <c r="C31" s="21" t="s">
        <v>130</v>
      </c>
      <c r="D31" s="1" t="s">
        <v>131</v>
      </c>
      <c r="E31" s="1">
        <v>45</v>
      </c>
      <c r="F31" s="1" t="s">
        <v>153</v>
      </c>
      <c r="G31" s="1">
        <v>14</v>
      </c>
      <c r="H31" s="1">
        <v>17</v>
      </c>
      <c r="J31" s="1" t="s">
        <v>143</v>
      </c>
      <c r="K31" s="1" t="s">
        <v>166</v>
      </c>
      <c r="M31" s="1" t="s">
        <v>155</v>
      </c>
      <c r="N31" s="1" t="s">
        <v>155</v>
      </c>
      <c r="P31" s="1" t="s">
        <v>134</v>
      </c>
      <c r="Q31" s="1" t="s">
        <v>135</v>
      </c>
      <c r="U31" s="1">
        <v>0</v>
      </c>
      <c r="V31" s="1">
        <v>41</v>
      </c>
      <c r="W31" s="1">
        <v>20779</v>
      </c>
      <c r="X31" s="1">
        <v>46041</v>
      </c>
      <c r="AK31" s="7"/>
      <c r="AL31" s="7"/>
    </row>
    <row r="32" spans="1:38" x14ac:dyDescent="0.35">
      <c r="A32" s="2">
        <v>2</v>
      </c>
      <c r="B32" s="15">
        <v>0.37291666666666667</v>
      </c>
      <c r="C32" s="21" t="s">
        <v>130</v>
      </c>
      <c r="D32" s="1" t="s">
        <v>131</v>
      </c>
      <c r="E32" s="1">
        <v>51</v>
      </c>
      <c r="F32" s="1" t="s">
        <v>137</v>
      </c>
      <c r="M32" s="1" t="s">
        <v>133</v>
      </c>
      <c r="N32" s="1" t="s">
        <v>133</v>
      </c>
      <c r="P32" s="1" t="s">
        <v>134</v>
      </c>
      <c r="Q32" s="1" t="s">
        <v>135</v>
      </c>
      <c r="U32" s="1">
        <v>0</v>
      </c>
      <c r="V32" s="1">
        <v>41</v>
      </c>
      <c r="W32" s="1">
        <v>20779</v>
      </c>
      <c r="X32" s="1">
        <v>46041</v>
      </c>
      <c r="AK32" s="7"/>
      <c r="AL32" s="7"/>
    </row>
    <row r="33" spans="1:38" x14ac:dyDescent="0.35">
      <c r="A33" s="2">
        <v>2</v>
      </c>
      <c r="B33" s="15">
        <v>0.36041666666666666</v>
      </c>
      <c r="C33" s="21" t="s">
        <v>130</v>
      </c>
      <c r="D33" s="1" t="s">
        <v>140</v>
      </c>
      <c r="E33" s="1">
        <v>93</v>
      </c>
      <c r="F33" s="1" t="s">
        <v>153</v>
      </c>
      <c r="G33" s="1">
        <v>94</v>
      </c>
      <c r="H33" s="1">
        <v>8</v>
      </c>
      <c r="I33" s="1">
        <v>94</v>
      </c>
      <c r="J33" s="1" t="s">
        <v>150</v>
      </c>
      <c r="K33" s="1" t="s">
        <v>156</v>
      </c>
      <c r="L33" s="1" t="s">
        <v>156</v>
      </c>
      <c r="M33" s="1" t="s">
        <v>155</v>
      </c>
      <c r="N33" s="1" t="s">
        <v>155</v>
      </c>
      <c r="P33" s="1" t="s">
        <v>137</v>
      </c>
      <c r="Q33" s="1" t="s">
        <v>151</v>
      </c>
      <c r="R33" s="1" t="s">
        <v>167</v>
      </c>
      <c r="S33" s="1" t="s">
        <v>168</v>
      </c>
      <c r="U33" s="1">
        <v>0</v>
      </c>
      <c r="V33" s="1">
        <v>1</v>
      </c>
      <c r="W33" s="1">
        <v>20779</v>
      </c>
      <c r="X33" s="1">
        <v>46041</v>
      </c>
      <c r="AK33" s="7"/>
      <c r="AL33" s="7"/>
    </row>
    <row r="34" spans="1:38" x14ac:dyDescent="0.35">
      <c r="A34" s="7">
        <v>2</v>
      </c>
      <c r="B34" s="15">
        <v>0.33263888888888887</v>
      </c>
      <c r="C34" s="21" t="s">
        <v>130</v>
      </c>
      <c r="D34" s="1" t="s">
        <v>131</v>
      </c>
      <c r="E34" s="1">
        <v>45</v>
      </c>
      <c r="F34" s="1" t="s">
        <v>132</v>
      </c>
      <c r="G34" s="1">
        <v>64</v>
      </c>
      <c r="J34" s="1" t="s">
        <v>165</v>
      </c>
      <c r="M34" s="1" t="s">
        <v>133</v>
      </c>
      <c r="N34" s="1" t="s">
        <v>133</v>
      </c>
      <c r="P34" s="1" t="s">
        <v>137</v>
      </c>
      <c r="Q34" s="1" t="s">
        <v>151</v>
      </c>
      <c r="R34" s="1" t="s">
        <v>167</v>
      </c>
      <c r="U34" s="1">
        <v>0</v>
      </c>
      <c r="V34" s="1">
        <v>41</v>
      </c>
      <c r="W34" s="1">
        <v>20779</v>
      </c>
      <c r="X34" s="1">
        <v>46041</v>
      </c>
      <c r="AK34" s="7"/>
      <c r="AL34" s="7"/>
    </row>
    <row r="35" spans="1:38" x14ac:dyDescent="0.35">
      <c r="A35" s="2">
        <v>2</v>
      </c>
      <c r="B35" s="15">
        <v>0.31388888888888888</v>
      </c>
      <c r="C35" s="21" t="s">
        <v>130</v>
      </c>
      <c r="D35" s="1" t="s">
        <v>140</v>
      </c>
      <c r="E35" s="1">
        <v>17</v>
      </c>
      <c r="F35" s="1" t="s">
        <v>149</v>
      </c>
      <c r="G35" s="1">
        <v>42</v>
      </c>
      <c r="J35" s="1" t="s">
        <v>169</v>
      </c>
      <c r="P35" s="1" t="s">
        <v>137</v>
      </c>
      <c r="Q35" s="1" t="s">
        <v>151</v>
      </c>
      <c r="R35" s="1" t="s">
        <v>152</v>
      </c>
      <c r="U35" s="1">
        <v>0</v>
      </c>
      <c r="V35" s="1">
        <v>1</v>
      </c>
      <c r="W35" s="1">
        <v>20779</v>
      </c>
      <c r="X35" s="1">
        <v>46041</v>
      </c>
      <c r="AK35" s="7"/>
      <c r="AL35" s="7"/>
    </row>
    <row r="36" spans="1:38" x14ac:dyDescent="0.35">
      <c r="A36" s="7">
        <v>2</v>
      </c>
      <c r="B36" s="15">
        <v>0.28749999999999998</v>
      </c>
      <c r="C36" s="21" t="s">
        <v>130</v>
      </c>
      <c r="D36" s="1" t="s">
        <v>140</v>
      </c>
      <c r="E36" s="1">
        <v>18</v>
      </c>
      <c r="F36" s="1" t="s">
        <v>146</v>
      </c>
      <c r="G36" s="1">
        <v>14</v>
      </c>
      <c r="H36" s="1">
        <v>39</v>
      </c>
      <c r="J36" s="1" t="s">
        <v>144</v>
      </c>
      <c r="K36" s="1" t="s">
        <v>170</v>
      </c>
      <c r="N36" s="1" t="s">
        <v>133</v>
      </c>
      <c r="P36" s="1" t="s">
        <v>134</v>
      </c>
      <c r="Q36" s="1" t="s">
        <v>135</v>
      </c>
      <c r="U36" s="1">
        <v>0</v>
      </c>
      <c r="V36" s="1">
        <v>1</v>
      </c>
      <c r="W36" s="1">
        <v>20779</v>
      </c>
      <c r="X36" s="1">
        <v>46041</v>
      </c>
      <c r="AK36" s="7"/>
      <c r="AL36" s="7"/>
    </row>
    <row r="37" spans="1:38" x14ac:dyDescent="0.35">
      <c r="A37" s="7">
        <v>2</v>
      </c>
      <c r="B37" s="15">
        <v>0.27847222222222223</v>
      </c>
      <c r="C37" s="21" t="s">
        <v>130</v>
      </c>
      <c r="D37" s="1" t="s">
        <v>140</v>
      </c>
      <c r="E37" s="1">
        <v>13</v>
      </c>
      <c r="F37" s="1" t="s">
        <v>171</v>
      </c>
      <c r="G37" s="1">
        <v>44</v>
      </c>
      <c r="J37" s="1" t="s">
        <v>149</v>
      </c>
      <c r="M37" s="1" t="s">
        <v>133</v>
      </c>
      <c r="N37" s="1" t="s">
        <v>133</v>
      </c>
      <c r="P37" s="1" t="s">
        <v>134</v>
      </c>
      <c r="Q37" s="1" t="s">
        <v>135</v>
      </c>
      <c r="U37" s="1">
        <v>0</v>
      </c>
      <c r="V37" s="1">
        <v>1</v>
      </c>
      <c r="W37" s="1">
        <v>20779</v>
      </c>
      <c r="X37" s="1">
        <v>46041</v>
      </c>
      <c r="AK37" s="7"/>
      <c r="AL37" s="7"/>
    </row>
    <row r="38" spans="1:38" x14ac:dyDescent="0.35">
      <c r="A38" s="7">
        <v>2</v>
      </c>
      <c r="B38" s="15">
        <v>0.27291666666666664</v>
      </c>
      <c r="C38" s="21" t="s">
        <v>130</v>
      </c>
      <c r="D38" s="1" t="s">
        <v>140</v>
      </c>
      <c r="E38" s="1">
        <v>16</v>
      </c>
      <c r="F38" s="1" t="s">
        <v>171</v>
      </c>
      <c r="G38" s="1">
        <v>4</v>
      </c>
      <c r="H38" s="1">
        <v>44</v>
      </c>
      <c r="I38" s="1">
        <v>13</v>
      </c>
      <c r="J38" s="1" t="s">
        <v>149</v>
      </c>
      <c r="K38" s="1" t="s">
        <v>159</v>
      </c>
      <c r="L38" s="1" t="s">
        <v>143</v>
      </c>
      <c r="M38" s="1" t="s">
        <v>133</v>
      </c>
      <c r="N38" s="1" t="s">
        <v>133</v>
      </c>
      <c r="O38" s="1" t="s">
        <v>133</v>
      </c>
      <c r="P38" s="1" t="s">
        <v>134</v>
      </c>
      <c r="Q38" s="1" t="s">
        <v>135</v>
      </c>
      <c r="U38" s="1">
        <v>0</v>
      </c>
      <c r="V38" s="1">
        <v>1</v>
      </c>
      <c r="W38" s="1">
        <v>20779</v>
      </c>
      <c r="X38" s="1">
        <v>46041</v>
      </c>
      <c r="AK38" s="7"/>
      <c r="AL38" s="7"/>
    </row>
    <row r="39" spans="1:38" x14ac:dyDescent="0.35">
      <c r="A39" s="2">
        <v>2</v>
      </c>
      <c r="B39" s="15">
        <v>0.16388888888888889</v>
      </c>
      <c r="C39" s="21" t="s">
        <v>130</v>
      </c>
      <c r="D39" s="1" t="s">
        <v>140</v>
      </c>
      <c r="E39" s="1">
        <v>60</v>
      </c>
      <c r="F39" s="1" t="s">
        <v>132</v>
      </c>
      <c r="N39" s="1" t="s">
        <v>133</v>
      </c>
      <c r="P39" s="1" t="s">
        <v>137</v>
      </c>
      <c r="Q39" s="1" t="s">
        <v>151</v>
      </c>
      <c r="R39" s="1" t="s">
        <v>152</v>
      </c>
      <c r="U39" s="1">
        <v>0</v>
      </c>
      <c r="V39" s="1">
        <v>1</v>
      </c>
      <c r="W39" s="1">
        <v>20779</v>
      </c>
      <c r="X39" s="1">
        <v>46041</v>
      </c>
      <c r="AK39" s="7"/>
      <c r="AL39" s="7"/>
    </row>
    <row r="40" spans="1:38" x14ac:dyDescent="0.35">
      <c r="A40" s="7">
        <v>2</v>
      </c>
      <c r="B40" s="15">
        <v>0.16041666666666668</v>
      </c>
      <c r="C40" s="21" t="s">
        <v>130</v>
      </c>
      <c r="D40" s="1" t="s">
        <v>140</v>
      </c>
      <c r="E40" s="1">
        <v>44</v>
      </c>
      <c r="F40" s="1" t="s">
        <v>132</v>
      </c>
      <c r="G40" s="1">
        <v>42</v>
      </c>
      <c r="J40" s="1" t="s">
        <v>172</v>
      </c>
      <c r="Q40" s="1" t="s">
        <v>135</v>
      </c>
      <c r="R40" s="1" t="s">
        <v>173</v>
      </c>
      <c r="U40" s="1">
        <v>0</v>
      </c>
      <c r="V40" s="1">
        <v>1</v>
      </c>
      <c r="W40" s="1">
        <v>20779</v>
      </c>
      <c r="X40" s="1">
        <v>46041</v>
      </c>
      <c r="AK40" s="7"/>
      <c r="AL40" s="7"/>
    </row>
    <row r="41" spans="1:38" x14ac:dyDescent="0.35">
      <c r="A41" s="7">
        <v>2</v>
      </c>
      <c r="B41" s="14">
        <v>0.14305555555555555</v>
      </c>
      <c r="C41" s="21" t="s">
        <v>130</v>
      </c>
      <c r="D41" s="1" t="s">
        <v>140</v>
      </c>
      <c r="E41" s="1">
        <v>44</v>
      </c>
      <c r="F41" s="1" t="s">
        <v>132</v>
      </c>
      <c r="P41" s="1" t="s">
        <v>134</v>
      </c>
      <c r="Q41" s="1" t="s">
        <v>135</v>
      </c>
      <c r="U41" s="1">
        <v>0</v>
      </c>
      <c r="V41" s="1">
        <v>1</v>
      </c>
      <c r="W41" s="1">
        <v>20779</v>
      </c>
      <c r="X41" s="1">
        <v>46041</v>
      </c>
      <c r="AK41" s="7"/>
      <c r="AL41" s="7"/>
    </row>
    <row r="42" spans="1:38" x14ac:dyDescent="0.35">
      <c r="A42" s="2">
        <v>2</v>
      </c>
      <c r="B42" s="15">
        <v>8.3333333333333329E-2</v>
      </c>
      <c r="C42" s="21" t="s">
        <v>160</v>
      </c>
      <c r="D42" s="1" t="s">
        <v>131</v>
      </c>
      <c r="E42" s="1">
        <v>65</v>
      </c>
      <c r="F42" s="1" t="s">
        <v>132</v>
      </c>
      <c r="P42" s="1" t="s">
        <v>134</v>
      </c>
      <c r="Q42" s="1" t="s">
        <v>135</v>
      </c>
      <c r="U42" s="1">
        <v>0</v>
      </c>
      <c r="V42" s="1">
        <v>41</v>
      </c>
      <c r="W42" s="1">
        <v>20779</v>
      </c>
      <c r="X42" s="1">
        <v>46041</v>
      </c>
      <c r="AK42" s="7"/>
      <c r="AL42" s="7"/>
    </row>
    <row r="43" spans="1:38" x14ac:dyDescent="0.35">
      <c r="A43" s="7">
        <v>2</v>
      </c>
      <c r="B43" s="15">
        <v>8.1944444444444445E-2</v>
      </c>
      <c r="C43" s="21" t="s">
        <v>160</v>
      </c>
      <c r="D43" s="1" t="s">
        <v>131</v>
      </c>
      <c r="E43" s="1">
        <v>17</v>
      </c>
      <c r="F43" s="1" t="s">
        <v>137</v>
      </c>
      <c r="M43" s="1" t="s">
        <v>133</v>
      </c>
      <c r="N43" s="1" t="s">
        <v>133</v>
      </c>
      <c r="P43" s="1" t="s">
        <v>134</v>
      </c>
      <c r="Q43" s="1" t="s">
        <v>135</v>
      </c>
      <c r="T43" s="1" t="s">
        <v>133</v>
      </c>
      <c r="U43" s="1">
        <v>0</v>
      </c>
      <c r="V43" s="1">
        <v>41</v>
      </c>
      <c r="W43" s="1">
        <v>20779</v>
      </c>
      <c r="X43" s="1">
        <v>46041</v>
      </c>
      <c r="AK43" s="7"/>
      <c r="AL43" s="7"/>
    </row>
    <row r="44" spans="1:38" x14ac:dyDescent="0.35">
      <c r="A44" s="2">
        <v>2</v>
      </c>
      <c r="B44" s="15">
        <v>6.5972222222222224E-2</v>
      </c>
      <c r="C44" s="21" t="s">
        <v>130</v>
      </c>
      <c r="D44" s="1" t="s">
        <v>140</v>
      </c>
      <c r="E44" s="1">
        <v>60</v>
      </c>
      <c r="F44" s="1" t="s">
        <v>132</v>
      </c>
      <c r="G44" s="1">
        <v>13</v>
      </c>
      <c r="H44" s="1">
        <v>60</v>
      </c>
      <c r="J44" s="1" t="s">
        <v>164</v>
      </c>
      <c r="K44" s="1" t="s">
        <v>174</v>
      </c>
      <c r="N44" s="1" t="s">
        <v>133</v>
      </c>
      <c r="P44" s="1" t="s">
        <v>137</v>
      </c>
      <c r="Q44" s="1" t="s">
        <v>151</v>
      </c>
      <c r="R44" s="1" t="s">
        <v>175</v>
      </c>
      <c r="U44" s="1">
        <v>1</v>
      </c>
      <c r="V44" s="1">
        <v>1</v>
      </c>
      <c r="W44" s="1">
        <v>20779</v>
      </c>
      <c r="X44" s="1">
        <v>46041</v>
      </c>
      <c r="AK44" s="7"/>
      <c r="AL44" s="7"/>
    </row>
    <row r="45" spans="1:38" x14ac:dyDescent="0.35">
      <c r="A45" s="7">
        <v>3</v>
      </c>
      <c r="B45" s="14">
        <v>0.82152777777777775</v>
      </c>
      <c r="C45" s="21" t="s">
        <v>130</v>
      </c>
      <c r="D45" s="1" t="s">
        <v>131</v>
      </c>
      <c r="E45" s="1">
        <v>45</v>
      </c>
      <c r="F45" s="1" t="s">
        <v>153</v>
      </c>
      <c r="G45" s="1">
        <v>64</v>
      </c>
      <c r="H45" s="1">
        <v>45</v>
      </c>
      <c r="J45" s="1" t="s">
        <v>144</v>
      </c>
      <c r="K45" s="1" t="s">
        <v>164</v>
      </c>
      <c r="M45" s="1" t="s">
        <v>155</v>
      </c>
      <c r="N45" s="1" t="s">
        <v>155</v>
      </c>
      <c r="P45" s="1" t="s">
        <v>134</v>
      </c>
      <c r="Q45" s="1" t="s">
        <v>135</v>
      </c>
      <c r="U45" s="1">
        <v>1</v>
      </c>
      <c r="V45" s="1">
        <v>41</v>
      </c>
      <c r="W45" s="1">
        <v>20779</v>
      </c>
      <c r="X45" s="1">
        <v>46041</v>
      </c>
      <c r="AK45" s="7"/>
      <c r="AL45" s="7"/>
    </row>
    <row r="46" spans="1:38" x14ac:dyDescent="0.35">
      <c r="A46" s="7">
        <v>3</v>
      </c>
      <c r="B46" s="15">
        <v>0.80208333333333337</v>
      </c>
      <c r="C46" s="21" t="s">
        <v>130</v>
      </c>
      <c r="D46" s="1" t="s">
        <v>131</v>
      </c>
      <c r="E46" s="1">
        <v>14</v>
      </c>
      <c r="F46" s="1" t="s">
        <v>132</v>
      </c>
      <c r="G46" s="1">
        <v>64</v>
      </c>
      <c r="J46" s="1" t="s">
        <v>142</v>
      </c>
      <c r="M46" s="1" t="s">
        <v>133</v>
      </c>
      <c r="N46" s="1" t="s">
        <v>133</v>
      </c>
      <c r="P46" s="1" t="s">
        <v>134</v>
      </c>
      <c r="Q46" s="1" t="s">
        <v>135</v>
      </c>
      <c r="U46" s="1">
        <v>1</v>
      </c>
      <c r="V46" s="1">
        <v>41</v>
      </c>
      <c r="W46" s="1">
        <v>20779</v>
      </c>
      <c r="X46" s="1">
        <v>46041</v>
      </c>
      <c r="AK46" s="7"/>
      <c r="AL46" s="7"/>
    </row>
    <row r="47" spans="1:38" x14ac:dyDescent="0.35">
      <c r="A47" s="2">
        <v>3</v>
      </c>
      <c r="B47" s="15">
        <v>0.80138888888888893</v>
      </c>
      <c r="C47" s="21" t="s">
        <v>130</v>
      </c>
      <c r="D47" s="1" t="s">
        <v>131</v>
      </c>
      <c r="E47" s="1">
        <v>2</v>
      </c>
      <c r="F47" s="1" t="s">
        <v>137</v>
      </c>
      <c r="M47" s="1" t="s">
        <v>133</v>
      </c>
      <c r="P47" s="1" t="s">
        <v>134</v>
      </c>
      <c r="Q47" s="1" t="s">
        <v>135</v>
      </c>
      <c r="U47" s="1">
        <v>1</v>
      </c>
      <c r="V47" s="1">
        <v>41</v>
      </c>
      <c r="W47" s="1">
        <v>20779</v>
      </c>
      <c r="X47" s="1">
        <v>46041</v>
      </c>
      <c r="AK47" s="7"/>
      <c r="AL47" s="7"/>
    </row>
    <row r="48" spans="1:38" x14ac:dyDescent="0.35">
      <c r="A48" s="7">
        <v>3</v>
      </c>
      <c r="B48" s="14">
        <v>0.79097222222222219</v>
      </c>
      <c r="C48" s="21" t="s">
        <v>130</v>
      </c>
      <c r="D48" s="1" t="s">
        <v>131</v>
      </c>
      <c r="E48" s="1">
        <v>61</v>
      </c>
      <c r="F48" s="1" t="s">
        <v>153</v>
      </c>
      <c r="G48" s="1">
        <v>14</v>
      </c>
      <c r="J48" s="1" t="s">
        <v>143</v>
      </c>
      <c r="M48" s="1" t="s">
        <v>155</v>
      </c>
      <c r="N48" s="1" t="s">
        <v>155</v>
      </c>
      <c r="P48" s="1" t="s">
        <v>134</v>
      </c>
      <c r="Q48" s="1" t="s">
        <v>135</v>
      </c>
      <c r="T48" s="1" t="s">
        <v>155</v>
      </c>
      <c r="U48" s="1">
        <v>1</v>
      </c>
      <c r="V48" s="1">
        <v>41</v>
      </c>
      <c r="W48" s="1">
        <v>20779</v>
      </c>
      <c r="X48" s="1">
        <v>46041</v>
      </c>
      <c r="AK48" s="7"/>
      <c r="AL48" s="7"/>
    </row>
    <row r="49" spans="1:38" x14ac:dyDescent="0.35">
      <c r="A49" s="7">
        <v>3</v>
      </c>
      <c r="B49" s="15">
        <v>0.61805555555555558</v>
      </c>
      <c r="C49" s="21" t="s">
        <v>130</v>
      </c>
      <c r="D49" s="1" t="s">
        <v>131</v>
      </c>
      <c r="E49" s="1">
        <v>61</v>
      </c>
      <c r="F49" s="1" t="s">
        <v>132</v>
      </c>
      <c r="G49" s="1">
        <v>2</v>
      </c>
      <c r="H49" s="1">
        <v>28</v>
      </c>
      <c r="J49" s="1" t="s">
        <v>144</v>
      </c>
      <c r="K49" s="1" t="s">
        <v>176</v>
      </c>
      <c r="M49" s="1" t="s">
        <v>133</v>
      </c>
      <c r="N49" s="1" t="s">
        <v>133</v>
      </c>
      <c r="P49" s="1" t="s">
        <v>134</v>
      </c>
      <c r="Q49" s="1" t="s">
        <v>135</v>
      </c>
      <c r="U49" s="1">
        <v>2</v>
      </c>
      <c r="V49" s="1">
        <v>41</v>
      </c>
      <c r="W49" s="1">
        <v>20779</v>
      </c>
      <c r="X49" s="1">
        <v>46041</v>
      </c>
      <c r="AK49" s="7"/>
      <c r="AL49" s="7"/>
    </row>
    <row r="50" spans="1:38" x14ac:dyDescent="0.35">
      <c r="A50" s="7">
        <v>3</v>
      </c>
      <c r="B50" s="15">
        <v>0.53402777777777777</v>
      </c>
      <c r="C50" s="21" t="s">
        <v>160</v>
      </c>
      <c r="D50" s="1" t="s">
        <v>140</v>
      </c>
      <c r="E50" s="1">
        <v>44</v>
      </c>
      <c r="F50" s="1" t="s">
        <v>132</v>
      </c>
      <c r="G50" s="1">
        <v>10</v>
      </c>
      <c r="H50" s="1">
        <v>16</v>
      </c>
      <c r="J50" s="1" t="s">
        <v>159</v>
      </c>
      <c r="K50" s="1" t="s">
        <v>144</v>
      </c>
      <c r="N50" s="1" t="s">
        <v>133</v>
      </c>
      <c r="O50" s="1" t="s">
        <v>133</v>
      </c>
      <c r="T50" s="1" t="s">
        <v>133</v>
      </c>
      <c r="U50" s="1">
        <v>-1</v>
      </c>
      <c r="V50" s="1">
        <v>1</v>
      </c>
      <c r="W50" s="1">
        <v>20779</v>
      </c>
      <c r="X50" s="1">
        <v>46041</v>
      </c>
      <c r="AK50" s="7"/>
      <c r="AL50" s="7"/>
    </row>
    <row r="51" spans="1:38" x14ac:dyDescent="0.35">
      <c r="A51" s="2">
        <v>3</v>
      </c>
      <c r="B51" s="15">
        <v>0.44305555555555554</v>
      </c>
      <c r="C51" s="21" t="s">
        <v>160</v>
      </c>
      <c r="D51" s="1" t="s">
        <v>131</v>
      </c>
      <c r="E51" s="1">
        <v>23</v>
      </c>
      <c r="F51" s="1" t="s">
        <v>141</v>
      </c>
      <c r="G51" s="1">
        <v>45</v>
      </c>
      <c r="H51" s="1">
        <v>64</v>
      </c>
      <c r="J51" s="1" t="s">
        <v>144</v>
      </c>
      <c r="K51" s="1" t="s">
        <v>144</v>
      </c>
      <c r="M51" s="1" t="s">
        <v>133</v>
      </c>
      <c r="N51" s="1" t="s">
        <v>133</v>
      </c>
      <c r="U51" s="1">
        <v>1</v>
      </c>
      <c r="V51" s="1">
        <v>41</v>
      </c>
      <c r="W51" s="1">
        <v>20779</v>
      </c>
      <c r="X51" s="1">
        <v>46041</v>
      </c>
      <c r="AK51" s="7"/>
      <c r="AL51" s="7"/>
    </row>
    <row r="52" spans="1:38" x14ac:dyDescent="0.35">
      <c r="A52" s="7">
        <v>3</v>
      </c>
      <c r="B52" s="14">
        <v>0.43125000000000002</v>
      </c>
      <c r="C52" s="21" t="s">
        <v>160</v>
      </c>
      <c r="D52" s="1" t="s">
        <v>131</v>
      </c>
      <c r="E52" s="1">
        <v>45</v>
      </c>
      <c r="F52" s="1" t="s">
        <v>146</v>
      </c>
      <c r="G52" s="1">
        <v>23</v>
      </c>
      <c r="H52" s="1">
        <v>61</v>
      </c>
      <c r="I52" s="1">
        <v>2</v>
      </c>
      <c r="J52" s="1" t="s">
        <v>154</v>
      </c>
      <c r="K52" s="1" t="s">
        <v>177</v>
      </c>
      <c r="L52" s="1" t="s">
        <v>164</v>
      </c>
      <c r="M52" s="1" t="s">
        <v>155</v>
      </c>
      <c r="N52" s="1" t="s">
        <v>155</v>
      </c>
      <c r="U52" s="1">
        <v>1</v>
      </c>
      <c r="V52" s="1">
        <v>41</v>
      </c>
      <c r="W52" s="1">
        <v>20779</v>
      </c>
      <c r="X52" s="1">
        <v>46041</v>
      </c>
      <c r="AK52" s="7"/>
      <c r="AL52" s="7"/>
    </row>
    <row r="53" spans="1:38" x14ac:dyDescent="0.35">
      <c r="A53" s="7">
        <v>3</v>
      </c>
      <c r="B53" s="14">
        <v>0.42083333333333334</v>
      </c>
      <c r="C53" s="21" t="s">
        <v>130</v>
      </c>
      <c r="D53" s="1" t="s">
        <v>131</v>
      </c>
      <c r="E53" s="1">
        <v>2</v>
      </c>
      <c r="F53" s="1" t="s">
        <v>149</v>
      </c>
      <c r="N53" s="1" t="s">
        <v>133</v>
      </c>
      <c r="P53" s="1" t="s">
        <v>134</v>
      </c>
      <c r="Q53" s="1" t="s">
        <v>135</v>
      </c>
      <c r="U53" s="1">
        <v>1</v>
      </c>
      <c r="V53" s="1">
        <v>41</v>
      </c>
      <c r="W53" s="1">
        <v>20779</v>
      </c>
      <c r="X53" s="1">
        <v>46041</v>
      </c>
      <c r="AK53" s="7"/>
      <c r="AL53" s="7"/>
    </row>
    <row r="54" spans="1:38" x14ac:dyDescent="0.35">
      <c r="A54" s="2">
        <v>3</v>
      </c>
      <c r="B54" s="15">
        <v>0.40347222222222223</v>
      </c>
      <c r="C54" s="21" t="s">
        <v>130</v>
      </c>
      <c r="D54" s="1" t="s">
        <v>131</v>
      </c>
      <c r="E54" s="1">
        <v>7</v>
      </c>
      <c r="F54" s="1" t="s">
        <v>149</v>
      </c>
      <c r="N54" s="1" t="s">
        <v>133</v>
      </c>
      <c r="P54" s="1" t="s">
        <v>137</v>
      </c>
      <c r="Q54" s="1" t="s">
        <v>138</v>
      </c>
      <c r="R54" s="1" t="s">
        <v>178</v>
      </c>
      <c r="U54" s="1">
        <v>1</v>
      </c>
      <c r="V54" s="1">
        <v>41</v>
      </c>
      <c r="W54" s="1">
        <v>20779</v>
      </c>
      <c r="X54" s="1">
        <v>46041</v>
      </c>
      <c r="AK54" s="7"/>
      <c r="AL54" s="7"/>
    </row>
    <row r="55" spans="1:38" x14ac:dyDescent="0.35">
      <c r="A55" s="7">
        <v>3</v>
      </c>
      <c r="B55" s="15">
        <v>0.30069444444444443</v>
      </c>
      <c r="C55" s="21" t="s">
        <v>130</v>
      </c>
      <c r="D55" s="1" t="s">
        <v>140</v>
      </c>
      <c r="E55" s="1">
        <v>94</v>
      </c>
      <c r="F55" s="1" t="s">
        <v>179</v>
      </c>
      <c r="G55" s="1">
        <v>8</v>
      </c>
      <c r="H55" s="1">
        <v>93</v>
      </c>
      <c r="I55" s="1">
        <v>44</v>
      </c>
      <c r="J55" s="1" t="s">
        <v>164</v>
      </c>
      <c r="K55" s="1" t="s">
        <v>143</v>
      </c>
      <c r="L55" s="1" t="s">
        <v>136</v>
      </c>
      <c r="M55" s="1" t="s">
        <v>155</v>
      </c>
      <c r="N55" s="1" t="s">
        <v>155</v>
      </c>
      <c r="P55" s="1" t="s">
        <v>137</v>
      </c>
      <c r="Q55" s="1" t="s">
        <v>138</v>
      </c>
      <c r="R55" s="1" t="s">
        <v>158</v>
      </c>
      <c r="S55" s="1" t="s">
        <v>168</v>
      </c>
      <c r="U55" s="1">
        <v>1</v>
      </c>
      <c r="V55" s="1">
        <v>1</v>
      </c>
      <c r="W55" s="1">
        <v>20779</v>
      </c>
      <c r="X55" s="1">
        <v>46041</v>
      </c>
      <c r="AK55" s="7"/>
      <c r="AL55" s="7"/>
    </row>
    <row r="56" spans="1:38" x14ac:dyDescent="0.35">
      <c r="A56" s="7">
        <v>3</v>
      </c>
      <c r="B56" s="15">
        <v>0.27500000000000002</v>
      </c>
      <c r="C56" s="21" t="s">
        <v>130</v>
      </c>
      <c r="D56" s="1" t="s">
        <v>140</v>
      </c>
      <c r="E56" s="1">
        <v>16</v>
      </c>
      <c r="F56" s="1" t="s">
        <v>153</v>
      </c>
      <c r="G56" s="1">
        <v>13</v>
      </c>
      <c r="H56" s="1">
        <v>10</v>
      </c>
      <c r="J56" s="1" t="s">
        <v>144</v>
      </c>
      <c r="K56" s="1" t="s">
        <v>169</v>
      </c>
      <c r="N56" s="1" t="s">
        <v>133</v>
      </c>
      <c r="P56" s="1" t="s">
        <v>137</v>
      </c>
      <c r="Q56" s="1" t="s">
        <v>151</v>
      </c>
      <c r="R56" s="1" t="s">
        <v>167</v>
      </c>
      <c r="U56" s="1">
        <v>1</v>
      </c>
      <c r="V56" s="1">
        <v>1</v>
      </c>
      <c r="W56" s="1">
        <v>20779</v>
      </c>
      <c r="X56" s="1">
        <v>46041</v>
      </c>
      <c r="AK56" s="7"/>
      <c r="AL56" s="7"/>
    </row>
    <row r="57" spans="1:38" x14ac:dyDescent="0.35">
      <c r="A57" s="7">
        <v>3</v>
      </c>
      <c r="B57" s="14">
        <v>0.26111111111111113</v>
      </c>
      <c r="C57" s="21" t="s">
        <v>130</v>
      </c>
      <c r="D57" s="1" t="s">
        <v>131</v>
      </c>
      <c r="E57" s="1">
        <v>25</v>
      </c>
      <c r="F57" s="1" t="s">
        <v>132</v>
      </c>
      <c r="G57" s="1">
        <v>61</v>
      </c>
      <c r="H57" s="1">
        <v>98</v>
      </c>
      <c r="I57" s="1">
        <v>7</v>
      </c>
      <c r="J57" s="1" t="s">
        <v>143</v>
      </c>
      <c r="K57" s="1" t="s">
        <v>180</v>
      </c>
      <c r="L57" s="1" t="s">
        <v>136</v>
      </c>
      <c r="P57" s="1" t="s">
        <v>137</v>
      </c>
      <c r="Q57" s="1" t="s">
        <v>138</v>
      </c>
      <c r="R57" s="1" t="s">
        <v>139</v>
      </c>
      <c r="U57" s="1">
        <v>1</v>
      </c>
      <c r="V57" s="1">
        <v>41</v>
      </c>
      <c r="W57" s="1">
        <v>20779</v>
      </c>
      <c r="X57" s="1">
        <v>46041</v>
      </c>
      <c r="AK57" s="7"/>
      <c r="AL57" s="7"/>
    </row>
    <row r="58" spans="1:38" x14ac:dyDescent="0.35">
      <c r="A58" s="7">
        <v>3</v>
      </c>
      <c r="B58" s="14">
        <v>0.24513888888888888</v>
      </c>
      <c r="C58" s="21" t="s">
        <v>130</v>
      </c>
      <c r="D58" s="1" t="s">
        <v>140</v>
      </c>
      <c r="E58" s="1">
        <v>78</v>
      </c>
      <c r="F58" s="1" t="s">
        <v>132</v>
      </c>
      <c r="G58" s="1">
        <v>17</v>
      </c>
      <c r="J58" s="1" t="s">
        <v>181</v>
      </c>
      <c r="M58" s="1" t="s">
        <v>133</v>
      </c>
      <c r="N58" s="1" t="s">
        <v>133</v>
      </c>
      <c r="P58" s="1" t="s">
        <v>137</v>
      </c>
      <c r="Q58" s="1" t="s">
        <v>138</v>
      </c>
      <c r="R58" s="1" t="s">
        <v>139</v>
      </c>
      <c r="U58" s="1">
        <v>1</v>
      </c>
      <c r="V58" s="1">
        <v>1</v>
      </c>
      <c r="W58" s="1">
        <v>20779</v>
      </c>
      <c r="X58" s="1">
        <v>46041</v>
      </c>
      <c r="AK58" s="7"/>
      <c r="AL58" s="7"/>
    </row>
    <row r="59" spans="1:38" x14ac:dyDescent="0.35">
      <c r="A59" s="2">
        <v>3</v>
      </c>
      <c r="B59" s="15">
        <v>0.18402777777777779</v>
      </c>
      <c r="C59" s="21" t="s">
        <v>160</v>
      </c>
      <c r="D59" s="1" t="s">
        <v>140</v>
      </c>
      <c r="E59" s="1">
        <v>8</v>
      </c>
      <c r="F59" s="1" t="s">
        <v>182</v>
      </c>
      <c r="G59" s="1">
        <v>10</v>
      </c>
      <c r="H59" s="1">
        <v>44</v>
      </c>
      <c r="J59" s="1" t="s">
        <v>149</v>
      </c>
      <c r="K59" s="1" t="s">
        <v>164</v>
      </c>
      <c r="M59" s="1" t="s">
        <v>155</v>
      </c>
      <c r="N59" s="1" t="s">
        <v>155</v>
      </c>
      <c r="O59" s="1" t="s">
        <v>155</v>
      </c>
      <c r="U59" s="1">
        <v>1</v>
      </c>
      <c r="V59" s="1">
        <v>1</v>
      </c>
      <c r="W59" s="1">
        <v>20779</v>
      </c>
      <c r="X59" s="1">
        <v>46041</v>
      </c>
      <c r="AK59" s="7"/>
      <c r="AL59" s="7"/>
    </row>
    <row r="60" spans="1:38" x14ac:dyDescent="0.35">
      <c r="A60" s="2">
        <v>3</v>
      </c>
      <c r="B60" s="15">
        <v>0.16805555555555557</v>
      </c>
      <c r="C60" s="21" t="s">
        <v>183</v>
      </c>
      <c r="D60" s="1" t="s">
        <v>140</v>
      </c>
      <c r="E60" s="1">
        <v>8</v>
      </c>
      <c r="F60" s="1" t="s">
        <v>171</v>
      </c>
      <c r="G60" s="1">
        <v>10</v>
      </c>
      <c r="J60" s="1" t="s">
        <v>149</v>
      </c>
      <c r="M60" s="1" t="s">
        <v>133</v>
      </c>
      <c r="N60" s="1" t="s">
        <v>133</v>
      </c>
      <c r="O60" s="1" t="s">
        <v>133</v>
      </c>
      <c r="Q60" s="1" t="s">
        <v>135</v>
      </c>
      <c r="R60" s="1" t="s">
        <v>173</v>
      </c>
      <c r="U60" s="1">
        <v>1</v>
      </c>
      <c r="V60" s="1">
        <v>1</v>
      </c>
      <c r="W60" s="1">
        <v>20779</v>
      </c>
      <c r="X60" s="1">
        <v>46041</v>
      </c>
      <c r="AK60" s="7"/>
      <c r="AL60" s="7"/>
    </row>
    <row r="61" spans="1:38" x14ac:dyDescent="0.35">
      <c r="A61" s="2">
        <v>3</v>
      </c>
      <c r="B61" s="15">
        <v>0.16666666666666666</v>
      </c>
      <c r="C61" s="21" t="s">
        <v>160</v>
      </c>
      <c r="D61" s="1" t="s">
        <v>140</v>
      </c>
      <c r="E61" s="1">
        <v>16</v>
      </c>
      <c r="F61" s="1" t="s">
        <v>137</v>
      </c>
      <c r="M61" s="1" t="s">
        <v>133</v>
      </c>
      <c r="N61" s="1" t="s">
        <v>133</v>
      </c>
      <c r="Q61" s="1" t="s">
        <v>135</v>
      </c>
      <c r="R61" s="1" t="s">
        <v>173</v>
      </c>
      <c r="U61" s="1">
        <v>1</v>
      </c>
      <c r="V61" s="1">
        <v>1</v>
      </c>
      <c r="W61" s="1">
        <v>20779</v>
      </c>
      <c r="X61" s="1">
        <v>46041</v>
      </c>
      <c r="AK61" s="7"/>
      <c r="AL61" s="7"/>
    </row>
    <row r="62" spans="1:38" x14ac:dyDescent="0.35">
      <c r="A62" s="2">
        <v>3</v>
      </c>
      <c r="B62" s="15">
        <v>0.15833333333333333</v>
      </c>
      <c r="C62" s="21" t="s">
        <v>160</v>
      </c>
      <c r="D62" s="1" t="s">
        <v>140</v>
      </c>
      <c r="E62" s="1">
        <v>10</v>
      </c>
      <c r="F62" s="1" t="s">
        <v>132</v>
      </c>
      <c r="N62" s="1" t="s">
        <v>133</v>
      </c>
      <c r="O62" s="1" t="s">
        <v>133</v>
      </c>
      <c r="U62" s="1">
        <v>1</v>
      </c>
      <c r="V62" s="1">
        <v>1</v>
      </c>
      <c r="W62" s="1">
        <v>20779</v>
      </c>
      <c r="X62" s="1">
        <v>46041</v>
      </c>
      <c r="AK62" s="7"/>
      <c r="AL62" s="7"/>
    </row>
    <row r="63" spans="1:38" x14ac:dyDescent="0.35">
      <c r="A63" s="2">
        <v>1</v>
      </c>
      <c r="B63" s="15">
        <v>0.82638888888888884</v>
      </c>
      <c r="C63" s="21" t="s">
        <v>130</v>
      </c>
      <c r="Y63" s="16" t="s">
        <v>184</v>
      </c>
      <c r="Z63" s="16" t="s">
        <v>185</v>
      </c>
      <c r="AA63" s="16" t="s">
        <v>186</v>
      </c>
      <c r="AC63" s="16" t="s">
        <v>187</v>
      </c>
      <c r="AD63" s="16" t="s">
        <v>188</v>
      </c>
      <c r="AE63" s="16" t="s">
        <v>186</v>
      </c>
      <c r="AF63" s="5" t="s">
        <v>189</v>
      </c>
      <c r="AG63" s="5" t="s">
        <v>190</v>
      </c>
      <c r="AK63" s="7"/>
      <c r="AL63" s="7"/>
    </row>
    <row r="64" spans="1:38" x14ac:dyDescent="0.35">
      <c r="A64" s="2">
        <v>1</v>
      </c>
      <c r="B64" s="15">
        <v>0.80763888888888891</v>
      </c>
      <c r="C64" s="21" t="s">
        <v>130</v>
      </c>
      <c r="AF64" s="5" t="s">
        <v>191</v>
      </c>
      <c r="AG64" s="5" t="s">
        <v>192</v>
      </c>
      <c r="AH64" s="5" t="s">
        <v>186</v>
      </c>
      <c r="AI64" s="5" t="s">
        <v>193</v>
      </c>
      <c r="AJ64" s="5" t="s">
        <v>194</v>
      </c>
      <c r="AK64" s="7"/>
      <c r="AL64" s="7"/>
    </row>
    <row r="65" spans="1:38" x14ac:dyDescent="0.35">
      <c r="A65" s="2">
        <v>1</v>
      </c>
      <c r="B65" s="15">
        <v>0.79861111111111116</v>
      </c>
      <c r="C65" s="21" t="s">
        <v>130</v>
      </c>
      <c r="Y65" s="16" t="s">
        <v>195</v>
      </c>
      <c r="Z65" s="16" t="s">
        <v>196</v>
      </c>
      <c r="AA65" s="16" t="s">
        <v>197</v>
      </c>
      <c r="AC65" s="16" t="s">
        <v>163</v>
      </c>
      <c r="AD65" s="16" t="s">
        <v>186</v>
      </c>
      <c r="AE65" s="16" t="s">
        <v>186</v>
      </c>
      <c r="AK65" s="7"/>
      <c r="AL65" s="7"/>
    </row>
    <row r="66" spans="1:38" x14ac:dyDescent="0.35">
      <c r="A66" s="2">
        <v>1</v>
      </c>
      <c r="B66" s="15">
        <v>0.79236111111111107</v>
      </c>
      <c r="C66" s="23" t="s">
        <v>130</v>
      </c>
      <c r="AF66" s="5" t="s">
        <v>198</v>
      </c>
      <c r="AG66" s="5" t="s">
        <v>192</v>
      </c>
      <c r="AH66" s="5" t="s">
        <v>186</v>
      </c>
      <c r="AI66" s="5" t="s">
        <v>199</v>
      </c>
      <c r="AJ66" s="5" t="s">
        <v>194</v>
      </c>
      <c r="AK66" s="7"/>
      <c r="AL66" s="7"/>
    </row>
    <row r="67" spans="1:38" x14ac:dyDescent="0.35">
      <c r="A67" s="2">
        <v>1</v>
      </c>
      <c r="B67" s="15">
        <v>0.79027777777777775</v>
      </c>
      <c r="C67" s="21" t="s">
        <v>130</v>
      </c>
      <c r="Y67" s="16" t="s">
        <v>195</v>
      </c>
      <c r="Z67" s="16" t="s">
        <v>200</v>
      </c>
      <c r="AA67" s="16" t="s">
        <v>186</v>
      </c>
      <c r="AC67" s="16" t="s">
        <v>187</v>
      </c>
      <c r="AD67" s="16" t="s">
        <v>186</v>
      </c>
      <c r="AE67" s="16" t="s">
        <v>186</v>
      </c>
      <c r="AF67" s="5" t="s">
        <v>198</v>
      </c>
      <c r="AG67" s="5" t="s">
        <v>201</v>
      </c>
      <c r="AK67" s="7"/>
      <c r="AL67" s="7"/>
    </row>
    <row r="68" spans="1:38" x14ac:dyDescent="0.35">
      <c r="A68" s="2">
        <v>1</v>
      </c>
      <c r="B68" s="15">
        <v>0.77777777777777779</v>
      </c>
      <c r="C68" s="21" t="s">
        <v>130</v>
      </c>
      <c r="Y68" s="16" t="s">
        <v>202</v>
      </c>
      <c r="Z68" s="16" t="s">
        <v>203</v>
      </c>
      <c r="AA68" s="16" t="s">
        <v>204</v>
      </c>
      <c r="AB68" s="16" t="s">
        <v>186</v>
      </c>
      <c r="AC68" s="16" t="s">
        <v>187</v>
      </c>
      <c r="AD68" s="16" t="s">
        <v>186</v>
      </c>
      <c r="AE68" s="16" t="s">
        <v>186</v>
      </c>
      <c r="AF68" s="5" t="s">
        <v>205</v>
      </c>
      <c r="AG68" s="5" t="s">
        <v>206</v>
      </c>
      <c r="AK68" s="7"/>
      <c r="AL68" s="7"/>
    </row>
    <row r="69" spans="1:38" x14ac:dyDescent="0.35">
      <c r="A69" s="2">
        <v>1</v>
      </c>
      <c r="B69" s="15">
        <v>0.76249999999999996</v>
      </c>
      <c r="C69" s="21" t="s">
        <v>130</v>
      </c>
      <c r="Y69" s="16" t="s">
        <v>184</v>
      </c>
      <c r="Z69" s="16" t="s">
        <v>205</v>
      </c>
      <c r="AA69" s="16" t="s">
        <v>207</v>
      </c>
      <c r="AC69" s="16" t="s">
        <v>163</v>
      </c>
      <c r="AD69" s="16" t="s">
        <v>186</v>
      </c>
      <c r="AE69" s="16" t="s">
        <v>186</v>
      </c>
      <c r="AF69" s="5" t="s">
        <v>207</v>
      </c>
      <c r="AG69" s="5" t="s">
        <v>190</v>
      </c>
      <c r="AH69" s="5" t="s">
        <v>208</v>
      </c>
      <c r="AK69" s="7"/>
      <c r="AL69" s="7"/>
    </row>
    <row r="70" spans="1:38" x14ac:dyDescent="0.35">
      <c r="A70" s="2">
        <v>1</v>
      </c>
      <c r="B70" s="15">
        <v>0.76249999999999996</v>
      </c>
      <c r="C70" s="21" t="s">
        <v>130</v>
      </c>
      <c r="Y70" s="16" t="s">
        <v>184</v>
      </c>
      <c r="Z70" s="16" t="s">
        <v>209</v>
      </c>
      <c r="AA70" s="16" t="s">
        <v>210</v>
      </c>
      <c r="AC70" s="16" t="s">
        <v>187</v>
      </c>
      <c r="AD70" s="16" t="s">
        <v>186</v>
      </c>
      <c r="AE70" s="16" t="s">
        <v>186</v>
      </c>
      <c r="AK70" s="7"/>
      <c r="AL70" s="7"/>
    </row>
    <row r="71" spans="1:38" x14ac:dyDescent="0.35">
      <c r="A71" s="2">
        <v>1</v>
      </c>
      <c r="B71" s="15">
        <v>0.75</v>
      </c>
      <c r="C71" s="21" t="s">
        <v>130</v>
      </c>
      <c r="Y71" s="16" t="s">
        <v>202</v>
      </c>
      <c r="Z71" s="16" t="s">
        <v>211</v>
      </c>
      <c r="AA71" s="16" t="s">
        <v>212</v>
      </c>
      <c r="AB71" s="16" t="s">
        <v>186</v>
      </c>
      <c r="AC71" s="16" t="s">
        <v>163</v>
      </c>
      <c r="AD71" s="16" t="s">
        <v>186</v>
      </c>
      <c r="AE71" s="16" t="s">
        <v>186</v>
      </c>
      <c r="AF71" s="5" t="s">
        <v>213</v>
      </c>
      <c r="AG71" s="5" t="s">
        <v>201</v>
      </c>
      <c r="AK71" s="7"/>
      <c r="AL71" s="7"/>
    </row>
    <row r="72" spans="1:38" x14ac:dyDescent="0.35">
      <c r="A72" s="2">
        <v>1</v>
      </c>
      <c r="B72" s="15">
        <v>0.72916666666666663</v>
      </c>
      <c r="C72" s="21" t="s">
        <v>130</v>
      </c>
      <c r="Y72" s="16" t="s">
        <v>195</v>
      </c>
      <c r="Z72" s="16" t="s">
        <v>214</v>
      </c>
      <c r="AA72" s="16" t="s">
        <v>212</v>
      </c>
      <c r="AC72" s="16" t="s">
        <v>163</v>
      </c>
      <c r="AD72" s="16" t="s">
        <v>186</v>
      </c>
      <c r="AE72" s="16" t="s">
        <v>186</v>
      </c>
      <c r="AK72" s="7"/>
      <c r="AL72" s="7"/>
    </row>
    <row r="73" spans="1:38" x14ac:dyDescent="0.35">
      <c r="A73" s="2">
        <v>1</v>
      </c>
      <c r="B73" s="15">
        <v>0.76249999999999996</v>
      </c>
      <c r="C73" s="21" t="s">
        <v>130</v>
      </c>
      <c r="Y73" s="16" t="s">
        <v>202</v>
      </c>
      <c r="Z73" s="16" t="s">
        <v>212</v>
      </c>
      <c r="AA73" s="16" t="s">
        <v>189</v>
      </c>
      <c r="AB73" s="16" t="s">
        <v>186</v>
      </c>
      <c r="AC73" s="16" t="s">
        <v>163</v>
      </c>
      <c r="AD73" s="16" t="s">
        <v>186</v>
      </c>
      <c r="AE73" s="16" t="s">
        <v>186</v>
      </c>
      <c r="AF73" s="5" t="s">
        <v>189</v>
      </c>
      <c r="AG73" s="5" t="s">
        <v>192</v>
      </c>
      <c r="AH73" s="5" t="s">
        <v>215</v>
      </c>
      <c r="AI73" s="5" t="s">
        <v>185</v>
      </c>
      <c r="AJ73" s="5" t="s">
        <v>216</v>
      </c>
      <c r="AK73" s="7"/>
      <c r="AL73" s="7"/>
    </row>
    <row r="74" spans="1:38" x14ac:dyDescent="0.35">
      <c r="A74" s="2">
        <v>1</v>
      </c>
      <c r="B74" s="15">
        <v>0.70972222222222225</v>
      </c>
      <c r="C74" s="21" t="s">
        <v>130</v>
      </c>
      <c r="Y74" s="16" t="s">
        <v>184</v>
      </c>
      <c r="Z74" s="16" t="s">
        <v>215</v>
      </c>
      <c r="AA74" s="16" t="s">
        <v>186</v>
      </c>
      <c r="AC74" s="16" t="s">
        <v>187</v>
      </c>
      <c r="AD74" s="16" t="s">
        <v>217</v>
      </c>
      <c r="AE74" s="16" t="s">
        <v>133</v>
      </c>
      <c r="AF74" s="5" t="s">
        <v>185</v>
      </c>
      <c r="AG74" s="5" t="s">
        <v>201</v>
      </c>
      <c r="AK74" s="7"/>
      <c r="AL74" s="7"/>
    </row>
    <row r="75" spans="1:38" x14ac:dyDescent="0.35">
      <c r="A75" s="2">
        <v>1</v>
      </c>
      <c r="B75" s="15">
        <v>0.69097222222222221</v>
      </c>
      <c r="C75" s="21" t="s">
        <v>130</v>
      </c>
      <c r="AF75" s="5" t="s">
        <v>199</v>
      </c>
      <c r="AG75" s="5" t="s">
        <v>216</v>
      </c>
      <c r="AK75" s="7"/>
      <c r="AL75" s="7"/>
    </row>
    <row r="76" spans="1:38" x14ac:dyDescent="0.35">
      <c r="A76" s="2">
        <v>1</v>
      </c>
      <c r="B76" s="15">
        <v>0.66319444444444442</v>
      </c>
      <c r="C76" s="21" t="s">
        <v>130</v>
      </c>
      <c r="Y76" s="16" t="s">
        <v>202</v>
      </c>
      <c r="Z76" s="16" t="s">
        <v>218</v>
      </c>
      <c r="AA76" s="16" t="s">
        <v>212</v>
      </c>
      <c r="AB76" s="16" t="s">
        <v>186</v>
      </c>
      <c r="AC76" s="16" t="s">
        <v>163</v>
      </c>
      <c r="AD76" s="16" t="s">
        <v>186</v>
      </c>
      <c r="AE76" s="16" t="s">
        <v>186</v>
      </c>
      <c r="AF76" s="5" t="s">
        <v>193</v>
      </c>
      <c r="AG76" s="5" t="s">
        <v>190</v>
      </c>
      <c r="AK76" s="7"/>
      <c r="AL76" s="7"/>
    </row>
    <row r="77" spans="1:38" x14ac:dyDescent="0.35">
      <c r="A77" s="2">
        <v>1</v>
      </c>
      <c r="B77" s="15">
        <v>0.65277777777777779</v>
      </c>
      <c r="C77" s="21" t="s">
        <v>130</v>
      </c>
      <c r="Y77" s="16" t="s">
        <v>202</v>
      </c>
      <c r="Z77" s="16" t="s">
        <v>193</v>
      </c>
      <c r="AA77" s="16" t="s">
        <v>219</v>
      </c>
      <c r="AB77" s="16" t="s">
        <v>155</v>
      </c>
      <c r="AC77" s="16" t="s">
        <v>163</v>
      </c>
      <c r="AD77" s="16" t="s">
        <v>186</v>
      </c>
      <c r="AE77" s="16" t="s">
        <v>155</v>
      </c>
      <c r="AK77" s="7"/>
      <c r="AL77" s="7"/>
    </row>
    <row r="78" spans="1:38" x14ac:dyDescent="0.35">
      <c r="A78" s="2">
        <v>1</v>
      </c>
      <c r="B78" s="15">
        <v>0.63541666666666663</v>
      </c>
      <c r="C78" s="21" t="s">
        <v>130</v>
      </c>
      <c r="Y78" s="16" t="s">
        <v>184</v>
      </c>
      <c r="Z78" s="16" t="s">
        <v>203</v>
      </c>
      <c r="AA78" s="16" t="s">
        <v>186</v>
      </c>
      <c r="AC78" s="16" t="s">
        <v>163</v>
      </c>
      <c r="AD78" s="16" t="s">
        <v>186</v>
      </c>
      <c r="AE78" s="16" t="s">
        <v>186</v>
      </c>
      <c r="AF78" s="5" t="s">
        <v>220</v>
      </c>
      <c r="AG78" s="5" t="s">
        <v>192</v>
      </c>
      <c r="AH78" s="5" t="s">
        <v>186</v>
      </c>
      <c r="AI78" s="5" t="s">
        <v>205</v>
      </c>
      <c r="AJ78" s="5" t="s">
        <v>190</v>
      </c>
      <c r="AK78" s="7"/>
      <c r="AL78" s="7"/>
    </row>
    <row r="79" spans="1:38" x14ac:dyDescent="0.35">
      <c r="A79" s="2">
        <v>1</v>
      </c>
      <c r="B79" s="15">
        <v>0.62986111111111109</v>
      </c>
      <c r="C79" s="21" t="s">
        <v>130</v>
      </c>
      <c r="Y79" s="16" t="s">
        <v>202</v>
      </c>
      <c r="Z79" s="16" t="s">
        <v>208</v>
      </c>
      <c r="AA79" s="16" t="s">
        <v>199</v>
      </c>
      <c r="AB79" s="16" t="s">
        <v>155</v>
      </c>
      <c r="AC79" s="16" t="s">
        <v>187</v>
      </c>
      <c r="AD79" s="16" t="s">
        <v>186</v>
      </c>
      <c r="AE79" s="16" t="s">
        <v>155</v>
      </c>
      <c r="AF79" s="5" t="s">
        <v>189</v>
      </c>
      <c r="AG79" s="5" t="s">
        <v>201</v>
      </c>
      <c r="AH79" s="5" t="s">
        <v>208</v>
      </c>
      <c r="AK79" s="7"/>
      <c r="AL79" s="7"/>
    </row>
    <row r="80" spans="1:38" x14ac:dyDescent="0.35">
      <c r="A80" s="2">
        <v>1</v>
      </c>
      <c r="B80" s="15">
        <v>0.61875000000000002</v>
      </c>
      <c r="C80" s="21" t="s">
        <v>130</v>
      </c>
      <c r="AF80" s="5" t="s">
        <v>204</v>
      </c>
      <c r="AG80" s="5" t="s">
        <v>192</v>
      </c>
      <c r="AH80" s="5" t="s">
        <v>186</v>
      </c>
      <c r="AI80" s="5" t="s">
        <v>208</v>
      </c>
      <c r="AJ80" s="5" t="s">
        <v>201</v>
      </c>
      <c r="AK80" s="7"/>
      <c r="AL80" s="7"/>
    </row>
    <row r="81" spans="1:38" x14ac:dyDescent="0.35">
      <c r="A81" s="2">
        <v>1</v>
      </c>
      <c r="B81" s="15">
        <v>0.61111111111111116</v>
      </c>
      <c r="C81" s="21" t="s">
        <v>130</v>
      </c>
      <c r="Y81" s="16" t="s">
        <v>184</v>
      </c>
      <c r="Z81" s="16" t="s">
        <v>211</v>
      </c>
      <c r="AA81" s="16" t="s">
        <v>186</v>
      </c>
      <c r="AC81" s="16" t="s">
        <v>163</v>
      </c>
      <c r="AD81" s="16" t="s">
        <v>186</v>
      </c>
      <c r="AE81" s="16" t="s">
        <v>186</v>
      </c>
      <c r="AF81" s="5" t="s">
        <v>220</v>
      </c>
      <c r="AG81" s="5" t="s">
        <v>190</v>
      </c>
      <c r="AK81" s="7"/>
      <c r="AL81" s="7"/>
    </row>
    <row r="82" spans="1:38" x14ac:dyDescent="0.35">
      <c r="A82" s="2">
        <v>1</v>
      </c>
      <c r="B82" s="15">
        <v>0.60069444444444442</v>
      </c>
      <c r="C82" s="21" t="s">
        <v>130</v>
      </c>
      <c r="Y82" s="16" t="s">
        <v>184</v>
      </c>
      <c r="Z82" s="16" t="s">
        <v>189</v>
      </c>
      <c r="AA82" s="16" t="s">
        <v>186</v>
      </c>
      <c r="AC82" s="16" t="s">
        <v>187</v>
      </c>
      <c r="AD82" s="16" t="s">
        <v>186</v>
      </c>
      <c r="AE82" s="16" t="s">
        <v>186</v>
      </c>
      <c r="AK82" s="7"/>
      <c r="AL82" s="7"/>
    </row>
    <row r="83" spans="1:38" x14ac:dyDescent="0.35">
      <c r="A83" s="2">
        <v>1</v>
      </c>
      <c r="B83" s="15">
        <v>0.59583333333333333</v>
      </c>
      <c r="C83" s="21" t="s">
        <v>130</v>
      </c>
      <c r="Y83" s="16" t="s">
        <v>184</v>
      </c>
      <c r="Z83" s="16" t="s">
        <v>217</v>
      </c>
      <c r="AA83" s="16" t="s">
        <v>186</v>
      </c>
      <c r="AC83" s="16" t="s">
        <v>202</v>
      </c>
      <c r="AD83" s="16" t="s">
        <v>186</v>
      </c>
      <c r="AE83" s="16" t="s">
        <v>186</v>
      </c>
      <c r="AF83" s="5" t="s">
        <v>189</v>
      </c>
      <c r="AG83" s="5" t="s">
        <v>194</v>
      </c>
      <c r="AK83" s="7"/>
      <c r="AL83" s="7"/>
    </row>
    <row r="84" spans="1:38" x14ac:dyDescent="0.35">
      <c r="A84" s="2">
        <v>1</v>
      </c>
      <c r="B84" s="15">
        <v>0.59097222222222223</v>
      </c>
      <c r="C84" s="21" t="s">
        <v>130</v>
      </c>
      <c r="Y84" s="16" t="s">
        <v>202</v>
      </c>
      <c r="Z84" s="16" t="s">
        <v>219</v>
      </c>
      <c r="AA84" s="16" t="s">
        <v>215</v>
      </c>
      <c r="AB84" s="16" t="s">
        <v>186</v>
      </c>
      <c r="AC84" s="16" t="s">
        <v>187</v>
      </c>
      <c r="AD84" s="16" t="s">
        <v>186</v>
      </c>
      <c r="AE84" s="16" t="s">
        <v>155</v>
      </c>
      <c r="AF84" s="5" t="s">
        <v>218</v>
      </c>
      <c r="AG84" s="5" t="s">
        <v>201</v>
      </c>
      <c r="AK84" s="7"/>
      <c r="AL84" s="7"/>
    </row>
    <row r="85" spans="1:38" x14ac:dyDescent="0.35">
      <c r="A85" s="2">
        <v>1</v>
      </c>
      <c r="B85" s="15">
        <v>0.58402777777777781</v>
      </c>
      <c r="C85" s="21" t="s">
        <v>130</v>
      </c>
      <c r="Y85" s="16" t="s">
        <v>184</v>
      </c>
      <c r="Z85" s="16" t="s">
        <v>217</v>
      </c>
      <c r="AA85" s="16" t="s">
        <v>186</v>
      </c>
      <c r="AC85" s="16" t="s">
        <v>202</v>
      </c>
      <c r="AD85" s="16" t="s">
        <v>186</v>
      </c>
      <c r="AE85" s="16" t="s">
        <v>186</v>
      </c>
      <c r="AF85" s="5" t="s">
        <v>191</v>
      </c>
      <c r="AG85" s="5" t="s">
        <v>192</v>
      </c>
      <c r="AH85" s="5" t="s">
        <v>186</v>
      </c>
      <c r="AI85" s="5" t="s">
        <v>217</v>
      </c>
      <c r="AJ85" s="5" t="s">
        <v>201</v>
      </c>
      <c r="AK85" s="7"/>
      <c r="AL85" s="7"/>
    </row>
    <row r="86" spans="1:38" x14ac:dyDescent="0.35">
      <c r="A86" s="2">
        <v>1</v>
      </c>
      <c r="B86" s="15">
        <v>0.57708333333333328</v>
      </c>
      <c r="C86" s="21" t="s">
        <v>130</v>
      </c>
      <c r="AF86" s="5" t="s">
        <v>196</v>
      </c>
      <c r="AG86" s="5" t="s">
        <v>192</v>
      </c>
      <c r="AH86" s="5" t="s">
        <v>186</v>
      </c>
      <c r="AI86" s="5" t="s">
        <v>207</v>
      </c>
      <c r="AJ86" s="5" t="s">
        <v>206</v>
      </c>
      <c r="AK86" s="7"/>
      <c r="AL86" s="7"/>
    </row>
    <row r="87" spans="1:38" x14ac:dyDescent="0.35">
      <c r="A87" s="2">
        <v>1</v>
      </c>
      <c r="B87" s="15">
        <v>0.5625</v>
      </c>
      <c r="C87" s="21" t="s">
        <v>130</v>
      </c>
      <c r="Y87" s="16" t="s">
        <v>195</v>
      </c>
      <c r="Z87" s="16" t="s">
        <v>221</v>
      </c>
      <c r="AA87" s="16" t="s">
        <v>212</v>
      </c>
      <c r="AB87" s="16" t="s">
        <v>186</v>
      </c>
      <c r="AC87" s="16" t="s">
        <v>163</v>
      </c>
      <c r="AD87" s="16" t="s">
        <v>186</v>
      </c>
      <c r="AE87" s="16" t="s">
        <v>186</v>
      </c>
      <c r="AK87" s="7"/>
      <c r="AL87" s="7"/>
    </row>
    <row r="88" spans="1:38" x14ac:dyDescent="0.35">
      <c r="A88" s="2">
        <v>1</v>
      </c>
      <c r="B88" s="15">
        <v>0.55486111111111114</v>
      </c>
      <c r="C88" s="21" t="s">
        <v>130</v>
      </c>
      <c r="Y88" s="16" t="s">
        <v>202</v>
      </c>
      <c r="Z88" s="16" t="s">
        <v>197</v>
      </c>
      <c r="AA88" s="16" t="s">
        <v>186</v>
      </c>
      <c r="AB88" s="16" t="s">
        <v>186</v>
      </c>
      <c r="AC88" s="16" t="s">
        <v>187</v>
      </c>
      <c r="AD88" s="16" t="s">
        <v>186</v>
      </c>
      <c r="AE88" s="16" t="s">
        <v>186</v>
      </c>
      <c r="AK88" s="7"/>
      <c r="AL88" s="7"/>
    </row>
    <row r="89" spans="1:38" x14ac:dyDescent="0.35">
      <c r="A89" s="2">
        <v>1</v>
      </c>
      <c r="B89" s="15">
        <v>0.53541666666666665</v>
      </c>
      <c r="C89" s="21" t="s">
        <v>130</v>
      </c>
      <c r="Y89" s="16" t="s">
        <v>195</v>
      </c>
      <c r="Z89" s="16" t="s">
        <v>200</v>
      </c>
      <c r="AA89" s="16" t="s">
        <v>203</v>
      </c>
      <c r="AC89" s="16" t="s">
        <v>163</v>
      </c>
      <c r="AD89" s="16" t="s">
        <v>186</v>
      </c>
      <c r="AE89" s="16" t="s">
        <v>186</v>
      </c>
      <c r="AK89" s="7"/>
      <c r="AL89" s="7"/>
    </row>
    <row r="90" spans="1:38" x14ac:dyDescent="0.35">
      <c r="A90" s="2">
        <v>1</v>
      </c>
      <c r="B90" s="15">
        <v>0.52083333333333337</v>
      </c>
      <c r="C90" s="21" t="s">
        <v>130</v>
      </c>
      <c r="Y90" s="16" t="s">
        <v>184</v>
      </c>
      <c r="Z90" s="16" t="s">
        <v>209</v>
      </c>
      <c r="AA90" s="16" t="s">
        <v>204</v>
      </c>
      <c r="AC90" s="16" t="s">
        <v>187</v>
      </c>
      <c r="AD90" s="16" t="s">
        <v>186</v>
      </c>
      <c r="AE90" s="16" t="s">
        <v>186</v>
      </c>
      <c r="AF90" s="5" t="s">
        <v>222</v>
      </c>
      <c r="AG90" s="5" t="s">
        <v>192</v>
      </c>
      <c r="AH90" s="5" t="s">
        <v>186</v>
      </c>
      <c r="AI90" s="5" t="s">
        <v>204</v>
      </c>
      <c r="AJ90" s="5" t="s">
        <v>201</v>
      </c>
      <c r="AK90" s="7"/>
      <c r="AL90" s="7"/>
    </row>
    <row r="91" spans="1:38" x14ac:dyDescent="0.35">
      <c r="A91" s="2">
        <v>1</v>
      </c>
      <c r="B91" s="15">
        <v>0.51249999999999996</v>
      </c>
      <c r="C91" s="21" t="s">
        <v>130</v>
      </c>
      <c r="AF91" s="5" t="s">
        <v>204</v>
      </c>
      <c r="AG91" s="5" t="s">
        <v>201</v>
      </c>
      <c r="AK91" s="7"/>
      <c r="AL91" s="7"/>
    </row>
    <row r="92" spans="1:38" x14ac:dyDescent="0.35">
      <c r="A92" s="2">
        <v>1</v>
      </c>
      <c r="B92" s="15">
        <v>0.49861111111111112</v>
      </c>
      <c r="C92" s="21" t="s">
        <v>130</v>
      </c>
      <c r="Y92" s="16" t="s">
        <v>184</v>
      </c>
      <c r="Z92" s="16" t="s">
        <v>222</v>
      </c>
      <c r="AA92" s="16" t="s">
        <v>186</v>
      </c>
      <c r="AC92" s="16" t="s">
        <v>187</v>
      </c>
      <c r="AD92" s="16" t="s">
        <v>186</v>
      </c>
      <c r="AE92" s="16" t="s">
        <v>186</v>
      </c>
      <c r="AF92" s="5" t="s">
        <v>223</v>
      </c>
      <c r="AG92" s="5" t="s">
        <v>192</v>
      </c>
      <c r="AH92" s="5" t="s">
        <v>186</v>
      </c>
      <c r="AI92" s="5" t="s">
        <v>189</v>
      </c>
      <c r="AJ92" s="5" t="s">
        <v>194</v>
      </c>
      <c r="AK92" s="7"/>
      <c r="AL92" s="7"/>
    </row>
    <row r="93" spans="1:38" x14ac:dyDescent="0.35">
      <c r="A93" s="2">
        <v>1</v>
      </c>
      <c r="B93" s="15">
        <v>0.48958333333333331</v>
      </c>
      <c r="C93" s="21" t="s">
        <v>130</v>
      </c>
      <c r="Y93" s="16" t="s">
        <v>224</v>
      </c>
      <c r="Z93" s="16" t="s">
        <v>131</v>
      </c>
      <c r="AD93" s="16" t="s">
        <v>214</v>
      </c>
      <c r="AF93" s="5" t="s">
        <v>225</v>
      </c>
      <c r="AG93" s="5" t="s">
        <v>201</v>
      </c>
      <c r="AK93" s="7"/>
      <c r="AL93" s="7"/>
    </row>
    <row r="94" spans="1:38" x14ac:dyDescent="0.35">
      <c r="A94" s="2">
        <v>1</v>
      </c>
      <c r="B94" s="15">
        <v>0.47569444444444442</v>
      </c>
      <c r="C94" s="21" t="s">
        <v>130</v>
      </c>
      <c r="Y94" s="16" t="s">
        <v>184</v>
      </c>
      <c r="Z94" s="16" t="s">
        <v>214</v>
      </c>
      <c r="AA94" s="16" t="s">
        <v>186</v>
      </c>
      <c r="AC94" s="16" t="s">
        <v>187</v>
      </c>
      <c r="AD94" s="16" t="s">
        <v>186</v>
      </c>
      <c r="AE94" s="16" t="s">
        <v>186</v>
      </c>
      <c r="AF94" s="5" t="s">
        <v>226</v>
      </c>
      <c r="AG94" s="5" t="s">
        <v>216</v>
      </c>
      <c r="AH94" s="5" t="s">
        <v>227</v>
      </c>
      <c r="AK94" s="7"/>
      <c r="AL94" s="7"/>
    </row>
    <row r="95" spans="1:38" x14ac:dyDescent="0.35">
      <c r="A95" s="2">
        <v>1</v>
      </c>
      <c r="B95" s="15">
        <v>0.46527777777777779</v>
      </c>
      <c r="C95" s="21" t="s">
        <v>130</v>
      </c>
      <c r="AF95" s="5" t="s">
        <v>208</v>
      </c>
      <c r="AG95" s="5" t="s">
        <v>194</v>
      </c>
      <c r="AK95" s="7"/>
      <c r="AL95" s="7"/>
    </row>
    <row r="96" spans="1:38" x14ac:dyDescent="0.35">
      <c r="A96" s="2">
        <v>1</v>
      </c>
      <c r="B96" s="15">
        <v>0.4548611111111111</v>
      </c>
      <c r="C96" s="21" t="s">
        <v>130</v>
      </c>
      <c r="Y96" s="16" t="s">
        <v>195</v>
      </c>
      <c r="Z96" s="16" t="s">
        <v>221</v>
      </c>
      <c r="AA96" s="16" t="s">
        <v>212</v>
      </c>
      <c r="AC96" s="16" t="s">
        <v>187</v>
      </c>
      <c r="AD96" s="16" t="s">
        <v>186</v>
      </c>
      <c r="AE96" s="16" t="s">
        <v>186</v>
      </c>
      <c r="AK96" s="7"/>
      <c r="AL96" s="7"/>
    </row>
    <row r="97" spans="1:38" x14ac:dyDescent="0.35">
      <c r="A97" s="2">
        <v>1</v>
      </c>
      <c r="B97" s="15">
        <v>0.4375</v>
      </c>
      <c r="C97" s="21" t="s">
        <v>130</v>
      </c>
      <c r="Y97" s="16" t="s">
        <v>202</v>
      </c>
      <c r="Z97" s="16" t="s">
        <v>196</v>
      </c>
      <c r="AA97" s="16" t="s">
        <v>186</v>
      </c>
      <c r="AB97" s="16" t="s">
        <v>186</v>
      </c>
      <c r="AC97" s="16" t="s">
        <v>163</v>
      </c>
      <c r="AD97" s="16" t="s">
        <v>186</v>
      </c>
      <c r="AE97" s="16" t="s">
        <v>186</v>
      </c>
      <c r="AK97" s="7"/>
      <c r="AL97" s="7"/>
    </row>
    <row r="98" spans="1:38" x14ac:dyDescent="0.35">
      <c r="A98" s="2">
        <v>1</v>
      </c>
      <c r="B98" s="15">
        <v>0.40972222222222221</v>
      </c>
      <c r="C98" s="21" t="s">
        <v>130</v>
      </c>
      <c r="AF98" s="5" t="s">
        <v>212</v>
      </c>
      <c r="AG98" s="5" t="s">
        <v>192</v>
      </c>
      <c r="AH98" s="5" t="s">
        <v>186</v>
      </c>
      <c r="AI98" s="5" t="s">
        <v>193</v>
      </c>
      <c r="AJ98" s="5" t="s">
        <v>194</v>
      </c>
      <c r="AK98" s="7"/>
      <c r="AL98" s="7"/>
    </row>
    <row r="99" spans="1:38" x14ac:dyDescent="0.35">
      <c r="A99" s="2">
        <v>1</v>
      </c>
      <c r="B99" s="15">
        <v>0.42708333333333331</v>
      </c>
      <c r="C99" s="21" t="s">
        <v>130</v>
      </c>
      <c r="Y99" s="16" t="s">
        <v>195</v>
      </c>
      <c r="Z99" s="16" t="s">
        <v>217</v>
      </c>
      <c r="AA99" s="16" t="s">
        <v>186</v>
      </c>
      <c r="AC99" s="16" t="s">
        <v>163</v>
      </c>
      <c r="AD99" s="16" t="s">
        <v>186</v>
      </c>
      <c r="AE99" s="16" t="s">
        <v>186</v>
      </c>
      <c r="AK99" s="7"/>
      <c r="AL99" s="7"/>
    </row>
    <row r="100" spans="1:38" x14ac:dyDescent="0.35">
      <c r="A100" s="2">
        <v>1</v>
      </c>
      <c r="B100" s="15">
        <v>0.42708333333333331</v>
      </c>
      <c r="C100" s="21" t="s">
        <v>130</v>
      </c>
      <c r="Y100" s="16" t="s">
        <v>195</v>
      </c>
      <c r="Z100" s="16" t="s">
        <v>221</v>
      </c>
      <c r="AA100" s="16" t="s">
        <v>193</v>
      </c>
      <c r="AC100" s="16" t="s">
        <v>187</v>
      </c>
      <c r="AD100" s="16" t="s">
        <v>186</v>
      </c>
      <c r="AE100" s="16" t="s">
        <v>186</v>
      </c>
      <c r="AK100" s="7"/>
      <c r="AL100" s="7"/>
    </row>
    <row r="101" spans="1:38" x14ac:dyDescent="0.35">
      <c r="A101" s="2">
        <v>1</v>
      </c>
      <c r="B101" s="15">
        <v>0.4236111111111111</v>
      </c>
      <c r="C101" s="21" t="s">
        <v>130</v>
      </c>
      <c r="Y101" s="16" t="s">
        <v>184</v>
      </c>
      <c r="Z101" s="16" t="s">
        <v>217</v>
      </c>
      <c r="AA101" s="16" t="s">
        <v>189</v>
      </c>
      <c r="AC101" s="16" t="s">
        <v>163</v>
      </c>
      <c r="AD101" s="16" t="s">
        <v>186</v>
      </c>
      <c r="AE101" s="16" t="s">
        <v>186</v>
      </c>
      <c r="AF101" s="5" t="s">
        <v>189</v>
      </c>
      <c r="AG101" s="5" t="s">
        <v>192</v>
      </c>
      <c r="AH101" s="5" t="s">
        <v>186</v>
      </c>
      <c r="AI101" s="5" t="s">
        <v>223</v>
      </c>
      <c r="AJ101" s="5" t="s">
        <v>201</v>
      </c>
      <c r="AK101" s="7"/>
      <c r="AL101" s="7"/>
    </row>
    <row r="102" spans="1:38" x14ac:dyDescent="0.35">
      <c r="A102" s="2">
        <v>1</v>
      </c>
      <c r="B102" s="15">
        <v>0.4152777777777778</v>
      </c>
      <c r="C102" s="21" t="s">
        <v>130</v>
      </c>
      <c r="Y102" s="16" t="s">
        <v>184</v>
      </c>
      <c r="Z102" s="16" t="s">
        <v>210</v>
      </c>
      <c r="AA102" s="16" t="s">
        <v>186</v>
      </c>
      <c r="AC102" s="16" t="s">
        <v>187</v>
      </c>
      <c r="AD102" s="16" t="s">
        <v>186</v>
      </c>
      <c r="AE102" s="16" t="s">
        <v>186</v>
      </c>
      <c r="AF102" s="5" t="s">
        <v>207</v>
      </c>
      <c r="AG102" s="5" t="s">
        <v>206</v>
      </c>
      <c r="AK102" s="7"/>
      <c r="AL102" s="7"/>
    </row>
    <row r="103" spans="1:38" x14ac:dyDescent="0.35">
      <c r="A103" s="2">
        <v>1</v>
      </c>
      <c r="B103" s="15">
        <v>0.40972222222222221</v>
      </c>
      <c r="C103" s="21" t="s">
        <v>130</v>
      </c>
      <c r="Y103" s="16" t="s">
        <v>202</v>
      </c>
      <c r="Z103" s="16" t="s">
        <v>207</v>
      </c>
      <c r="AA103" s="16" t="s">
        <v>210</v>
      </c>
      <c r="AB103" s="16" t="s">
        <v>186</v>
      </c>
      <c r="AC103" s="16" t="s">
        <v>163</v>
      </c>
      <c r="AD103" s="16" t="s">
        <v>186</v>
      </c>
      <c r="AE103" s="16" t="s">
        <v>186</v>
      </c>
      <c r="AF103" s="5" t="s">
        <v>204</v>
      </c>
      <c r="AG103" s="5" t="s">
        <v>192</v>
      </c>
      <c r="AH103" s="5" t="s">
        <v>223</v>
      </c>
      <c r="AI103" s="5" t="s">
        <v>197</v>
      </c>
      <c r="AJ103" s="5" t="s">
        <v>216</v>
      </c>
      <c r="AK103" s="7"/>
      <c r="AL103" s="7"/>
    </row>
    <row r="104" spans="1:38" x14ac:dyDescent="0.35">
      <c r="A104" s="2">
        <v>1</v>
      </c>
      <c r="B104" s="15">
        <v>0.39583333333333331</v>
      </c>
      <c r="C104" s="21" t="s">
        <v>130</v>
      </c>
      <c r="AF104" s="5" t="s">
        <v>228</v>
      </c>
      <c r="AG104" s="5" t="s">
        <v>201</v>
      </c>
      <c r="AK104" s="7"/>
      <c r="AL104" s="7"/>
    </row>
    <row r="105" spans="1:38" x14ac:dyDescent="0.35">
      <c r="A105" s="2">
        <v>1</v>
      </c>
      <c r="B105" s="15">
        <v>0.3923611111111111</v>
      </c>
      <c r="C105" s="21" t="s">
        <v>130</v>
      </c>
      <c r="Y105" s="16" t="s">
        <v>184</v>
      </c>
      <c r="Z105" s="16" t="s">
        <v>209</v>
      </c>
      <c r="AA105" s="16" t="s">
        <v>210</v>
      </c>
      <c r="AC105" s="16" t="s">
        <v>163</v>
      </c>
      <c r="AD105" s="16" t="s">
        <v>186</v>
      </c>
      <c r="AE105" s="16" t="s">
        <v>186</v>
      </c>
      <c r="AF105" s="5" t="s">
        <v>204</v>
      </c>
      <c r="AG105" s="5" t="s">
        <v>192</v>
      </c>
      <c r="AH105" s="5" t="s">
        <v>199</v>
      </c>
      <c r="AI105" s="5" t="s">
        <v>200</v>
      </c>
      <c r="AJ105" s="5" t="s">
        <v>194</v>
      </c>
      <c r="AK105" s="7"/>
      <c r="AL105" s="7"/>
    </row>
    <row r="106" spans="1:38" x14ac:dyDescent="0.35">
      <c r="A106" s="2">
        <v>1</v>
      </c>
      <c r="B106" s="15">
        <v>0.38124999999999998</v>
      </c>
      <c r="C106" s="21" t="s">
        <v>130</v>
      </c>
      <c r="Y106" s="16" t="s">
        <v>195</v>
      </c>
      <c r="Z106" s="16" t="s">
        <v>227</v>
      </c>
      <c r="AA106" s="16" t="s">
        <v>215</v>
      </c>
      <c r="AC106" s="16" t="s">
        <v>163</v>
      </c>
      <c r="AD106" s="16" t="s">
        <v>186</v>
      </c>
      <c r="AE106" s="16" t="s">
        <v>186</v>
      </c>
      <c r="AK106" s="7"/>
      <c r="AL106" s="7"/>
    </row>
    <row r="107" spans="1:38" x14ac:dyDescent="0.35">
      <c r="A107" s="2">
        <v>1</v>
      </c>
      <c r="B107" s="15">
        <v>0.37152777777777779</v>
      </c>
      <c r="C107" s="21" t="s">
        <v>130</v>
      </c>
      <c r="Y107" s="16" t="s">
        <v>184</v>
      </c>
      <c r="Z107" s="16" t="s">
        <v>229</v>
      </c>
      <c r="AA107" s="16" t="s">
        <v>186</v>
      </c>
      <c r="AC107" s="16" t="s">
        <v>163</v>
      </c>
      <c r="AD107" s="16" t="s">
        <v>186</v>
      </c>
      <c r="AE107" s="16" t="s">
        <v>186</v>
      </c>
      <c r="AF107" s="5" t="s">
        <v>198</v>
      </c>
      <c r="AG107" s="5" t="s">
        <v>201</v>
      </c>
      <c r="AH107" s="5" t="s">
        <v>222</v>
      </c>
      <c r="AK107" s="7"/>
      <c r="AL107" s="7"/>
    </row>
    <row r="108" spans="1:38" x14ac:dyDescent="0.35">
      <c r="A108" s="2">
        <v>1</v>
      </c>
      <c r="B108" s="15">
        <v>0.36249999999999999</v>
      </c>
      <c r="C108" s="21" t="s">
        <v>130</v>
      </c>
      <c r="Y108" s="16" t="s">
        <v>202</v>
      </c>
      <c r="Z108" s="16" t="s">
        <v>230</v>
      </c>
      <c r="AA108" s="16" t="s">
        <v>186</v>
      </c>
      <c r="AB108" s="16" t="s">
        <v>186</v>
      </c>
      <c r="AC108" s="16" t="s">
        <v>163</v>
      </c>
      <c r="AD108" s="16" t="s">
        <v>186</v>
      </c>
      <c r="AE108" s="16" t="s">
        <v>133</v>
      </c>
      <c r="AK108" s="7"/>
      <c r="AL108" s="7"/>
    </row>
    <row r="109" spans="1:38" x14ac:dyDescent="0.35">
      <c r="A109" s="2">
        <v>1</v>
      </c>
      <c r="B109" s="15">
        <v>0.34375</v>
      </c>
      <c r="C109" s="21" t="s">
        <v>130</v>
      </c>
      <c r="AF109" s="5" t="s">
        <v>210</v>
      </c>
      <c r="AG109" s="5" t="s">
        <v>192</v>
      </c>
      <c r="AH109" s="5" t="s">
        <v>196</v>
      </c>
      <c r="AI109" s="5" t="s">
        <v>204</v>
      </c>
      <c r="AJ109" s="5" t="s">
        <v>194</v>
      </c>
      <c r="AK109" s="7"/>
      <c r="AL109" s="7"/>
    </row>
    <row r="110" spans="1:38" x14ac:dyDescent="0.35">
      <c r="A110" s="2">
        <v>1</v>
      </c>
      <c r="B110" s="15">
        <v>0.33402777777777776</v>
      </c>
      <c r="C110" s="21" t="s">
        <v>130</v>
      </c>
      <c r="Y110" s="16" t="s">
        <v>195</v>
      </c>
      <c r="Z110" s="16" t="s">
        <v>189</v>
      </c>
      <c r="AA110" s="16" t="s">
        <v>210</v>
      </c>
      <c r="AB110" s="16" t="s">
        <v>186</v>
      </c>
      <c r="AC110" s="16" t="s">
        <v>163</v>
      </c>
      <c r="AD110" s="16" t="s">
        <v>186</v>
      </c>
      <c r="AE110" s="16" t="s">
        <v>186</v>
      </c>
      <c r="AK110" s="7"/>
      <c r="AL110" s="7"/>
    </row>
    <row r="111" spans="1:38" x14ac:dyDescent="0.35">
      <c r="A111" s="2">
        <v>1</v>
      </c>
      <c r="B111" s="15">
        <v>0.33194444444444443</v>
      </c>
      <c r="C111" s="21" t="s">
        <v>130</v>
      </c>
      <c r="Y111" s="16" t="s">
        <v>202</v>
      </c>
      <c r="Z111" s="16" t="s">
        <v>217</v>
      </c>
      <c r="AA111" s="16" t="s">
        <v>189</v>
      </c>
      <c r="AB111" s="16" t="s">
        <v>186</v>
      </c>
      <c r="AC111" s="16" t="s">
        <v>202</v>
      </c>
      <c r="AD111" s="16" t="s">
        <v>186</v>
      </c>
      <c r="AE111" s="16" t="s">
        <v>186</v>
      </c>
      <c r="AF111" s="5" t="s">
        <v>196</v>
      </c>
      <c r="AG111" s="5" t="s">
        <v>206</v>
      </c>
      <c r="AK111" s="7"/>
      <c r="AL111" s="7"/>
    </row>
    <row r="112" spans="1:38" x14ac:dyDescent="0.35">
      <c r="A112" s="2">
        <v>1</v>
      </c>
      <c r="B112" s="15">
        <v>0.32708333333333334</v>
      </c>
      <c r="C112" s="21" t="s">
        <v>130</v>
      </c>
      <c r="Y112" s="16" t="s">
        <v>202</v>
      </c>
      <c r="Z112" s="16" t="s">
        <v>196</v>
      </c>
      <c r="AA112" s="16" t="s">
        <v>193</v>
      </c>
      <c r="AB112" s="16" t="s">
        <v>186</v>
      </c>
      <c r="AC112" s="16" t="s">
        <v>187</v>
      </c>
      <c r="AD112" s="16" t="s">
        <v>186</v>
      </c>
      <c r="AE112" s="16" t="s">
        <v>186</v>
      </c>
      <c r="AK112" s="7"/>
      <c r="AL112" s="7"/>
    </row>
    <row r="113" spans="1:38" x14ac:dyDescent="0.35">
      <c r="A113" s="2">
        <v>1</v>
      </c>
      <c r="B113" s="15">
        <v>0.30208333333333331</v>
      </c>
      <c r="C113" s="21" t="s">
        <v>130</v>
      </c>
      <c r="Y113" s="16" t="s">
        <v>202</v>
      </c>
      <c r="Z113" s="16" t="s">
        <v>197</v>
      </c>
      <c r="AA113" s="16" t="s">
        <v>207</v>
      </c>
      <c r="AB113" s="16" t="s">
        <v>186</v>
      </c>
      <c r="AC113" s="16" t="s">
        <v>202</v>
      </c>
      <c r="AD113" s="16" t="s">
        <v>186</v>
      </c>
      <c r="AE113" s="16" t="s">
        <v>186</v>
      </c>
      <c r="AK113" s="7"/>
      <c r="AL113" s="7"/>
    </row>
    <row r="114" spans="1:38" x14ac:dyDescent="0.35">
      <c r="A114" s="2">
        <v>1</v>
      </c>
      <c r="B114" s="15">
        <v>0.29305555555555557</v>
      </c>
      <c r="C114" s="21" t="s">
        <v>130</v>
      </c>
      <c r="Y114" s="16" t="s">
        <v>184</v>
      </c>
      <c r="Z114" s="16" t="s">
        <v>228</v>
      </c>
      <c r="AA114" s="16" t="s">
        <v>186</v>
      </c>
      <c r="AC114" s="16" t="s">
        <v>187</v>
      </c>
      <c r="AD114" s="16" t="s">
        <v>186</v>
      </c>
      <c r="AE114" s="16" t="s">
        <v>186</v>
      </c>
      <c r="AF114" s="5" t="s">
        <v>199</v>
      </c>
      <c r="AG114" s="5" t="s">
        <v>192</v>
      </c>
      <c r="AH114" s="5" t="s">
        <v>186</v>
      </c>
      <c r="AI114" s="5" t="s">
        <v>218</v>
      </c>
      <c r="AJ114" s="5" t="s">
        <v>194</v>
      </c>
      <c r="AK114" s="7"/>
      <c r="AL114" s="7"/>
    </row>
    <row r="115" spans="1:38" x14ac:dyDescent="0.35">
      <c r="A115" s="2">
        <v>1</v>
      </c>
      <c r="B115" s="15">
        <v>0.28611111111111109</v>
      </c>
      <c r="C115" s="21" t="s">
        <v>130</v>
      </c>
      <c r="AF115" s="5" t="s">
        <v>220</v>
      </c>
      <c r="AG115" s="5" t="s">
        <v>201</v>
      </c>
      <c r="AK115" s="7"/>
      <c r="AL115" s="7"/>
    </row>
    <row r="116" spans="1:38" x14ac:dyDescent="0.35">
      <c r="A116" s="2">
        <v>1</v>
      </c>
      <c r="B116" s="15">
        <v>0.27777777777777779</v>
      </c>
      <c r="C116" s="21" t="s">
        <v>130</v>
      </c>
      <c r="Y116" s="16" t="s">
        <v>184</v>
      </c>
      <c r="Z116" s="16" t="s">
        <v>211</v>
      </c>
      <c r="AA116" s="16" t="s">
        <v>186</v>
      </c>
      <c r="AC116" s="16" t="s">
        <v>163</v>
      </c>
      <c r="AD116" s="16" t="s">
        <v>186</v>
      </c>
      <c r="AE116" s="16" t="s">
        <v>186</v>
      </c>
      <c r="AF116" s="5" t="s">
        <v>226</v>
      </c>
      <c r="AG116" s="5" t="s">
        <v>192</v>
      </c>
      <c r="AH116" s="5" t="s">
        <v>186</v>
      </c>
      <c r="AI116" s="5" t="s">
        <v>213</v>
      </c>
      <c r="AJ116" s="5" t="s">
        <v>206</v>
      </c>
      <c r="AK116" s="7"/>
      <c r="AL116" s="7"/>
    </row>
    <row r="117" spans="1:38" x14ac:dyDescent="0.35">
      <c r="A117" s="2">
        <v>1</v>
      </c>
      <c r="B117" s="15">
        <v>0.26597222222222222</v>
      </c>
      <c r="C117" s="21" t="s">
        <v>130</v>
      </c>
      <c r="Y117" s="16" t="s">
        <v>184</v>
      </c>
      <c r="Z117" s="16" t="s">
        <v>213</v>
      </c>
      <c r="AA117" s="16" t="s">
        <v>186</v>
      </c>
      <c r="AC117" s="16" t="s">
        <v>163</v>
      </c>
      <c r="AD117" s="16" t="s">
        <v>186</v>
      </c>
      <c r="AE117" s="16" t="s">
        <v>186</v>
      </c>
      <c r="AF117" s="5" t="s">
        <v>198</v>
      </c>
      <c r="AG117" s="5" t="s">
        <v>192</v>
      </c>
      <c r="AH117" s="5" t="s">
        <v>213</v>
      </c>
      <c r="AI117" s="5" t="s">
        <v>214</v>
      </c>
      <c r="AJ117" s="5" t="s">
        <v>201</v>
      </c>
      <c r="AK117" s="7"/>
      <c r="AL117" s="7"/>
    </row>
    <row r="118" spans="1:38" x14ac:dyDescent="0.35">
      <c r="A118" s="2">
        <v>1</v>
      </c>
      <c r="B118" s="15">
        <v>0.2590277777777778</v>
      </c>
      <c r="C118" s="21" t="s">
        <v>130</v>
      </c>
      <c r="Y118" s="16" t="s">
        <v>184</v>
      </c>
      <c r="Z118" s="16" t="s">
        <v>189</v>
      </c>
      <c r="AA118" s="16" t="s">
        <v>186</v>
      </c>
      <c r="AC118" s="16" t="s">
        <v>187</v>
      </c>
      <c r="AD118" s="16" t="s">
        <v>186</v>
      </c>
      <c r="AE118" s="16" t="s">
        <v>186</v>
      </c>
      <c r="AF118" s="5" t="s">
        <v>226</v>
      </c>
      <c r="AG118" s="5" t="s">
        <v>192</v>
      </c>
      <c r="AH118" s="5" t="s">
        <v>186</v>
      </c>
      <c r="AI118" s="5" t="s">
        <v>229</v>
      </c>
      <c r="AJ118" s="5" t="s">
        <v>201</v>
      </c>
      <c r="AK118" s="7"/>
      <c r="AL118" s="7"/>
    </row>
    <row r="119" spans="1:38" x14ac:dyDescent="0.35">
      <c r="A119" s="2">
        <v>1</v>
      </c>
      <c r="B119" s="15">
        <v>0.24791666666666667</v>
      </c>
      <c r="C119" s="21" t="s">
        <v>130</v>
      </c>
      <c r="Y119" s="16" t="s">
        <v>224</v>
      </c>
      <c r="Z119" s="16" t="s">
        <v>140</v>
      </c>
      <c r="AF119" s="5" t="s">
        <v>189</v>
      </c>
      <c r="AG119" s="5" t="s">
        <v>190</v>
      </c>
      <c r="AK119" s="7"/>
      <c r="AL119" s="7"/>
    </row>
    <row r="120" spans="1:38" x14ac:dyDescent="0.35">
      <c r="A120" s="2">
        <v>1</v>
      </c>
      <c r="B120" s="15">
        <v>0.24236111111111111</v>
      </c>
      <c r="C120" s="21" t="s">
        <v>130</v>
      </c>
      <c r="Y120" s="16" t="s">
        <v>202</v>
      </c>
      <c r="Z120" s="16" t="s">
        <v>219</v>
      </c>
      <c r="AA120" s="16" t="s">
        <v>210</v>
      </c>
      <c r="AB120" s="16" t="s">
        <v>186</v>
      </c>
      <c r="AC120" s="16" t="s">
        <v>202</v>
      </c>
      <c r="AD120" s="16" t="s">
        <v>186</v>
      </c>
      <c r="AE120" s="16" t="s">
        <v>186</v>
      </c>
      <c r="AF120" s="5" t="s">
        <v>217</v>
      </c>
      <c r="AG120" s="5" t="s">
        <v>192</v>
      </c>
      <c r="AH120" s="5" t="s">
        <v>196</v>
      </c>
      <c r="AI120" s="5" t="s">
        <v>191</v>
      </c>
      <c r="AJ120" s="5" t="s">
        <v>216</v>
      </c>
      <c r="AK120" s="7"/>
      <c r="AL120" s="7"/>
    </row>
    <row r="121" spans="1:38" x14ac:dyDescent="0.35">
      <c r="A121" s="2">
        <v>1</v>
      </c>
      <c r="B121" s="15">
        <v>0.22916666666666666</v>
      </c>
      <c r="C121" s="21" t="s">
        <v>130</v>
      </c>
      <c r="Y121" s="16" t="s">
        <v>184</v>
      </c>
      <c r="Z121" s="16" t="s">
        <v>191</v>
      </c>
      <c r="AA121" s="16" t="s">
        <v>207</v>
      </c>
      <c r="AC121" s="16" t="s">
        <v>163</v>
      </c>
      <c r="AD121" s="16" t="s">
        <v>186</v>
      </c>
      <c r="AE121" s="16" t="s">
        <v>186</v>
      </c>
      <c r="AF121" s="5" t="s">
        <v>210</v>
      </c>
      <c r="AG121" s="5" t="s">
        <v>192</v>
      </c>
      <c r="AH121" s="5" t="s">
        <v>186</v>
      </c>
      <c r="AI121" s="5" t="s">
        <v>217</v>
      </c>
      <c r="AJ121" s="5" t="s">
        <v>190</v>
      </c>
      <c r="AK121" s="7"/>
      <c r="AL121" s="7"/>
    </row>
    <row r="122" spans="1:38" x14ac:dyDescent="0.35">
      <c r="A122" s="2">
        <v>1</v>
      </c>
      <c r="B122" s="15">
        <v>0.22152777777777777</v>
      </c>
      <c r="C122" s="21" t="s">
        <v>130</v>
      </c>
      <c r="AF122" s="5" t="s">
        <v>218</v>
      </c>
      <c r="AG122" s="5" t="s">
        <v>216</v>
      </c>
      <c r="AK122" s="7"/>
      <c r="AL122" s="7"/>
    </row>
    <row r="123" spans="1:38" x14ac:dyDescent="0.35">
      <c r="A123" s="2">
        <v>1</v>
      </c>
      <c r="B123" s="15">
        <v>0.21388888888888888</v>
      </c>
      <c r="C123" s="21" t="s">
        <v>130</v>
      </c>
      <c r="AF123" s="5" t="s">
        <v>207</v>
      </c>
      <c r="AG123" s="5" t="s">
        <v>194</v>
      </c>
      <c r="AK123" s="7"/>
      <c r="AL123" s="7"/>
    </row>
    <row r="124" spans="1:38" x14ac:dyDescent="0.35">
      <c r="A124" s="2">
        <v>1</v>
      </c>
      <c r="B124" s="15">
        <v>0.20694444444444443</v>
      </c>
      <c r="C124" s="21" t="s">
        <v>130</v>
      </c>
      <c r="Y124" s="16" t="s">
        <v>184</v>
      </c>
      <c r="Z124" s="16" t="s">
        <v>219</v>
      </c>
      <c r="AA124" s="16" t="s">
        <v>212</v>
      </c>
      <c r="AC124" s="16" t="s">
        <v>163</v>
      </c>
      <c r="AD124" s="16" t="s">
        <v>186</v>
      </c>
      <c r="AE124" s="16" t="s">
        <v>186</v>
      </c>
      <c r="AF124" s="5" t="s">
        <v>219</v>
      </c>
      <c r="AG124" s="5" t="s">
        <v>206</v>
      </c>
      <c r="AK124" s="7"/>
      <c r="AL124" s="7"/>
    </row>
    <row r="125" spans="1:38" x14ac:dyDescent="0.35">
      <c r="A125" s="2">
        <v>1</v>
      </c>
      <c r="B125" s="15">
        <v>0.20208333333333334</v>
      </c>
      <c r="C125" s="21" t="s">
        <v>130</v>
      </c>
      <c r="AF125" s="5" t="s">
        <v>212</v>
      </c>
      <c r="AG125" s="5" t="s">
        <v>194</v>
      </c>
      <c r="AK125" s="7"/>
      <c r="AL125" s="7"/>
    </row>
    <row r="126" spans="1:38" x14ac:dyDescent="0.35">
      <c r="A126" s="2">
        <v>1</v>
      </c>
      <c r="B126" s="15">
        <v>0.19305555555555556</v>
      </c>
      <c r="C126" s="21" t="s">
        <v>130</v>
      </c>
      <c r="Y126" s="16" t="s">
        <v>184</v>
      </c>
      <c r="Z126" s="16" t="s">
        <v>225</v>
      </c>
      <c r="AA126" s="16" t="s">
        <v>186</v>
      </c>
      <c r="AC126" s="16" t="s">
        <v>187</v>
      </c>
      <c r="AD126" s="16" t="s">
        <v>186</v>
      </c>
      <c r="AE126" s="16" t="s">
        <v>186</v>
      </c>
      <c r="AF126" s="5" t="s">
        <v>193</v>
      </c>
      <c r="AG126" s="5" t="s">
        <v>231</v>
      </c>
      <c r="AH126" s="5" t="s">
        <v>186</v>
      </c>
      <c r="AI126" s="5" t="s">
        <v>212</v>
      </c>
      <c r="AJ126" s="5" t="s">
        <v>201</v>
      </c>
      <c r="AK126" s="7"/>
      <c r="AL126" s="7"/>
    </row>
    <row r="127" spans="1:38" x14ac:dyDescent="0.35">
      <c r="A127" s="2">
        <v>1</v>
      </c>
      <c r="B127" s="15">
        <v>0.18402777777777779</v>
      </c>
      <c r="C127" s="21" t="s">
        <v>130</v>
      </c>
      <c r="Y127" s="16" t="s">
        <v>224</v>
      </c>
      <c r="Z127" s="16" t="s">
        <v>131</v>
      </c>
      <c r="AF127" s="5" t="s">
        <v>199</v>
      </c>
      <c r="AG127" s="5" t="s">
        <v>192</v>
      </c>
      <c r="AH127" s="5" t="s">
        <v>212</v>
      </c>
      <c r="AI127" s="5" t="s">
        <v>198</v>
      </c>
      <c r="AJ127" s="5" t="s">
        <v>216</v>
      </c>
      <c r="AK127" s="7"/>
      <c r="AL127" s="7"/>
    </row>
    <row r="128" spans="1:38" x14ac:dyDescent="0.35">
      <c r="A128" s="2">
        <v>1</v>
      </c>
      <c r="B128" s="15">
        <v>0.17569444444444443</v>
      </c>
      <c r="C128" s="21" t="s">
        <v>130</v>
      </c>
      <c r="AF128" s="5" t="s">
        <v>188</v>
      </c>
      <c r="AG128" s="5" t="s">
        <v>194</v>
      </c>
      <c r="AK128" s="7"/>
      <c r="AL128" s="7"/>
    </row>
    <row r="129" spans="1:38" x14ac:dyDescent="0.35">
      <c r="A129" s="2">
        <v>1</v>
      </c>
      <c r="B129" s="15">
        <v>0.16319444444444445</v>
      </c>
      <c r="C129" s="21" t="s">
        <v>130</v>
      </c>
      <c r="Y129" s="16" t="s">
        <v>202</v>
      </c>
      <c r="Z129" s="16" t="s">
        <v>203</v>
      </c>
      <c r="AA129" s="16" t="s">
        <v>212</v>
      </c>
      <c r="AB129" s="16" t="s">
        <v>155</v>
      </c>
      <c r="AC129" s="16" t="s">
        <v>163</v>
      </c>
      <c r="AD129" s="16" t="s">
        <v>186</v>
      </c>
      <c r="AE129" s="16" t="s">
        <v>186</v>
      </c>
      <c r="AF129" s="5" t="s">
        <v>215</v>
      </c>
      <c r="AG129" s="5" t="s">
        <v>192</v>
      </c>
      <c r="AH129" s="5" t="s">
        <v>186</v>
      </c>
      <c r="AI129" s="5" t="s">
        <v>232</v>
      </c>
      <c r="AJ129" s="5" t="s">
        <v>190</v>
      </c>
      <c r="AK129" s="7"/>
      <c r="AL129" s="7"/>
    </row>
    <row r="130" spans="1:38" x14ac:dyDescent="0.35">
      <c r="A130" s="2">
        <v>1</v>
      </c>
      <c r="B130" s="15">
        <v>0.15277777777777779</v>
      </c>
      <c r="C130" s="21" t="s">
        <v>130</v>
      </c>
      <c r="Y130" s="16" t="s">
        <v>184</v>
      </c>
      <c r="Z130" s="16" t="s">
        <v>217</v>
      </c>
      <c r="AA130" s="16" t="s">
        <v>186</v>
      </c>
      <c r="AC130" s="16" t="s">
        <v>163</v>
      </c>
      <c r="AD130" s="16" t="s">
        <v>186</v>
      </c>
      <c r="AE130" s="16" t="s">
        <v>186</v>
      </c>
      <c r="AF130" s="5" t="s">
        <v>223</v>
      </c>
      <c r="AG130" s="5" t="s">
        <v>216</v>
      </c>
      <c r="AK130" s="7"/>
      <c r="AL130" s="7"/>
    </row>
    <row r="131" spans="1:38" x14ac:dyDescent="0.35">
      <c r="A131" s="2">
        <v>1</v>
      </c>
      <c r="B131" s="15">
        <v>0.14444444444444443</v>
      </c>
      <c r="C131" s="21" t="s">
        <v>130</v>
      </c>
      <c r="AF131" s="5" t="s">
        <v>223</v>
      </c>
      <c r="AG131" s="5" t="s">
        <v>201</v>
      </c>
      <c r="AK131" s="7"/>
      <c r="AL131" s="7"/>
    </row>
    <row r="132" spans="1:38" x14ac:dyDescent="0.35">
      <c r="A132" s="2">
        <v>1</v>
      </c>
      <c r="B132" s="15">
        <v>0.13541666666666666</v>
      </c>
      <c r="C132" s="21" t="s">
        <v>130</v>
      </c>
      <c r="Y132" s="16" t="s">
        <v>184</v>
      </c>
      <c r="Z132" s="16" t="s">
        <v>233</v>
      </c>
      <c r="AA132" s="16" t="s">
        <v>207</v>
      </c>
      <c r="AC132" s="16" t="s">
        <v>163</v>
      </c>
      <c r="AD132" s="16" t="s">
        <v>186</v>
      </c>
      <c r="AE132" s="16" t="s">
        <v>186</v>
      </c>
      <c r="AF132" s="5" t="s">
        <v>218</v>
      </c>
      <c r="AG132" s="5" t="s">
        <v>194</v>
      </c>
      <c r="AK132" s="7"/>
      <c r="AL132" s="7"/>
    </row>
    <row r="133" spans="1:38" x14ac:dyDescent="0.35">
      <c r="A133" s="2">
        <v>1</v>
      </c>
      <c r="B133" s="15">
        <v>0.12777777777777777</v>
      </c>
      <c r="C133" s="21" t="s">
        <v>130</v>
      </c>
      <c r="Y133" s="16" t="s">
        <v>184</v>
      </c>
      <c r="Z133" s="16" t="s">
        <v>210</v>
      </c>
      <c r="AA133" s="16" t="s">
        <v>186</v>
      </c>
      <c r="AC133" s="16" t="s">
        <v>187</v>
      </c>
      <c r="AD133" s="16" t="s">
        <v>186</v>
      </c>
      <c r="AE133" s="16" t="s">
        <v>186</v>
      </c>
      <c r="AF133" s="5" t="s">
        <v>207</v>
      </c>
      <c r="AG133" s="5" t="s">
        <v>201</v>
      </c>
      <c r="AK133" s="7"/>
      <c r="AL133" s="7"/>
    </row>
    <row r="134" spans="1:38" x14ac:dyDescent="0.35">
      <c r="A134" s="2">
        <v>1</v>
      </c>
      <c r="B134" s="15">
        <v>0.11874999999999999</v>
      </c>
      <c r="C134" s="21" t="s">
        <v>130</v>
      </c>
      <c r="Y134" s="16" t="s">
        <v>184</v>
      </c>
      <c r="Z134" s="16" t="s">
        <v>218</v>
      </c>
      <c r="AA134" s="16" t="s">
        <v>186</v>
      </c>
      <c r="AC134" s="16" t="s">
        <v>163</v>
      </c>
      <c r="AD134" s="16" t="s">
        <v>186</v>
      </c>
      <c r="AE134" s="16" t="s">
        <v>186</v>
      </c>
      <c r="AK134" s="7"/>
      <c r="AL134" s="7"/>
    </row>
    <row r="135" spans="1:38" x14ac:dyDescent="0.35">
      <c r="A135" s="2">
        <v>1</v>
      </c>
      <c r="B135" s="15">
        <v>0.10902777777777778</v>
      </c>
      <c r="C135" s="21" t="s">
        <v>130</v>
      </c>
      <c r="Y135" s="16" t="s">
        <v>184</v>
      </c>
      <c r="Z135" s="16" t="s">
        <v>223</v>
      </c>
      <c r="AA135" s="16" t="s">
        <v>186</v>
      </c>
      <c r="AC135" s="16" t="s">
        <v>163</v>
      </c>
      <c r="AD135" s="16" t="s">
        <v>186</v>
      </c>
      <c r="AE135" s="16" t="s">
        <v>186</v>
      </c>
      <c r="AF135" s="5" t="s">
        <v>193</v>
      </c>
      <c r="AG135" s="5" t="s">
        <v>201</v>
      </c>
      <c r="AK135" s="7"/>
      <c r="AL135" s="7"/>
    </row>
    <row r="136" spans="1:38" x14ac:dyDescent="0.35">
      <c r="A136" s="2">
        <v>1</v>
      </c>
      <c r="B136" s="15">
        <v>9.375E-2</v>
      </c>
      <c r="C136" s="21" t="s">
        <v>130</v>
      </c>
      <c r="Y136" s="16" t="s">
        <v>184</v>
      </c>
      <c r="Z136" s="16" t="s">
        <v>219</v>
      </c>
      <c r="AA136" s="16" t="s">
        <v>212</v>
      </c>
      <c r="AC136" s="16" t="s">
        <v>163</v>
      </c>
      <c r="AD136" s="16" t="s">
        <v>186</v>
      </c>
      <c r="AE136" s="16" t="s">
        <v>186</v>
      </c>
      <c r="AF136" s="5" t="s">
        <v>193</v>
      </c>
      <c r="AG136" s="5" t="s">
        <v>192</v>
      </c>
      <c r="AH136" s="5" t="s">
        <v>221</v>
      </c>
      <c r="AI136" s="5" t="s">
        <v>212</v>
      </c>
      <c r="AJ136" s="5" t="s">
        <v>190</v>
      </c>
      <c r="AK136" s="7"/>
      <c r="AL136" s="7"/>
    </row>
    <row r="137" spans="1:38" x14ac:dyDescent="0.35">
      <c r="A137" s="2">
        <v>1</v>
      </c>
      <c r="B137" s="15">
        <v>8.611111111111111E-2</v>
      </c>
      <c r="C137" s="21" t="s">
        <v>130</v>
      </c>
      <c r="Y137" s="16" t="s">
        <v>184</v>
      </c>
      <c r="Z137" s="16" t="s">
        <v>200</v>
      </c>
      <c r="AA137" s="16" t="s">
        <v>186</v>
      </c>
      <c r="AC137" s="16" t="s">
        <v>202</v>
      </c>
      <c r="AD137" s="16" t="s">
        <v>186</v>
      </c>
      <c r="AE137" s="16" t="s">
        <v>186</v>
      </c>
      <c r="AF137" s="5" t="s">
        <v>189</v>
      </c>
      <c r="AG137" s="5" t="s">
        <v>192</v>
      </c>
      <c r="AH137" s="5" t="s">
        <v>186</v>
      </c>
      <c r="AI137" s="5" t="s">
        <v>219</v>
      </c>
      <c r="AJ137" s="5" t="s">
        <v>190</v>
      </c>
      <c r="AK137" s="7"/>
      <c r="AL137" s="7"/>
    </row>
    <row r="138" spans="1:38" x14ac:dyDescent="0.35">
      <c r="A138" s="2">
        <v>1</v>
      </c>
      <c r="B138" s="15">
        <v>8.1250000000000003E-2</v>
      </c>
      <c r="C138" s="21" t="s">
        <v>130</v>
      </c>
      <c r="Y138" s="16" t="s">
        <v>202</v>
      </c>
      <c r="Z138" s="16" t="s">
        <v>196</v>
      </c>
      <c r="AA138" s="16" t="s">
        <v>232</v>
      </c>
      <c r="AB138" s="16" t="s">
        <v>186</v>
      </c>
      <c r="AC138" s="16" t="s">
        <v>187</v>
      </c>
      <c r="AD138" s="16" t="s">
        <v>186</v>
      </c>
      <c r="AE138" s="16" t="s">
        <v>186</v>
      </c>
      <c r="AF138" s="5" t="s">
        <v>200</v>
      </c>
      <c r="AG138" s="5" t="s">
        <v>192</v>
      </c>
      <c r="AH138" s="5" t="s">
        <v>186</v>
      </c>
      <c r="AI138" s="5" t="s">
        <v>215</v>
      </c>
      <c r="AJ138" s="5" t="s">
        <v>190</v>
      </c>
      <c r="AK138" s="7"/>
      <c r="AL138" s="7"/>
    </row>
    <row r="139" spans="1:38" x14ac:dyDescent="0.35">
      <c r="A139" s="2">
        <v>1</v>
      </c>
      <c r="B139" s="15">
        <v>7.6388888888888895E-2</v>
      </c>
      <c r="C139" s="21" t="s">
        <v>130</v>
      </c>
      <c r="Y139" s="16" t="s">
        <v>184</v>
      </c>
      <c r="Z139" s="16" t="s">
        <v>197</v>
      </c>
      <c r="AA139" s="16" t="s">
        <v>186</v>
      </c>
      <c r="AC139" s="16" t="s">
        <v>187</v>
      </c>
      <c r="AD139" s="16" t="s">
        <v>186</v>
      </c>
      <c r="AE139" s="16" t="s">
        <v>186</v>
      </c>
      <c r="AF139" s="5" t="s">
        <v>198</v>
      </c>
      <c r="AG139" s="5" t="s">
        <v>192</v>
      </c>
      <c r="AH139" s="5" t="s">
        <v>186</v>
      </c>
      <c r="AI139" s="5" t="s">
        <v>230</v>
      </c>
      <c r="AJ139" s="5" t="s">
        <v>201</v>
      </c>
      <c r="AK139" s="7"/>
      <c r="AL139" s="7"/>
    </row>
    <row r="140" spans="1:38" x14ac:dyDescent="0.35">
      <c r="A140" s="2">
        <v>1</v>
      </c>
      <c r="B140" s="15">
        <v>5.5555555555555552E-2</v>
      </c>
      <c r="C140" s="21" t="s">
        <v>130</v>
      </c>
      <c r="AF140" s="5" t="s">
        <v>204</v>
      </c>
      <c r="AG140" s="5" t="s">
        <v>201</v>
      </c>
      <c r="AK140" s="7"/>
      <c r="AL140" s="7"/>
    </row>
    <row r="141" spans="1:38" x14ac:dyDescent="0.35">
      <c r="A141" s="2">
        <v>1</v>
      </c>
      <c r="B141" s="15">
        <v>4.8611111111111112E-2</v>
      </c>
      <c r="C141" s="21" t="s">
        <v>130</v>
      </c>
      <c r="Y141" s="16" t="s">
        <v>184</v>
      </c>
      <c r="Z141" s="16" t="s">
        <v>210</v>
      </c>
      <c r="AA141" s="16" t="s">
        <v>186</v>
      </c>
      <c r="AC141" s="16" t="s">
        <v>187</v>
      </c>
      <c r="AD141" s="16" t="s">
        <v>233</v>
      </c>
      <c r="AE141" s="16" t="s">
        <v>186</v>
      </c>
      <c r="AK141" s="7"/>
      <c r="AL141" s="7"/>
    </row>
    <row r="142" spans="1:38" x14ac:dyDescent="0.35">
      <c r="A142" s="2">
        <v>1</v>
      </c>
      <c r="B142" s="15">
        <v>3.9583333333333331E-2</v>
      </c>
      <c r="C142" s="21" t="s">
        <v>130</v>
      </c>
      <c r="Y142" s="16" t="s">
        <v>202</v>
      </c>
      <c r="Z142" s="16" t="s">
        <v>209</v>
      </c>
      <c r="AA142" s="16" t="s">
        <v>186</v>
      </c>
      <c r="AB142" s="16" t="s">
        <v>155</v>
      </c>
      <c r="AC142" s="16" t="s">
        <v>163</v>
      </c>
      <c r="AD142" s="16" t="s">
        <v>186</v>
      </c>
      <c r="AE142" s="16" t="s">
        <v>155</v>
      </c>
      <c r="AF142" s="5" t="s">
        <v>225</v>
      </c>
      <c r="AG142" s="5" t="s">
        <v>201</v>
      </c>
      <c r="AH142" s="5" t="s">
        <v>227</v>
      </c>
      <c r="AK142" s="7"/>
      <c r="AL142" s="7"/>
    </row>
    <row r="143" spans="1:38" x14ac:dyDescent="0.35">
      <c r="A143" s="2">
        <v>1</v>
      </c>
      <c r="B143" s="15">
        <v>9.0277777777777769E-3</v>
      </c>
      <c r="C143" s="21" t="s">
        <v>130</v>
      </c>
      <c r="Y143" s="16" t="s">
        <v>202</v>
      </c>
      <c r="Z143" s="16" t="s">
        <v>218</v>
      </c>
      <c r="AA143" s="16" t="s">
        <v>210</v>
      </c>
      <c r="AB143" s="16" t="s">
        <v>186</v>
      </c>
      <c r="AC143" s="16" t="s">
        <v>187</v>
      </c>
      <c r="AD143" s="16" t="s">
        <v>186</v>
      </c>
      <c r="AE143" s="16" t="s">
        <v>186</v>
      </c>
      <c r="AK143" s="7"/>
      <c r="AL143" s="7"/>
    </row>
    <row r="144" spans="1:38" x14ac:dyDescent="0.35">
      <c r="A144" s="2">
        <v>2</v>
      </c>
      <c r="B144" s="15">
        <v>0.83125000000000004</v>
      </c>
      <c r="C144" s="21" t="s">
        <v>130</v>
      </c>
      <c r="Y144" s="16" t="s">
        <v>184</v>
      </c>
      <c r="Z144" s="16" t="s">
        <v>193</v>
      </c>
      <c r="AA144" s="16" t="s">
        <v>186</v>
      </c>
      <c r="AC144" s="16" t="s">
        <v>163</v>
      </c>
      <c r="AD144" s="16" t="s">
        <v>186</v>
      </c>
      <c r="AE144" s="16" t="s">
        <v>186</v>
      </c>
      <c r="AF144" s="5" t="s">
        <v>196</v>
      </c>
      <c r="AG144" s="5" t="s">
        <v>190</v>
      </c>
      <c r="AK144" s="7"/>
      <c r="AL144" s="7"/>
    </row>
    <row r="145" spans="1:38" x14ac:dyDescent="0.35">
      <c r="A145" s="2">
        <v>2</v>
      </c>
      <c r="B145" s="15">
        <v>0.82291666666666663</v>
      </c>
      <c r="C145" s="21" t="s">
        <v>130</v>
      </c>
      <c r="Y145" s="16" t="s">
        <v>195</v>
      </c>
      <c r="Z145" s="16" t="s">
        <v>219</v>
      </c>
      <c r="AA145" s="16" t="s">
        <v>217</v>
      </c>
      <c r="AC145" s="16" t="s">
        <v>202</v>
      </c>
      <c r="AD145" s="16" t="s">
        <v>186</v>
      </c>
      <c r="AE145" s="16" t="s">
        <v>186</v>
      </c>
      <c r="AF145" s="5" t="s">
        <v>193</v>
      </c>
      <c r="AG145" s="5" t="s">
        <v>192</v>
      </c>
      <c r="AH145" s="5" t="s">
        <v>186</v>
      </c>
      <c r="AI145" s="5" t="s">
        <v>191</v>
      </c>
      <c r="AJ145" s="5" t="s">
        <v>190</v>
      </c>
      <c r="AK145" s="7"/>
      <c r="AL145" s="7"/>
    </row>
    <row r="146" spans="1:38" x14ac:dyDescent="0.35">
      <c r="A146" s="2">
        <v>2</v>
      </c>
      <c r="B146" s="15">
        <v>0.81111111111111112</v>
      </c>
      <c r="C146" s="21" t="s">
        <v>130</v>
      </c>
      <c r="Y146" s="16" t="s">
        <v>184</v>
      </c>
      <c r="Z146" s="16" t="s">
        <v>233</v>
      </c>
      <c r="AA146" s="16" t="s">
        <v>223</v>
      </c>
      <c r="AC146" s="16" t="s">
        <v>187</v>
      </c>
      <c r="AD146" s="16" t="s">
        <v>186</v>
      </c>
      <c r="AE146" s="16" t="s">
        <v>186</v>
      </c>
      <c r="AF146" s="5" t="s">
        <v>189</v>
      </c>
      <c r="AG146" s="5" t="s">
        <v>190</v>
      </c>
      <c r="AK146" s="7"/>
      <c r="AL146" s="7"/>
    </row>
    <row r="147" spans="1:38" x14ac:dyDescent="0.35">
      <c r="A147" s="2">
        <v>2</v>
      </c>
      <c r="B147" s="15">
        <v>0.80555555555555558</v>
      </c>
      <c r="C147" s="21" t="s">
        <v>130</v>
      </c>
      <c r="Y147" s="16" t="s">
        <v>202</v>
      </c>
      <c r="Z147" s="16" t="s">
        <v>196</v>
      </c>
      <c r="AA147" s="16" t="s">
        <v>212</v>
      </c>
      <c r="AB147" s="16" t="s">
        <v>186</v>
      </c>
      <c r="AC147" s="16" t="s">
        <v>163</v>
      </c>
      <c r="AD147" s="16" t="s">
        <v>186</v>
      </c>
      <c r="AE147" s="16" t="s">
        <v>186</v>
      </c>
      <c r="AF147" s="5" t="s">
        <v>217</v>
      </c>
      <c r="AG147" s="5" t="s">
        <v>206</v>
      </c>
      <c r="AK147" s="7"/>
      <c r="AL147" s="7"/>
    </row>
    <row r="148" spans="1:38" x14ac:dyDescent="0.35">
      <c r="A148" s="2">
        <v>2</v>
      </c>
      <c r="B148" s="15">
        <v>0.79236111111111107</v>
      </c>
      <c r="C148" s="21" t="s">
        <v>130</v>
      </c>
      <c r="Y148" s="16" t="s">
        <v>184</v>
      </c>
      <c r="Z148" s="16" t="s">
        <v>203</v>
      </c>
      <c r="AA148" s="16" t="s">
        <v>232</v>
      </c>
      <c r="AC148" s="16" t="s">
        <v>187</v>
      </c>
      <c r="AD148" s="16" t="s">
        <v>186</v>
      </c>
      <c r="AE148" s="16" t="s">
        <v>186</v>
      </c>
      <c r="AF148" s="5" t="s">
        <v>226</v>
      </c>
      <c r="AG148" s="5" t="s">
        <v>216</v>
      </c>
      <c r="AK148" s="7"/>
      <c r="AL148" s="7"/>
    </row>
    <row r="149" spans="1:38" x14ac:dyDescent="0.35">
      <c r="A149" s="2">
        <v>2</v>
      </c>
      <c r="B149" s="15">
        <v>0.78125</v>
      </c>
      <c r="C149" s="21" t="s">
        <v>130</v>
      </c>
      <c r="Y149" s="16" t="s">
        <v>202</v>
      </c>
      <c r="Z149" s="16" t="s">
        <v>197</v>
      </c>
      <c r="AA149" s="16" t="s">
        <v>203</v>
      </c>
      <c r="AB149" s="16" t="s">
        <v>186</v>
      </c>
      <c r="AC149" s="16" t="s">
        <v>163</v>
      </c>
      <c r="AD149" s="16" t="s">
        <v>186</v>
      </c>
      <c r="AE149" s="16" t="s">
        <v>186</v>
      </c>
      <c r="AF149" s="5" t="s">
        <v>197</v>
      </c>
      <c r="AG149" s="5" t="s">
        <v>192</v>
      </c>
      <c r="AH149" s="5" t="s">
        <v>186</v>
      </c>
      <c r="AI149" s="5" t="s">
        <v>200</v>
      </c>
      <c r="AJ149" s="5" t="s">
        <v>190</v>
      </c>
      <c r="AK149" s="7"/>
      <c r="AL149" s="7"/>
    </row>
    <row r="150" spans="1:38" x14ac:dyDescent="0.35">
      <c r="A150" s="2">
        <v>2</v>
      </c>
      <c r="B150" s="15">
        <v>0.77152777777777781</v>
      </c>
      <c r="C150" s="21" t="s">
        <v>130</v>
      </c>
      <c r="AF150" s="5" t="s">
        <v>234</v>
      </c>
      <c r="AG150" s="5" t="s">
        <v>206</v>
      </c>
      <c r="AK150" s="7"/>
      <c r="AL150" s="7"/>
    </row>
    <row r="151" spans="1:38" x14ac:dyDescent="0.35">
      <c r="A151" s="2">
        <v>2</v>
      </c>
      <c r="B151" s="15">
        <v>0.76944444444444449</v>
      </c>
      <c r="C151" s="21" t="s">
        <v>130</v>
      </c>
      <c r="Y151" s="16" t="s">
        <v>202</v>
      </c>
      <c r="Z151" s="16" t="s">
        <v>198</v>
      </c>
      <c r="AA151" s="16" t="s">
        <v>215</v>
      </c>
      <c r="AB151" s="16" t="s">
        <v>186</v>
      </c>
      <c r="AC151" s="16" t="s">
        <v>202</v>
      </c>
      <c r="AD151" s="16" t="s">
        <v>186</v>
      </c>
      <c r="AE151" s="16" t="s">
        <v>186</v>
      </c>
      <c r="AK151" s="7"/>
      <c r="AL151" s="7"/>
    </row>
    <row r="152" spans="1:38" x14ac:dyDescent="0.35">
      <c r="A152" s="2">
        <v>2</v>
      </c>
      <c r="B152" s="15">
        <v>0.75347222222222221</v>
      </c>
      <c r="C152" s="21" t="s">
        <v>160</v>
      </c>
      <c r="Y152" s="16" t="s">
        <v>202</v>
      </c>
      <c r="Z152" s="16" t="s">
        <v>209</v>
      </c>
      <c r="AA152" s="16" t="s">
        <v>193</v>
      </c>
      <c r="AB152" s="16" t="s">
        <v>155</v>
      </c>
      <c r="AC152" s="16" t="s">
        <v>187</v>
      </c>
      <c r="AD152" s="16" t="s">
        <v>186</v>
      </c>
      <c r="AE152" s="16" t="s">
        <v>133</v>
      </c>
      <c r="AK152" s="7"/>
      <c r="AL152" s="7"/>
    </row>
    <row r="153" spans="1:38" x14ac:dyDescent="0.35">
      <c r="A153" s="2">
        <v>2</v>
      </c>
      <c r="B153" s="15">
        <v>0.73402777777777772</v>
      </c>
      <c r="C153" s="21" t="s">
        <v>160</v>
      </c>
      <c r="Y153" s="16" t="s">
        <v>184</v>
      </c>
      <c r="Z153" s="16" t="s">
        <v>209</v>
      </c>
      <c r="AA153" s="16" t="s">
        <v>215</v>
      </c>
      <c r="AB153" s="16" t="s">
        <v>186</v>
      </c>
      <c r="AC153" s="16" t="s">
        <v>187</v>
      </c>
      <c r="AD153" s="16" t="s">
        <v>186</v>
      </c>
      <c r="AE153" s="16" t="s">
        <v>186</v>
      </c>
      <c r="AK153" s="7"/>
      <c r="AL153" s="7"/>
    </row>
    <row r="154" spans="1:38" x14ac:dyDescent="0.35">
      <c r="A154" s="2">
        <v>2</v>
      </c>
      <c r="B154" s="15">
        <v>0.68055555555555558</v>
      </c>
      <c r="C154" s="21" t="s">
        <v>161</v>
      </c>
      <c r="Y154" s="16" t="s">
        <v>202</v>
      </c>
      <c r="Z154" s="16" t="s">
        <v>199</v>
      </c>
      <c r="AA154" s="16" t="s">
        <v>186</v>
      </c>
      <c r="AB154" s="16" t="s">
        <v>186</v>
      </c>
      <c r="AC154" s="16" t="s">
        <v>187</v>
      </c>
      <c r="AD154" s="16" t="s">
        <v>186</v>
      </c>
      <c r="AE154" s="16" t="s">
        <v>186</v>
      </c>
      <c r="AK154" s="7"/>
      <c r="AL154" s="7"/>
    </row>
    <row r="155" spans="1:38" x14ac:dyDescent="0.35">
      <c r="A155" s="2">
        <v>2</v>
      </c>
      <c r="B155" s="15">
        <v>0.67013888888888884</v>
      </c>
      <c r="C155" s="21" t="s">
        <v>160</v>
      </c>
      <c r="Y155" s="16" t="s">
        <v>202</v>
      </c>
      <c r="Z155" s="16" t="s">
        <v>191</v>
      </c>
      <c r="AA155" s="16" t="s">
        <v>199</v>
      </c>
      <c r="AB155" s="16" t="s">
        <v>155</v>
      </c>
      <c r="AC155" s="16" t="s">
        <v>163</v>
      </c>
      <c r="AD155" s="16" t="s">
        <v>186</v>
      </c>
      <c r="AE155" s="16" t="s">
        <v>155</v>
      </c>
      <c r="AK155" s="7"/>
      <c r="AL155" s="7"/>
    </row>
    <row r="156" spans="1:38" x14ac:dyDescent="0.35">
      <c r="A156" s="2">
        <v>2</v>
      </c>
      <c r="B156" s="15">
        <v>0.66319444444444442</v>
      </c>
      <c r="C156" s="21" t="s">
        <v>130</v>
      </c>
      <c r="Y156" s="16" t="s">
        <v>195</v>
      </c>
      <c r="Z156" s="16" t="s">
        <v>200</v>
      </c>
      <c r="AA156" s="16" t="s">
        <v>186</v>
      </c>
      <c r="AC156" s="16" t="s">
        <v>187</v>
      </c>
      <c r="AD156" s="16" t="s">
        <v>186</v>
      </c>
      <c r="AE156" s="16" t="s">
        <v>186</v>
      </c>
      <c r="AK156" s="7"/>
      <c r="AL156" s="7"/>
    </row>
    <row r="157" spans="1:38" x14ac:dyDescent="0.35">
      <c r="A157" s="2">
        <v>2</v>
      </c>
      <c r="B157" s="15">
        <v>0.65416666666666667</v>
      </c>
      <c r="C157" s="21" t="s">
        <v>130</v>
      </c>
      <c r="Y157" s="16" t="s">
        <v>184</v>
      </c>
      <c r="Z157" s="16" t="s">
        <v>200</v>
      </c>
      <c r="AA157" s="16" t="s">
        <v>218</v>
      </c>
      <c r="AC157" s="16" t="s">
        <v>187</v>
      </c>
      <c r="AD157" s="16" t="s">
        <v>186</v>
      </c>
      <c r="AE157" s="16" t="s">
        <v>186</v>
      </c>
      <c r="AF157" s="5" t="s">
        <v>207</v>
      </c>
      <c r="AG157" s="5" t="s">
        <v>216</v>
      </c>
      <c r="AH157" s="5" t="s">
        <v>228</v>
      </c>
      <c r="AK157" s="7"/>
      <c r="AL157" s="7"/>
    </row>
    <row r="158" spans="1:38" x14ac:dyDescent="0.35">
      <c r="A158" s="2">
        <v>2</v>
      </c>
      <c r="B158" s="15">
        <v>0.64166666666666672</v>
      </c>
      <c r="C158" s="21" t="s">
        <v>130</v>
      </c>
      <c r="AF158" s="5" t="s">
        <v>218</v>
      </c>
      <c r="AG158" s="5" t="s">
        <v>201</v>
      </c>
      <c r="AK158" s="7"/>
      <c r="AL158" s="7"/>
    </row>
    <row r="159" spans="1:38" x14ac:dyDescent="0.35">
      <c r="A159" s="2">
        <v>2</v>
      </c>
      <c r="B159" s="15">
        <v>0.63541666666666663</v>
      </c>
      <c r="C159" s="21" t="s">
        <v>130</v>
      </c>
      <c r="Y159" s="16" t="s">
        <v>184</v>
      </c>
      <c r="Z159" s="16" t="s">
        <v>205</v>
      </c>
      <c r="AA159" s="16" t="s">
        <v>186</v>
      </c>
      <c r="AB159" s="16" t="s">
        <v>186</v>
      </c>
      <c r="AC159" s="16" t="s">
        <v>202</v>
      </c>
      <c r="AD159" s="16" t="s">
        <v>186</v>
      </c>
      <c r="AE159" s="16" t="s">
        <v>186</v>
      </c>
      <c r="AF159" s="5" t="s">
        <v>230</v>
      </c>
      <c r="AG159" s="5" t="s">
        <v>201</v>
      </c>
      <c r="AK159" s="7"/>
      <c r="AL159" s="7"/>
    </row>
    <row r="160" spans="1:38" x14ac:dyDescent="0.35">
      <c r="A160" s="2">
        <v>2</v>
      </c>
      <c r="B160" s="15">
        <v>0.62777777777777777</v>
      </c>
      <c r="C160" s="21" t="s">
        <v>130</v>
      </c>
      <c r="Y160" s="16" t="s">
        <v>195</v>
      </c>
      <c r="Z160" s="16" t="s">
        <v>221</v>
      </c>
      <c r="AA160" s="16" t="s">
        <v>193</v>
      </c>
      <c r="AC160" s="16" t="s">
        <v>202</v>
      </c>
      <c r="AD160" s="16" t="s">
        <v>186</v>
      </c>
      <c r="AE160" s="16" t="s">
        <v>186</v>
      </c>
      <c r="AK160" s="7"/>
      <c r="AL160" s="7"/>
    </row>
    <row r="161" spans="1:38" x14ac:dyDescent="0.35">
      <c r="A161" s="2">
        <v>2</v>
      </c>
      <c r="B161" s="15">
        <v>0.62430555555555556</v>
      </c>
      <c r="C161" s="21" t="s">
        <v>130</v>
      </c>
      <c r="Y161" s="16" t="s">
        <v>184</v>
      </c>
      <c r="Z161" s="16" t="s">
        <v>197</v>
      </c>
      <c r="AA161" s="16" t="s">
        <v>186</v>
      </c>
      <c r="AC161" s="16" t="s">
        <v>202</v>
      </c>
      <c r="AD161" s="16" t="s">
        <v>186</v>
      </c>
      <c r="AE161" s="16" t="s">
        <v>186</v>
      </c>
      <c r="AF161" s="5" t="s">
        <v>188</v>
      </c>
      <c r="AG161" s="5" t="s">
        <v>206</v>
      </c>
      <c r="AK161" s="7"/>
      <c r="AL161" s="7"/>
    </row>
    <row r="162" spans="1:38" x14ac:dyDescent="0.35">
      <c r="A162" s="2">
        <v>2</v>
      </c>
      <c r="B162" s="15">
        <v>0.6166666666666667</v>
      </c>
      <c r="C162" s="21" t="s">
        <v>130</v>
      </c>
      <c r="Y162" s="16" t="s">
        <v>202</v>
      </c>
      <c r="Z162" s="16" t="s">
        <v>188</v>
      </c>
      <c r="AA162" s="16" t="s">
        <v>193</v>
      </c>
      <c r="AB162" s="16" t="s">
        <v>155</v>
      </c>
      <c r="AC162" s="16" t="s">
        <v>187</v>
      </c>
      <c r="AD162" s="16" t="s">
        <v>186</v>
      </c>
      <c r="AE162" s="16" t="s">
        <v>186</v>
      </c>
      <c r="AK162" s="7"/>
      <c r="AL162" s="7"/>
    </row>
    <row r="163" spans="1:38" x14ac:dyDescent="0.35">
      <c r="A163" s="2">
        <v>2</v>
      </c>
      <c r="B163" s="15">
        <v>0.60972222222222228</v>
      </c>
      <c r="C163" s="21" t="s">
        <v>130</v>
      </c>
      <c r="Y163" s="16" t="s">
        <v>184</v>
      </c>
      <c r="Z163" s="16" t="s">
        <v>225</v>
      </c>
      <c r="AA163" s="16" t="s">
        <v>189</v>
      </c>
      <c r="AC163" s="16" t="s">
        <v>187</v>
      </c>
      <c r="AD163" s="16" t="s">
        <v>186</v>
      </c>
      <c r="AE163" s="16" t="s">
        <v>186</v>
      </c>
      <c r="AK163" s="7"/>
      <c r="AL163" s="7"/>
    </row>
    <row r="164" spans="1:38" x14ac:dyDescent="0.35">
      <c r="A164" s="2">
        <v>2</v>
      </c>
      <c r="B164" s="15">
        <v>0.60347222222222219</v>
      </c>
      <c r="C164" s="21" t="s">
        <v>130</v>
      </c>
      <c r="Y164" s="16" t="s">
        <v>202</v>
      </c>
      <c r="Z164" s="16" t="s">
        <v>189</v>
      </c>
      <c r="AA164" s="16" t="s">
        <v>193</v>
      </c>
      <c r="AB164" s="16" t="s">
        <v>155</v>
      </c>
      <c r="AC164" s="16" t="s">
        <v>187</v>
      </c>
      <c r="AD164" s="16" t="s">
        <v>186</v>
      </c>
      <c r="AE164" s="16" t="s">
        <v>155</v>
      </c>
      <c r="AF164" s="5" t="s">
        <v>223</v>
      </c>
      <c r="AG164" s="5" t="s">
        <v>192</v>
      </c>
      <c r="AH164" s="5" t="s">
        <v>186</v>
      </c>
      <c r="AI164" s="5" t="s">
        <v>230</v>
      </c>
      <c r="AJ164" s="5" t="s">
        <v>190</v>
      </c>
      <c r="AK164" s="7"/>
      <c r="AL164" s="7"/>
    </row>
    <row r="165" spans="1:38" x14ac:dyDescent="0.35">
      <c r="A165" s="2">
        <v>2</v>
      </c>
      <c r="B165" s="15">
        <v>0.59791666666666665</v>
      </c>
      <c r="C165" s="21" t="s">
        <v>130</v>
      </c>
      <c r="AF165" s="5" t="s">
        <v>204</v>
      </c>
      <c r="AG165" s="5" t="s">
        <v>206</v>
      </c>
      <c r="AK165" s="7"/>
      <c r="AL165" s="7"/>
    </row>
    <row r="166" spans="1:38" x14ac:dyDescent="0.35">
      <c r="A166" s="2">
        <v>2</v>
      </c>
      <c r="B166" s="15">
        <v>0.59583333333333333</v>
      </c>
      <c r="C166" s="21" t="s">
        <v>130</v>
      </c>
      <c r="Y166" s="16" t="s">
        <v>184</v>
      </c>
      <c r="Z166" s="16" t="s">
        <v>204</v>
      </c>
      <c r="AA166" s="16" t="s">
        <v>209</v>
      </c>
      <c r="AC166" s="16" t="s">
        <v>187</v>
      </c>
      <c r="AD166" s="16" t="s">
        <v>186</v>
      </c>
      <c r="AE166" s="16" t="s">
        <v>186</v>
      </c>
      <c r="AF166" s="5" t="s">
        <v>189</v>
      </c>
      <c r="AG166" s="5" t="s">
        <v>216</v>
      </c>
      <c r="AH166" s="5" t="s">
        <v>222</v>
      </c>
      <c r="AK166" s="7"/>
      <c r="AL166" s="7"/>
    </row>
    <row r="167" spans="1:38" x14ac:dyDescent="0.35">
      <c r="A167" s="2">
        <v>2</v>
      </c>
      <c r="B167" s="15">
        <v>0.5854166666666667</v>
      </c>
      <c r="C167" s="21" t="s">
        <v>130</v>
      </c>
      <c r="AF167" s="5" t="s">
        <v>189</v>
      </c>
      <c r="AG167" s="5" t="s">
        <v>192</v>
      </c>
      <c r="AH167" s="5" t="s">
        <v>229</v>
      </c>
      <c r="AI167" s="5" t="s">
        <v>209</v>
      </c>
      <c r="AJ167" s="5" t="s">
        <v>216</v>
      </c>
      <c r="AK167" s="7"/>
      <c r="AL167" s="7"/>
    </row>
    <row r="168" spans="1:38" x14ac:dyDescent="0.35">
      <c r="A168" s="2">
        <v>2</v>
      </c>
      <c r="B168" s="15">
        <v>0.58402777777777781</v>
      </c>
      <c r="C168" s="21" t="s">
        <v>130</v>
      </c>
      <c r="AF168" s="5" t="s">
        <v>223</v>
      </c>
      <c r="AG168" s="5" t="s">
        <v>216</v>
      </c>
      <c r="AK168" s="7"/>
      <c r="AL168" s="7"/>
    </row>
    <row r="169" spans="1:38" x14ac:dyDescent="0.35">
      <c r="A169" s="2">
        <v>2</v>
      </c>
      <c r="B169" s="15">
        <v>0.57430555555555551</v>
      </c>
      <c r="C169" s="21" t="s">
        <v>130</v>
      </c>
      <c r="Y169" s="16" t="s">
        <v>184</v>
      </c>
      <c r="Z169" s="16" t="s">
        <v>203</v>
      </c>
      <c r="AA169" s="16" t="s">
        <v>204</v>
      </c>
      <c r="AC169" s="16" t="s">
        <v>187</v>
      </c>
      <c r="AD169" s="16" t="s">
        <v>186</v>
      </c>
      <c r="AE169" s="16" t="s">
        <v>186</v>
      </c>
      <c r="AF169" s="5" t="s">
        <v>234</v>
      </c>
      <c r="AG169" s="5" t="s">
        <v>192</v>
      </c>
      <c r="AH169" s="5" t="s">
        <v>186</v>
      </c>
      <c r="AI169" s="5" t="s">
        <v>203</v>
      </c>
      <c r="AJ169" s="5" t="s">
        <v>206</v>
      </c>
      <c r="AK169" s="7"/>
      <c r="AL169" s="7"/>
    </row>
    <row r="170" spans="1:38" x14ac:dyDescent="0.35">
      <c r="A170" s="2">
        <v>2</v>
      </c>
      <c r="B170" s="15">
        <v>0.56597222222222221</v>
      </c>
      <c r="C170" s="21" t="s">
        <v>130</v>
      </c>
      <c r="Y170" s="16" t="s">
        <v>184</v>
      </c>
      <c r="Z170" s="16" t="s">
        <v>233</v>
      </c>
      <c r="AA170" s="16" t="s">
        <v>199</v>
      </c>
      <c r="AC170" s="16" t="s">
        <v>163</v>
      </c>
      <c r="AD170" s="16" t="s">
        <v>186</v>
      </c>
      <c r="AE170" s="16" t="s">
        <v>186</v>
      </c>
      <c r="AF170" s="5" t="s">
        <v>233</v>
      </c>
      <c r="AG170" s="5" t="s">
        <v>206</v>
      </c>
      <c r="AK170" s="7"/>
      <c r="AL170" s="7"/>
    </row>
    <row r="171" spans="1:38" x14ac:dyDescent="0.35">
      <c r="A171" s="2">
        <v>2</v>
      </c>
      <c r="B171" s="15">
        <v>0.56111111111111112</v>
      </c>
      <c r="C171" s="21" t="s">
        <v>130</v>
      </c>
      <c r="AF171" s="5" t="s">
        <v>198</v>
      </c>
      <c r="AG171" s="5" t="s">
        <v>192</v>
      </c>
      <c r="AH171" s="5" t="s">
        <v>217</v>
      </c>
      <c r="AI171" s="5" t="s">
        <v>209</v>
      </c>
      <c r="AJ171" s="5" t="s">
        <v>216</v>
      </c>
      <c r="AK171" s="7"/>
      <c r="AL171" s="7"/>
    </row>
    <row r="172" spans="1:38" x14ac:dyDescent="0.35">
      <c r="A172" s="2">
        <v>2</v>
      </c>
      <c r="B172" s="15">
        <v>0.54861111111111116</v>
      </c>
      <c r="C172" s="21" t="s">
        <v>130</v>
      </c>
      <c r="Y172" s="16" t="s">
        <v>195</v>
      </c>
      <c r="Z172" s="16" t="s">
        <v>191</v>
      </c>
      <c r="AA172" s="16" t="s">
        <v>199</v>
      </c>
      <c r="AB172" s="16" t="s">
        <v>186</v>
      </c>
      <c r="AC172" s="16" t="s">
        <v>163</v>
      </c>
      <c r="AD172" s="16" t="s">
        <v>186</v>
      </c>
      <c r="AE172" s="16" t="s">
        <v>186</v>
      </c>
      <c r="AK172" s="7"/>
      <c r="AL172" s="7"/>
    </row>
    <row r="173" spans="1:38" x14ac:dyDescent="0.35">
      <c r="A173" s="2">
        <v>2</v>
      </c>
      <c r="B173" s="15">
        <v>0.54236111111111107</v>
      </c>
      <c r="C173" s="21" t="s">
        <v>130</v>
      </c>
      <c r="AF173" s="5" t="s">
        <v>235</v>
      </c>
      <c r="AG173" s="5" t="s">
        <v>192</v>
      </c>
      <c r="AH173" s="5" t="s">
        <v>186</v>
      </c>
      <c r="AI173" s="5" t="s">
        <v>189</v>
      </c>
      <c r="AJ173" s="5" t="s">
        <v>190</v>
      </c>
      <c r="AK173" s="7"/>
      <c r="AL173" s="7"/>
    </row>
    <row r="174" spans="1:38" x14ac:dyDescent="0.35">
      <c r="A174" s="2">
        <v>2</v>
      </c>
      <c r="B174" s="15">
        <v>0.53125</v>
      </c>
      <c r="C174" s="21" t="s">
        <v>130</v>
      </c>
      <c r="Y174" s="16" t="s">
        <v>202</v>
      </c>
      <c r="Z174" s="16" t="s">
        <v>219</v>
      </c>
      <c r="AA174" s="16" t="s">
        <v>193</v>
      </c>
      <c r="AB174" s="16" t="s">
        <v>186</v>
      </c>
      <c r="AC174" s="16" t="s">
        <v>187</v>
      </c>
      <c r="AD174" s="16" t="s">
        <v>186</v>
      </c>
      <c r="AE174" s="16" t="s">
        <v>186</v>
      </c>
      <c r="AF174" s="5" t="s">
        <v>197</v>
      </c>
      <c r="AG174" s="5" t="s">
        <v>194</v>
      </c>
      <c r="AH174" s="5" t="s">
        <v>196</v>
      </c>
      <c r="AK174" s="7"/>
      <c r="AL174" s="7"/>
    </row>
    <row r="175" spans="1:38" x14ac:dyDescent="0.35">
      <c r="A175" s="2">
        <v>2</v>
      </c>
      <c r="B175" s="15">
        <v>0.51944444444444449</v>
      </c>
      <c r="C175" s="21" t="s">
        <v>130</v>
      </c>
      <c r="AF175" s="5" t="s">
        <v>200</v>
      </c>
      <c r="AG175" s="5" t="s">
        <v>216</v>
      </c>
      <c r="AK175" s="7"/>
      <c r="AL175" s="7"/>
    </row>
    <row r="176" spans="1:38" x14ac:dyDescent="0.35">
      <c r="A176" s="2">
        <v>2</v>
      </c>
      <c r="B176" s="15">
        <v>0.51666666666666672</v>
      </c>
      <c r="C176" s="21" t="s">
        <v>130</v>
      </c>
      <c r="Y176" s="16" t="s">
        <v>202</v>
      </c>
      <c r="Z176" s="16" t="s">
        <v>189</v>
      </c>
      <c r="AA176" s="16" t="s">
        <v>186</v>
      </c>
      <c r="AB176" s="16" t="s">
        <v>186</v>
      </c>
      <c r="AC176" s="16" t="s">
        <v>187</v>
      </c>
      <c r="AD176" s="16" t="s">
        <v>186</v>
      </c>
      <c r="AE176" s="16" t="s">
        <v>186</v>
      </c>
      <c r="AK176" s="7"/>
      <c r="AL176" s="7"/>
    </row>
    <row r="177" spans="1:38" x14ac:dyDescent="0.35">
      <c r="A177" s="2">
        <v>2</v>
      </c>
      <c r="B177" s="15">
        <v>0.50624999999999998</v>
      </c>
      <c r="C177" s="21" t="s">
        <v>130</v>
      </c>
      <c r="Y177" s="16" t="s">
        <v>202</v>
      </c>
      <c r="Z177" s="16" t="s">
        <v>196</v>
      </c>
      <c r="AA177" s="16" t="s">
        <v>233</v>
      </c>
      <c r="AB177" s="16" t="s">
        <v>186</v>
      </c>
      <c r="AC177" s="16" t="s">
        <v>202</v>
      </c>
      <c r="AD177" s="16" t="s">
        <v>186</v>
      </c>
      <c r="AE177" s="16" t="s">
        <v>186</v>
      </c>
      <c r="AK177" s="7"/>
      <c r="AL177" s="7"/>
    </row>
    <row r="178" spans="1:38" x14ac:dyDescent="0.35">
      <c r="A178" s="2">
        <v>2</v>
      </c>
      <c r="B178" s="15">
        <v>0.50069444444444444</v>
      </c>
      <c r="C178" s="21" t="s">
        <v>130</v>
      </c>
      <c r="Y178" s="16" t="s">
        <v>184</v>
      </c>
      <c r="Z178" s="16" t="s">
        <v>203</v>
      </c>
      <c r="AA178" s="16" t="s">
        <v>212</v>
      </c>
      <c r="AC178" s="16" t="s">
        <v>163</v>
      </c>
      <c r="AD178" s="16" t="s">
        <v>186</v>
      </c>
      <c r="AE178" s="16" t="s">
        <v>186</v>
      </c>
      <c r="AF178" s="5" t="s">
        <v>191</v>
      </c>
      <c r="AG178" s="5" t="s">
        <v>192</v>
      </c>
      <c r="AH178" s="5" t="s">
        <v>186</v>
      </c>
      <c r="AI178" s="5" t="s">
        <v>193</v>
      </c>
      <c r="AJ178" s="5" t="s">
        <v>216</v>
      </c>
      <c r="AK178" s="7"/>
      <c r="AL178" s="7"/>
    </row>
    <row r="179" spans="1:38" x14ac:dyDescent="0.35">
      <c r="A179" s="2">
        <v>2</v>
      </c>
      <c r="B179" s="15">
        <v>0.49166666666666664</v>
      </c>
      <c r="C179" s="21" t="s">
        <v>130</v>
      </c>
      <c r="AF179" s="5" t="s">
        <v>191</v>
      </c>
      <c r="AG179" s="5" t="s">
        <v>192</v>
      </c>
      <c r="AH179" s="5" t="s">
        <v>203</v>
      </c>
      <c r="AI179" s="5" t="s">
        <v>212</v>
      </c>
      <c r="AJ179" s="5" t="s">
        <v>216</v>
      </c>
      <c r="AK179" s="7"/>
      <c r="AL179" s="7"/>
    </row>
    <row r="180" spans="1:38" x14ac:dyDescent="0.35">
      <c r="A180" s="2">
        <v>2</v>
      </c>
      <c r="B180" s="15">
        <v>0.4861111111111111</v>
      </c>
      <c r="C180" s="21" t="s">
        <v>130</v>
      </c>
      <c r="AF180" s="5" t="s">
        <v>193</v>
      </c>
      <c r="AG180" s="5" t="s">
        <v>231</v>
      </c>
      <c r="AH180" s="5" t="s">
        <v>203</v>
      </c>
      <c r="AI180" s="5" t="s">
        <v>191</v>
      </c>
      <c r="AJ180" s="5" t="s">
        <v>216</v>
      </c>
      <c r="AK180" s="7"/>
      <c r="AL180" s="7"/>
    </row>
    <row r="181" spans="1:38" x14ac:dyDescent="0.35">
      <c r="A181" s="2">
        <v>2</v>
      </c>
      <c r="B181" s="15">
        <v>0.47083333333333333</v>
      </c>
      <c r="C181" s="21" t="s">
        <v>130</v>
      </c>
      <c r="Y181" s="16" t="s">
        <v>184</v>
      </c>
      <c r="Z181" s="16" t="s">
        <v>199</v>
      </c>
      <c r="AA181" s="16" t="s">
        <v>186</v>
      </c>
      <c r="AC181" s="16" t="s">
        <v>163</v>
      </c>
      <c r="AD181" s="16" t="s">
        <v>186</v>
      </c>
      <c r="AE181" s="16" t="s">
        <v>186</v>
      </c>
      <c r="AF181" s="5" t="s">
        <v>232</v>
      </c>
      <c r="AG181" s="5" t="s">
        <v>201</v>
      </c>
      <c r="AK181" s="7"/>
      <c r="AL181" s="7"/>
    </row>
    <row r="182" spans="1:38" x14ac:dyDescent="0.35">
      <c r="A182" s="2">
        <v>2</v>
      </c>
      <c r="B182" s="15">
        <v>0.46111111111111114</v>
      </c>
      <c r="C182" s="21" t="s">
        <v>130</v>
      </c>
      <c r="Y182" s="16" t="s">
        <v>224</v>
      </c>
      <c r="Z182" s="16" t="s">
        <v>140</v>
      </c>
      <c r="AD182" s="16" t="s">
        <v>225</v>
      </c>
      <c r="AF182" s="5" t="s">
        <v>230</v>
      </c>
      <c r="AG182" s="5" t="s">
        <v>192</v>
      </c>
      <c r="AH182" s="5" t="s">
        <v>186</v>
      </c>
      <c r="AI182" s="5" t="s">
        <v>198</v>
      </c>
      <c r="AJ182" s="5" t="s">
        <v>201</v>
      </c>
      <c r="AK182" s="7"/>
      <c r="AL182" s="7"/>
    </row>
    <row r="183" spans="1:38" x14ac:dyDescent="0.35">
      <c r="A183" s="2">
        <v>2</v>
      </c>
      <c r="B183" s="15">
        <v>0.45208333333333334</v>
      </c>
      <c r="C183" s="21" t="s">
        <v>130</v>
      </c>
      <c r="Y183" s="16" t="s">
        <v>184</v>
      </c>
      <c r="Z183" s="16" t="s">
        <v>188</v>
      </c>
      <c r="AA183" s="16" t="s">
        <v>186</v>
      </c>
      <c r="AC183" s="16" t="s">
        <v>187</v>
      </c>
      <c r="AD183" s="16" t="s">
        <v>186</v>
      </c>
      <c r="AE183" s="16" t="s">
        <v>186</v>
      </c>
      <c r="AF183" s="5" t="s">
        <v>226</v>
      </c>
      <c r="AG183" s="5" t="s">
        <v>192</v>
      </c>
      <c r="AH183" s="5" t="s">
        <v>186</v>
      </c>
      <c r="AI183" s="5" t="s">
        <v>215</v>
      </c>
      <c r="AJ183" s="5" t="s">
        <v>194</v>
      </c>
      <c r="AK183" s="7"/>
      <c r="AL183" s="7"/>
    </row>
    <row r="184" spans="1:38" x14ac:dyDescent="0.35">
      <c r="A184" s="2">
        <v>2</v>
      </c>
      <c r="B184" s="15">
        <v>0.44097222222222221</v>
      </c>
      <c r="C184" s="21" t="s">
        <v>130</v>
      </c>
      <c r="Y184" s="16" t="s">
        <v>184</v>
      </c>
      <c r="Z184" s="16" t="s">
        <v>214</v>
      </c>
      <c r="AA184" s="16" t="s">
        <v>186</v>
      </c>
      <c r="AC184" s="16" t="s">
        <v>187</v>
      </c>
      <c r="AD184" s="16" t="s">
        <v>186</v>
      </c>
      <c r="AE184" s="16" t="s">
        <v>186</v>
      </c>
      <c r="AF184" s="5" t="s">
        <v>226</v>
      </c>
      <c r="AG184" s="5" t="s">
        <v>192</v>
      </c>
      <c r="AH184" s="5" t="s">
        <v>189</v>
      </c>
      <c r="AI184" s="5" t="s">
        <v>229</v>
      </c>
      <c r="AJ184" s="5" t="s">
        <v>194</v>
      </c>
    </row>
    <row r="185" spans="1:38" x14ac:dyDescent="0.35">
      <c r="A185" s="2">
        <v>2</v>
      </c>
      <c r="B185" s="15">
        <v>0.43333333333333335</v>
      </c>
      <c r="C185" s="21" t="s">
        <v>130</v>
      </c>
      <c r="Y185" s="16" t="s">
        <v>184</v>
      </c>
      <c r="Z185" s="16" t="s">
        <v>227</v>
      </c>
      <c r="AA185" s="16" t="s">
        <v>186</v>
      </c>
      <c r="AB185" s="16" t="s">
        <v>186</v>
      </c>
      <c r="AC185" s="16" t="s">
        <v>187</v>
      </c>
      <c r="AD185" s="16" t="s">
        <v>186</v>
      </c>
      <c r="AE185" s="16" t="s">
        <v>186</v>
      </c>
      <c r="AF185" s="5" t="s">
        <v>204</v>
      </c>
      <c r="AG185" s="5" t="s">
        <v>231</v>
      </c>
      <c r="AH185" s="5" t="s">
        <v>227</v>
      </c>
    </row>
    <row r="186" spans="1:38" x14ac:dyDescent="0.35">
      <c r="A186" s="2">
        <v>2</v>
      </c>
      <c r="B186" s="15">
        <v>0.41805555555555557</v>
      </c>
      <c r="C186" s="21" t="s">
        <v>130</v>
      </c>
      <c r="Y186" s="16" t="s">
        <v>184</v>
      </c>
      <c r="Z186" s="16" t="s">
        <v>222</v>
      </c>
      <c r="AA186" s="16" t="s">
        <v>186</v>
      </c>
      <c r="AC186" s="16" t="s">
        <v>163</v>
      </c>
      <c r="AD186" s="16" t="s">
        <v>186</v>
      </c>
      <c r="AE186" s="16" t="s">
        <v>186</v>
      </c>
      <c r="AF186" s="5" t="s">
        <v>229</v>
      </c>
      <c r="AG186" s="5" t="s">
        <v>192</v>
      </c>
      <c r="AH186" s="5" t="s">
        <v>186</v>
      </c>
      <c r="AI186" s="5" t="s">
        <v>204</v>
      </c>
      <c r="AJ186" s="5" t="s">
        <v>201</v>
      </c>
    </row>
    <row r="187" spans="1:38" x14ac:dyDescent="0.35">
      <c r="A187" s="2">
        <v>2</v>
      </c>
      <c r="B187" s="15">
        <v>0.41249999999999998</v>
      </c>
      <c r="C187" s="21" t="s">
        <v>130</v>
      </c>
      <c r="Y187" s="16" t="s">
        <v>184</v>
      </c>
      <c r="Z187" s="16" t="s">
        <v>227</v>
      </c>
      <c r="AA187" s="16" t="s">
        <v>186</v>
      </c>
      <c r="AC187" s="16" t="s">
        <v>187</v>
      </c>
      <c r="AD187" s="16" t="s">
        <v>186</v>
      </c>
      <c r="AE187" s="16" t="s">
        <v>186</v>
      </c>
      <c r="AF187" s="5" t="s">
        <v>235</v>
      </c>
      <c r="AG187" s="5" t="s">
        <v>192</v>
      </c>
      <c r="AH187" s="5" t="s">
        <v>186</v>
      </c>
      <c r="AI187" s="5" t="s">
        <v>227</v>
      </c>
      <c r="AJ187" s="5" t="s">
        <v>206</v>
      </c>
    </row>
    <row r="188" spans="1:38" x14ac:dyDescent="0.35">
      <c r="A188" s="2">
        <v>2</v>
      </c>
      <c r="B188" s="15">
        <v>0.40763888888888888</v>
      </c>
      <c r="C188" s="21" t="s">
        <v>130</v>
      </c>
      <c r="AF188" s="5" t="s">
        <v>226</v>
      </c>
      <c r="AG188" s="5" t="s">
        <v>216</v>
      </c>
    </row>
    <row r="189" spans="1:38" x14ac:dyDescent="0.35">
      <c r="A189" s="2">
        <v>2</v>
      </c>
      <c r="B189" s="15">
        <v>0.40277777777777779</v>
      </c>
      <c r="C189" s="21" t="s">
        <v>130</v>
      </c>
      <c r="Y189" s="16" t="s">
        <v>184</v>
      </c>
      <c r="Z189" s="16" t="s">
        <v>198</v>
      </c>
      <c r="AA189" s="16" t="s">
        <v>186</v>
      </c>
      <c r="AC189" s="16" t="s">
        <v>187</v>
      </c>
      <c r="AD189" s="16" t="s">
        <v>186</v>
      </c>
      <c r="AE189" s="16" t="s">
        <v>186</v>
      </c>
      <c r="AF189" s="5" t="s">
        <v>210</v>
      </c>
      <c r="AG189" s="5" t="s">
        <v>192</v>
      </c>
      <c r="AH189" s="5" t="s">
        <v>186</v>
      </c>
      <c r="AI189" s="5" t="s">
        <v>197</v>
      </c>
      <c r="AJ189" s="5" t="s">
        <v>201</v>
      </c>
    </row>
    <row r="190" spans="1:38" x14ac:dyDescent="0.35">
      <c r="A190" s="2">
        <v>2</v>
      </c>
      <c r="B190" s="15">
        <v>0.39583333333333331</v>
      </c>
      <c r="C190" s="21" t="s">
        <v>130</v>
      </c>
      <c r="AF190" s="5" t="s">
        <v>197</v>
      </c>
      <c r="AG190" s="5" t="s">
        <v>216</v>
      </c>
    </row>
    <row r="191" spans="1:38" x14ac:dyDescent="0.35">
      <c r="A191" s="2">
        <v>2</v>
      </c>
      <c r="B191" s="15">
        <v>0.39097222222222222</v>
      </c>
      <c r="C191" s="21" t="s">
        <v>130</v>
      </c>
      <c r="Y191" s="16" t="s">
        <v>195</v>
      </c>
      <c r="Z191" s="16" t="s">
        <v>197</v>
      </c>
      <c r="AA191" s="16" t="s">
        <v>186</v>
      </c>
      <c r="AB191" s="16" t="s">
        <v>186</v>
      </c>
      <c r="AC191" s="16" t="s">
        <v>187</v>
      </c>
      <c r="AD191" s="16" t="s">
        <v>186</v>
      </c>
      <c r="AE191" s="16" t="s">
        <v>186</v>
      </c>
      <c r="AF191" s="5" t="s">
        <v>228</v>
      </c>
      <c r="AG191" s="5" t="s">
        <v>192</v>
      </c>
      <c r="AH191" s="5" t="s">
        <v>186</v>
      </c>
      <c r="AI191" s="5" t="s">
        <v>197</v>
      </c>
      <c r="AJ191" s="5" t="s">
        <v>206</v>
      </c>
    </row>
    <row r="192" spans="1:38" x14ac:dyDescent="0.35">
      <c r="A192" s="2">
        <v>2</v>
      </c>
      <c r="B192" s="15">
        <v>0.3840277777777778</v>
      </c>
      <c r="C192" s="21" t="s">
        <v>130</v>
      </c>
      <c r="Y192" s="16" t="s">
        <v>202</v>
      </c>
      <c r="Z192" s="16" t="s">
        <v>196</v>
      </c>
      <c r="AA192" s="16" t="s">
        <v>204</v>
      </c>
      <c r="AB192" s="16" t="s">
        <v>155</v>
      </c>
      <c r="AC192" s="16" t="s">
        <v>187</v>
      </c>
      <c r="AD192" s="16" t="s">
        <v>186</v>
      </c>
      <c r="AE192" s="16" t="s">
        <v>155</v>
      </c>
    </row>
    <row r="193" spans="1:36" x14ac:dyDescent="0.35">
      <c r="A193" s="2">
        <v>2</v>
      </c>
      <c r="B193" s="15">
        <v>0.36666666666666664</v>
      </c>
      <c r="C193" s="21" t="s">
        <v>130</v>
      </c>
      <c r="Y193" s="16" t="s">
        <v>202</v>
      </c>
      <c r="Z193" s="16" t="s">
        <v>217</v>
      </c>
      <c r="AA193" s="16" t="s">
        <v>186</v>
      </c>
      <c r="AB193" s="16" t="s">
        <v>155</v>
      </c>
      <c r="AC193" s="16" t="s">
        <v>202</v>
      </c>
      <c r="AD193" s="16" t="s">
        <v>186</v>
      </c>
      <c r="AE193" s="16" t="s">
        <v>155</v>
      </c>
      <c r="AF193" s="5" t="s">
        <v>191</v>
      </c>
      <c r="AG193" s="5" t="s">
        <v>190</v>
      </c>
    </row>
    <row r="194" spans="1:36" x14ac:dyDescent="0.35">
      <c r="A194" s="2">
        <v>2</v>
      </c>
      <c r="B194" s="15">
        <v>0.35416666666666669</v>
      </c>
      <c r="C194" s="21" t="s">
        <v>130</v>
      </c>
      <c r="AF194" s="5" t="s">
        <v>198</v>
      </c>
      <c r="AG194" s="5" t="s">
        <v>192</v>
      </c>
      <c r="AH194" s="5" t="s">
        <v>217</v>
      </c>
      <c r="AI194" s="5" t="s">
        <v>221</v>
      </c>
      <c r="AJ194" s="5" t="s">
        <v>190</v>
      </c>
    </row>
    <row r="195" spans="1:36" x14ac:dyDescent="0.35">
      <c r="A195" s="2">
        <v>2</v>
      </c>
      <c r="B195" s="15">
        <v>0.34930555555555554</v>
      </c>
      <c r="C195" s="21" t="s">
        <v>130</v>
      </c>
      <c r="Y195" s="16" t="s">
        <v>195</v>
      </c>
      <c r="Z195" s="16" t="s">
        <v>196</v>
      </c>
      <c r="AA195" s="16" t="s">
        <v>212</v>
      </c>
      <c r="AC195" s="16" t="s">
        <v>187</v>
      </c>
      <c r="AD195" s="16" t="s">
        <v>186</v>
      </c>
      <c r="AE195" s="16" t="s">
        <v>186</v>
      </c>
    </row>
    <row r="196" spans="1:36" x14ac:dyDescent="0.35">
      <c r="A196" s="2">
        <v>2</v>
      </c>
      <c r="B196" s="15">
        <v>0.34375</v>
      </c>
      <c r="C196" s="21" t="s">
        <v>130</v>
      </c>
      <c r="Y196" s="16" t="s">
        <v>184</v>
      </c>
      <c r="Z196" s="16" t="s">
        <v>193</v>
      </c>
      <c r="AA196" s="16" t="s">
        <v>186</v>
      </c>
      <c r="AC196" s="16" t="s">
        <v>163</v>
      </c>
      <c r="AD196" s="16" t="s">
        <v>186</v>
      </c>
      <c r="AE196" s="16" t="s">
        <v>186</v>
      </c>
      <c r="AF196" s="5" t="s">
        <v>235</v>
      </c>
      <c r="AG196" s="5" t="s">
        <v>192</v>
      </c>
      <c r="AH196" s="5" t="s">
        <v>186</v>
      </c>
      <c r="AI196" s="5" t="s">
        <v>196</v>
      </c>
      <c r="AJ196" s="5" t="s">
        <v>216</v>
      </c>
    </row>
    <row r="197" spans="1:36" x14ac:dyDescent="0.35">
      <c r="A197" s="2">
        <v>2</v>
      </c>
      <c r="B197" s="15">
        <v>0.33611111111111114</v>
      </c>
      <c r="C197" s="21" t="s">
        <v>130</v>
      </c>
      <c r="Y197" s="16" t="s">
        <v>202</v>
      </c>
      <c r="Z197" s="16" t="s">
        <v>219</v>
      </c>
      <c r="AA197" s="16" t="s">
        <v>215</v>
      </c>
      <c r="AB197" s="16" t="s">
        <v>186</v>
      </c>
      <c r="AC197" s="16" t="s">
        <v>202</v>
      </c>
      <c r="AD197" s="16" t="s">
        <v>186</v>
      </c>
      <c r="AE197" s="16" t="s">
        <v>155</v>
      </c>
      <c r="AF197" s="5" t="s">
        <v>196</v>
      </c>
      <c r="AG197" s="5" t="s">
        <v>190</v>
      </c>
    </row>
    <row r="198" spans="1:36" x14ac:dyDescent="0.35">
      <c r="A198" s="2">
        <v>2</v>
      </c>
      <c r="B198" s="15">
        <v>0.32291666666666669</v>
      </c>
      <c r="C198" s="21" t="s">
        <v>130</v>
      </c>
      <c r="Y198" s="16" t="s">
        <v>184</v>
      </c>
      <c r="Z198" s="16" t="s">
        <v>185</v>
      </c>
      <c r="AA198" s="16" t="s">
        <v>186</v>
      </c>
      <c r="AC198" s="16" t="s">
        <v>187</v>
      </c>
      <c r="AD198" s="16" t="s">
        <v>186</v>
      </c>
      <c r="AE198" s="16" t="s">
        <v>186</v>
      </c>
      <c r="AF198" s="5" t="s">
        <v>225</v>
      </c>
      <c r="AG198" s="5" t="s">
        <v>201</v>
      </c>
      <c r="AH198" s="5" t="s">
        <v>218</v>
      </c>
    </row>
    <row r="199" spans="1:36" x14ac:dyDescent="0.35">
      <c r="A199" s="2">
        <v>2</v>
      </c>
      <c r="B199" s="15">
        <v>0.31874999999999998</v>
      </c>
      <c r="C199" s="21" t="s">
        <v>130</v>
      </c>
      <c r="Y199" s="16" t="s">
        <v>184</v>
      </c>
      <c r="Z199" s="16" t="s">
        <v>205</v>
      </c>
      <c r="AA199" s="16" t="s">
        <v>186</v>
      </c>
      <c r="AC199" s="16" t="s">
        <v>187</v>
      </c>
      <c r="AD199" s="16" t="s">
        <v>186</v>
      </c>
      <c r="AE199" s="16" t="s">
        <v>186</v>
      </c>
      <c r="AF199" s="5" t="s">
        <v>226</v>
      </c>
      <c r="AG199" s="5" t="s">
        <v>192</v>
      </c>
      <c r="AH199" s="5" t="s">
        <v>186</v>
      </c>
      <c r="AI199" s="5" t="s">
        <v>205</v>
      </c>
      <c r="AJ199" s="5" t="s">
        <v>206</v>
      </c>
    </row>
    <row r="200" spans="1:36" x14ac:dyDescent="0.35">
      <c r="A200" s="2">
        <v>2</v>
      </c>
      <c r="B200" s="15">
        <v>0.2951388888888889</v>
      </c>
      <c r="C200" s="21" t="s">
        <v>130</v>
      </c>
      <c r="Y200" s="16" t="s">
        <v>184</v>
      </c>
      <c r="Z200" s="16" t="s">
        <v>210</v>
      </c>
      <c r="AA200" s="16" t="s">
        <v>186</v>
      </c>
      <c r="AC200" s="16" t="s">
        <v>187</v>
      </c>
      <c r="AD200" s="16" t="s">
        <v>213</v>
      </c>
      <c r="AE200" s="16" t="s">
        <v>186</v>
      </c>
    </row>
    <row r="201" spans="1:36" x14ac:dyDescent="0.35">
      <c r="A201" s="2">
        <v>2</v>
      </c>
      <c r="B201" s="15">
        <v>0.2638888888888889</v>
      </c>
      <c r="C201" s="21" t="s">
        <v>130</v>
      </c>
      <c r="Y201" s="16" t="s">
        <v>202</v>
      </c>
      <c r="Z201" s="16" t="s">
        <v>209</v>
      </c>
      <c r="AA201" s="16" t="s">
        <v>212</v>
      </c>
      <c r="AB201" s="16" t="s">
        <v>155</v>
      </c>
      <c r="AC201" s="16" t="s">
        <v>187</v>
      </c>
      <c r="AD201" s="16" t="s">
        <v>186</v>
      </c>
      <c r="AE201" s="16" t="s">
        <v>186</v>
      </c>
      <c r="AF201" s="5" t="s">
        <v>189</v>
      </c>
      <c r="AG201" s="5" t="s">
        <v>190</v>
      </c>
    </row>
    <row r="202" spans="1:36" x14ac:dyDescent="0.35">
      <c r="A202" s="2">
        <v>2</v>
      </c>
      <c r="B202" s="15">
        <v>0.25555555555555554</v>
      </c>
      <c r="C202" s="21" t="s">
        <v>130</v>
      </c>
      <c r="AF202" s="5" t="s">
        <v>193</v>
      </c>
      <c r="AG202" s="5" t="s">
        <v>192</v>
      </c>
      <c r="AH202" s="5" t="s">
        <v>186</v>
      </c>
      <c r="AI202" s="5" t="s">
        <v>197</v>
      </c>
      <c r="AJ202" s="5" t="s">
        <v>194</v>
      </c>
    </row>
    <row r="203" spans="1:36" x14ac:dyDescent="0.35">
      <c r="A203" s="2">
        <v>2</v>
      </c>
      <c r="B203" s="15">
        <v>0.24791666666666667</v>
      </c>
      <c r="C203" s="21" t="s">
        <v>130</v>
      </c>
      <c r="AF203" s="5" t="s">
        <v>197</v>
      </c>
      <c r="AG203" s="5" t="s">
        <v>201</v>
      </c>
    </row>
    <row r="204" spans="1:36" x14ac:dyDescent="0.35">
      <c r="A204" s="2">
        <v>2</v>
      </c>
      <c r="B204" s="15">
        <v>0.2388888888888889</v>
      </c>
      <c r="C204" s="21" t="s">
        <v>130</v>
      </c>
      <c r="Y204" s="16" t="s">
        <v>184</v>
      </c>
      <c r="Z204" s="16" t="s">
        <v>191</v>
      </c>
      <c r="AA204" s="16" t="s">
        <v>186</v>
      </c>
      <c r="AC204" s="16" t="s">
        <v>187</v>
      </c>
      <c r="AD204" s="16" t="s">
        <v>233</v>
      </c>
      <c r="AE204" s="16" t="s">
        <v>186</v>
      </c>
    </row>
    <row r="205" spans="1:36" x14ac:dyDescent="0.35">
      <c r="A205" s="2">
        <v>2</v>
      </c>
      <c r="B205" s="15">
        <v>0.20069444444444445</v>
      </c>
      <c r="C205" s="21" t="s">
        <v>130</v>
      </c>
      <c r="Y205" s="16" t="s">
        <v>202</v>
      </c>
      <c r="Z205" s="16" t="s">
        <v>227</v>
      </c>
      <c r="AA205" s="16" t="s">
        <v>204</v>
      </c>
      <c r="AB205" s="16" t="s">
        <v>186</v>
      </c>
      <c r="AC205" s="16" t="s">
        <v>202</v>
      </c>
      <c r="AD205" s="16" t="s">
        <v>186</v>
      </c>
      <c r="AE205" s="16" t="s">
        <v>186</v>
      </c>
      <c r="AF205" s="5" t="s">
        <v>198</v>
      </c>
      <c r="AG205" s="5" t="s">
        <v>192</v>
      </c>
      <c r="AH205" s="5" t="s">
        <v>229</v>
      </c>
      <c r="AI205" s="5" t="s">
        <v>198</v>
      </c>
      <c r="AJ205" s="5" t="s">
        <v>190</v>
      </c>
    </row>
    <row r="206" spans="1:36" x14ac:dyDescent="0.35">
      <c r="A206" s="2">
        <v>2</v>
      </c>
      <c r="B206" s="15">
        <v>0.17708333333333334</v>
      </c>
      <c r="C206" s="21" t="s">
        <v>130</v>
      </c>
      <c r="AF206" s="5" t="s">
        <v>222</v>
      </c>
      <c r="AG206" s="5" t="s">
        <v>216</v>
      </c>
      <c r="AH206" s="5" t="s">
        <v>214</v>
      </c>
    </row>
    <row r="207" spans="1:36" x14ac:dyDescent="0.35">
      <c r="A207" s="2">
        <v>2</v>
      </c>
      <c r="B207" s="15">
        <v>0.16944444444444445</v>
      </c>
      <c r="C207" s="21" t="s">
        <v>130</v>
      </c>
      <c r="Y207" s="16" t="s">
        <v>202</v>
      </c>
      <c r="Z207" s="16" t="s">
        <v>204</v>
      </c>
      <c r="AA207" s="16" t="s">
        <v>199</v>
      </c>
      <c r="AB207" s="16" t="s">
        <v>186</v>
      </c>
      <c r="AC207" s="16" t="s">
        <v>163</v>
      </c>
      <c r="AD207" s="16" t="s">
        <v>186</v>
      </c>
      <c r="AE207" s="16" t="s">
        <v>186</v>
      </c>
      <c r="AF207" s="5" t="s">
        <v>204</v>
      </c>
      <c r="AG207" s="5" t="s">
        <v>206</v>
      </c>
    </row>
    <row r="208" spans="1:36" x14ac:dyDescent="0.35">
      <c r="A208" s="2">
        <v>2</v>
      </c>
      <c r="B208" s="15">
        <v>0.14722222222222223</v>
      </c>
      <c r="C208" s="21" t="s">
        <v>130</v>
      </c>
      <c r="AF208" s="5" t="s">
        <v>207</v>
      </c>
      <c r="AG208" s="5" t="s">
        <v>216</v>
      </c>
      <c r="AH208" s="5" t="s">
        <v>208</v>
      </c>
    </row>
    <row r="209" spans="1:36" x14ac:dyDescent="0.35">
      <c r="A209" s="2">
        <v>2</v>
      </c>
      <c r="B209" s="15">
        <v>0.13541666666666666</v>
      </c>
      <c r="C209" s="21" t="s">
        <v>130</v>
      </c>
      <c r="Y209" s="16" t="s">
        <v>202</v>
      </c>
      <c r="Z209" s="16" t="s">
        <v>234</v>
      </c>
      <c r="AA209" s="16" t="s">
        <v>186</v>
      </c>
      <c r="AB209" s="16" t="s">
        <v>186</v>
      </c>
      <c r="AC209" s="16" t="s">
        <v>163</v>
      </c>
      <c r="AD209" s="16" t="s">
        <v>186</v>
      </c>
      <c r="AE209" s="16" t="s">
        <v>186</v>
      </c>
      <c r="AF209" s="5" t="s">
        <v>218</v>
      </c>
      <c r="AG209" s="5" t="s">
        <v>201</v>
      </c>
      <c r="AH209" s="5" t="s">
        <v>205</v>
      </c>
    </row>
    <row r="210" spans="1:36" x14ac:dyDescent="0.35">
      <c r="A210" s="2">
        <v>2</v>
      </c>
      <c r="B210" s="15">
        <v>0.11458333333333333</v>
      </c>
      <c r="C210" s="21" t="s">
        <v>160</v>
      </c>
      <c r="Y210" s="16" t="s">
        <v>184</v>
      </c>
      <c r="Z210" s="16" t="s">
        <v>219</v>
      </c>
      <c r="AA210" s="16" t="s">
        <v>186</v>
      </c>
      <c r="AB210" s="16" t="s">
        <v>186</v>
      </c>
      <c r="AC210" s="16" t="s">
        <v>163</v>
      </c>
      <c r="AD210" s="16" t="s">
        <v>186</v>
      </c>
      <c r="AE210" s="16" t="s">
        <v>186</v>
      </c>
    </row>
    <row r="211" spans="1:36" x14ac:dyDescent="0.35">
      <c r="A211" s="2">
        <v>2</v>
      </c>
      <c r="B211" s="15">
        <v>0.1076388888888889</v>
      </c>
      <c r="C211" s="21" t="s">
        <v>160</v>
      </c>
      <c r="Y211" s="16" t="s">
        <v>184</v>
      </c>
      <c r="Z211" s="16" t="s">
        <v>188</v>
      </c>
      <c r="AA211" s="16" t="s">
        <v>186</v>
      </c>
      <c r="AB211" s="16" t="s">
        <v>155</v>
      </c>
      <c r="AC211" s="16" t="s">
        <v>163</v>
      </c>
      <c r="AD211" s="16" t="s">
        <v>186</v>
      </c>
      <c r="AE211" s="16" t="s">
        <v>133</v>
      </c>
    </row>
    <row r="212" spans="1:36" x14ac:dyDescent="0.35">
      <c r="A212" s="2">
        <v>2</v>
      </c>
      <c r="B212" s="15">
        <v>7.9861111111111105E-2</v>
      </c>
      <c r="C212" s="21" t="s">
        <v>130</v>
      </c>
      <c r="Y212" s="16" t="s">
        <v>184</v>
      </c>
      <c r="Z212" s="16" t="s">
        <v>189</v>
      </c>
      <c r="AA212" s="16" t="s">
        <v>186</v>
      </c>
      <c r="AC212" s="16" t="s">
        <v>187</v>
      </c>
      <c r="AD212" s="16" t="s">
        <v>186</v>
      </c>
      <c r="AE212" s="16" t="s">
        <v>186</v>
      </c>
      <c r="AF212" s="5" t="s">
        <v>226</v>
      </c>
      <c r="AG212" s="5" t="s">
        <v>192</v>
      </c>
      <c r="AH212" s="5" t="s">
        <v>186</v>
      </c>
      <c r="AI212" s="5" t="s">
        <v>210</v>
      </c>
      <c r="AJ212" s="5" t="s">
        <v>201</v>
      </c>
    </row>
    <row r="213" spans="1:36" x14ac:dyDescent="0.35">
      <c r="A213" s="2">
        <v>2</v>
      </c>
      <c r="B213" s="15">
        <v>7.0833333333333331E-2</v>
      </c>
      <c r="C213" s="21" t="s">
        <v>130</v>
      </c>
      <c r="Y213" s="16" t="s">
        <v>202</v>
      </c>
      <c r="Z213" s="16" t="s">
        <v>228</v>
      </c>
      <c r="AA213" s="16" t="s">
        <v>189</v>
      </c>
      <c r="AB213" s="16" t="s">
        <v>155</v>
      </c>
      <c r="AC213" s="16" t="s">
        <v>163</v>
      </c>
      <c r="AD213" s="16" t="s">
        <v>186</v>
      </c>
      <c r="AE213" s="16" t="s">
        <v>186</v>
      </c>
      <c r="AF213" s="5" t="s">
        <v>198</v>
      </c>
      <c r="AG213" s="5" t="s">
        <v>192</v>
      </c>
      <c r="AH213" s="5" t="s">
        <v>228</v>
      </c>
      <c r="AI213" s="5" t="s">
        <v>196</v>
      </c>
      <c r="AJ213" s="5" t="s">
        <v>194</v>
      </c>
    </row>
    <row r="214" spans="1:36" x14ac:dyDescent="0.35">
      <c r="A214" s="2">
        <v>2</v>
      </c>
      <c r="B214" s="15">
        <v>4.7222222222222221E-2</v>
      </c>
      <c r="C214" s="21" t="s">
        <v>130</v>
      </c>
      <c r="Y214" s="16" t="s">
        <v>202</v>
      </c>
      <c r="Z214" s="16" t="s">
        <v>209</v>
      </c>
      <c r="AA214" s="16" t="s">
        <v>212</v>
      </c>
      <c r="AB214" s="16" t="s">
        <v>186</v>
      </c>
      <c r="AC214" s="16" t="s">
        <v>187</v>
      </c>
      <c r="AD214" s="16" t="s">
        <v>186</v>
      </c>
      <c r="AE214" s="16" t="s">
        <v>186</v>
      </c>
      <c r="AF214" s="5" t="s">
        <v>233</v>
      </c>
      <c r="AG214" s="5" t="s">
        <v>206</v>
      </c>
    </row>
    <row r="215" spans="1:36" x14ac:dyDescent="0.35">
      <c r="A215" s="2">
        <v>2</v>
      </c>
      <c r="B215" s="15">
        <v>4.2361111111111113E-2</v>
      </c>
      <c r="C215" s="21" t="s">
        <v>130</v>
      </c>
      <c r="Y215" s="16" t="s">
        <v>202</v>
      </c>
      <c r="Z215" s="16" t="s">
        <v>233</v>
      </c>
      <c r="AA215" s="16" t="s">
        <v>199</v>
      </c>
      <c r="AB215" s="16" t="s">
        <v>186</v>
      </c>
      <c r="AC215" s="16" t="s">
        <v>163</v>
      </c>
      <c r="AD215" s="16" t="s">
        <v>186</v>
      </c>
      <c r="AE215" s="16" t="s">
        <v>186</v>
      </c>
    </row>
    <row r="216" spans="1:36" x14ac:dyDescent="0.35">
      <c r="A216" s="2">
        <v>2</v>
      </c>
      <c r="B216" s="15">
        <v>3.2638888888888891E-2</v>
      </c>
      <c r="C216" s="21" t="s">
        <v>130</v>
      </c>
      <c r="Y216" s="16" t="s">
        <v>184</v>
      </c>
      <c r="Z216" s="16" t="s">
        <v>209</v>
      </c>
      <c r="AA216" s="16" t="s">
        <v>215</v>
      </c>
      <c r="AC216" s="16" t="s">
        <v>163</v>
      </c>
      <c r="AD216" s="16" t="s">
        <v>203</v>
      </c>
      <c r="AE216" s="16" t="s">
        <v>186</v>
      </c>
    </row>
    <row r="217" spans="1:36" x14ac:dyDescent="0.35">
      <c r="A217" s="2">
        <v>3</v>
      </c>
      <c r="B217" s="15">
        <v>0.83194444444444449</v>
      </c>
      <c r="C217" s="21" t="s">
        <v>130</v>
      </c>
      <c r="Y217" s="16" t="s">
        <v>184</v>
      </c>
      <c r="Z217" s="16" t="s">
        <v>189</v>
      </c>
      <c r="AA217" s="16" t="s">
        <v>186</v>
      </c>
      <c r="AC217" s="16" t="s">
        <v>187</v>
      </c>
      <c r="AD217" s="16" t="s">
        <v>186</v>
      </c>
      <c r="AE217" s="16" t="s">
        <v>155</v>
      </c>
      <c r="AF217" s="5" t="s">
        <v>226</v>
      </c>
      <c r="AG217" s="5" t="s">
        <v>192</v>
      </c>
      <c r="AH217" s="5" t="s">
        <v>186</v>
      </c>
      <c r="AI217" s="5" t="s">
        <v>191</v>
      </c>
      <c r="AJ217" s="5" t="s">
        <v>216</v>
      </c>
    </row>
    <row r="218" spans="1:36" x14ac:dyDescent="0.35">
      <c r="A218" s="2">
        <v>3</v>
      </c>
      <c r="B218" s="15">
        <v>0.81805555555555554</v>
      </c>
      <c r="C218" s="21" t="s">
        <v>130</v>
      </c>
      <c r="Y218" s="16" t="s">
        <v>184</v>
      </c>
      <c r="Z218" s="16" t="s">
        <v>191</v>
      </c>
      <c r="AA218" s="16" t="s">
        <v>189</v>
      </c>
      <c r="AC218" s="16" t="s">
        <v>163</v>
      </c>
      <c r="AD218" s="16" t="s">
        <v>186</v>
      </c>
      <c r="AE218" s="16" t="s">
        <v>186</v>
      </c>
      <c r="AF218" s="5" t="s">
        <v>189</v>
      </c>
      <c r="AG218" s="5" t="s">
        <v>192</v>
      </c>
      <c r="AH218" s="5" t="s">
        <v>186</v>
      </c>
      <c r="AI218" s="5" t="s">
        <v>196</v>
      </c>
      <c r="AJ218" s="5" t="s">
        <v>206</v>
      </c>
    </row>
    <row r="219" spans="1:36" x14ac:dyDescent="0.35">
      <c r="A219" s="2">
        <v>3</v>
      </c>
      <c r="B219" s="15">
        <v>0.80833333333333335</v>
      </c>
      <c r="C219" s="21" t="s">
        <v>130</v>
      </c>
      <c r="Y219" s="16" t="s">
        <v>202</v>
      </c>
      <c r="Z219" s="16" t="s">
        <v>196</v>
      </c>
      <c r="AA219" s="16" t="s">
        <v>215</v>
      </c>
      <c r="AB219" s="16" t="s">
        <v>155</v>
      </c>
      <c r="AC219" s="16" t="s">
        <v>163</v>
      </c>
      <c r="AD219" s="16" t="s">
        <v>186</v>
      </c>
      <c r="AE219" s="16" t="s">
        <v>155</v>
      </c>
      <c r="AF219" s="5" t="s">
        <v>233</v>
      </c>
      <c r="AG219" s="5" t="s">
        <v>192</v>
      </c>
      <c r="AH219" s="5" t="s">
        <v>198</v>
      </c>
      <c r="AI219" s="5" t="s">
        <v>215</v>
      </c>
      <c r="AJ219" s="5" t="s">
        <v>216</v>
      </c>
    </row>
    <row r="220" spans="1:36" x14ac:dyDescent="0.35">
      <c r="A220" s="2">
        <v>3</v>
      </c>
      <c r="B220" s="15">
        <v>0.78541666666666665</v>
      </c>
      <c r="C220" s="21" t="s">
        <v>130</v>
      </c>
      <c r="Y220" s="16" t="s">
        <v>184</v>
      </c>
      <c r="Z220" s="16" t="s">
        <v>203</v>
      </c>
      <c r="AA220" s="16" t="s">
        <v>186</v>
      </c>
      <c r="AC220" s="16" t="s">
        <v>187</v>
      </c>
      <c r="AD220" s="16" t="s">
        <v>186</v>
      </c>
      <c r="AE220" s="16" t="s">
        <v>186</v>
      </c>
      <c r="AF220" s="5" t="s">
        <v>215</v>
      </c>
      <c r="AG220" s="5" t="s">
        <v>192</v>
      </c>
      <c r="AH220" s="5" t="s">
        <v>186</v>
      </c>
      <c r="AI220" s="5" t="s">
        <v>200</v>
      </c>
      <c r="AJ220" s="5" t="s">
        <v>190</v>
      </c>
    </row>
    <row r="221" spans="1:36" x14ac:dyDescent="0.35">
      <c r="A221" s="2">
        <v>3</v>
      </c>
      <c r="B221" s="15">
        <v>0.78333333333333333</v>
      </c>
      <c r="C221" s="21" t="s">
        <v>130</v>
      </c>
      <c r="Y221" s="16" t="s">
        <v>202</v>
      </c>
      <c r="Z221" s="16" t="s">
        <v>197</v>
      </c>
      <c r="AA221" s="16" t="s">
        <v>198</v>
      </c>
      <c r="AB221" s="16" t="s">
        <v>155</v>
      </c>
      <c r="AC221" s="16" t="s">
        <v>187</v>
      </c>
      <c r="AD221" s="16" t="s">
        <v>186</v>
      </c>
      <c r="AE221" s="16" t="s">
        <v>186</v>
      </c>
      <c r="AF221" s="5" t="s">
        <v>198</v>
      </c>
      <c r="AG221" s="5" t="s">
        <v>201</v>
      </c>
      <c r="AH221" s="5" t="s">
        <v>228</v>
      </c>
    </row>
    <row r="222" spans="1:36" x14ac:dyDescent="0.35">
      <c r="A222" s="2">
        <v>3</v>
      </c>
      <c r="B222" s="15">
        <v>0.76041666666666663</v>
      </c>
      <c r="C222" s="21" t="s">
        <v>130</v>
      </c>
      <c r="AF222" s="5" t="s">
        <v>215</v>
      </c>
      <c r="AG222" s="5" t="s">
        <v>194</v>
      </c>
    </row>
    <row r="223" spans="1:36" x14ac:dyDescent="0.35">
      <c r="A223" s="2">
        <v>3</v>
      </c>
      <c r="B223" s="15">
        <v>0.75277777777777777</v>
      </c>
      <c r="C223" s="21" t="s">
        <v>130</v>
      </c>
      <c r="AF223" s="5" t="s">
        <v>215</v>
      </c>
      <c r="AG223" s="5" t="s">
        <v>192</v>
      </c>
      <c r="AH223" s="5" t="s">
        <v>186</v>
      </c>
      <c r="AI223" s="5" t="s">
        <v>197</v>
      </c>
      <c r="AJ223" s="5" t="s">
        <v>206</v>
      </c>
    </row>
    <row r="224" spans="1:36" x14ac:dyDescent="0.35">
      <c r="A224" s="2">
        <v>3</v>
      </c>
      <c r="B224" s="15">
        <v>0.73611111111111116</v>
      </c>
      <c r="C224" s="21" t="s">
        <v>130</v>
      </c>
      <c r="Y224" s="16" t="s">
        <v>202</v>
      </c>
      <c r="Z224" s="16" t="s">
        <v>230</v>
      </c>
      <c r="AA224" s="16" t="s">
        <v>193</v>
      </c>
      <c r="AB224" s="16" t="s">
        <v>186</v>
      </c>
      <c r="AC224" s="16" t="s">
        <v>187</v>
      </c>
      <c r="AD224" s="16" t="s">
        <v>186</v>
      </c>
      <c r="AE224" s="16" t="s">
        <v>186</v>
      </c>
    </row>
    <row r="225" spans="1:36" x14ac:dyDescent="0.35">
      <c r="A225" s="2">
        <v>3</v>
      </c>
      <c r="B225" s="15">
        <v>0.72013888888888888</v>
      </c>
      <c r="C225" s="21" t="s">
        <v>130</v>
      </c>
      <c r="Y225" s="16" t="s">
        <v>184</v>
      </c>
      <c r="Z225" s="16" t="s">
        <v>198</v>
      </c>
      <c r="AA225" s="16" t="s">
        <v>186</v>
      </c>
      <c r="AC225" s="16" t="s">
        <v>163</v>
      </c>
      <c r="AD225" s="16" t="s">
        <v>186</v>
      </c>
      <c r="AE225" s="16" t="s">
        <v>186</v>
      </c>
      <c r="AF225" s="5" t="s">
        <v>222</v>
      </c>
      <c r="AG225" s="5" t="s">
        <v>190</v>
      </c>
    </row>
    <row r="226" spans="1:36" x14ac:dyDescent="0.35">
      <c r="A226" s="2">
        <v>3</v>
      </c>
      <c r="B226" s="15">
        <v>0.7104166666666667</v>
      </c>
      <c r="C226" s="21" t="s">
        <v>130</v>
      </c>
      <c r="Y226" s="16" t="s">
        <v>184</v>
      </c>
      <c r="Z226" s="16" t="s">
        <v>229</v>
      </c>
      <c r="AA226" s="16" t="s">
        <v>186</v>
      </c>
      <c r="AC226" s="16" t="s">
        <v>187</v>
      </c>
      <c r="AD226" s="16" t="s">
        <v>186</v>
      </c>
      <c r="AE226" s="16" t="s">
        <v>186</v>
      </c>
      <c r="AF226" s="5" t="s">
        <v>214</v>
      </c>
      <c r="AG226" s="5" t="s">
        <v>206</v>
      </c>
    </row>
    <row r="227" spans="1:36" x14ac:dyDescent="0.35">
      <c r="A227" s="2">
        <v>3</v>
      </c>
      <c r="B227" s="15">
        <v>0.70694444444444449</v>
      </c>
      <c r="C227" s="21" t="s">
        <v>130</v>
      </c>
      <c r="Y227" s="16" t="s">
        <v>184</v>
      </c>
      <c r="Z227" s="16" t="s">
        <v>214</v>
      </c>
      <c r="AA227" s="16" t="s">
        <v>210</v>
      </c>
      <c r="AC227" s="16" t="s">
        <v>163</v>
      </c>
      <c r="AD227" s="16" t="s">
        <v>186</v>
      </c>
      <c r="AE227" s="16" t="s">
        <v>186</v>
      </c>
      <c r="AF227" s="5" t="s">
        <v>210</v>
      </c>
      <c r="AG227" s="5" t="s">
        <v>206</v>
      </c>
      <c r="AH227" s="5" t="s">
        <v>227</v>
      </c>
    </row>
    <row r="228" spans="1:36" x14ac:dyDescent="0.35">
      <c r="A228" s="2">
        <v>3</v>
      </c>
      <c r="B228" s="15">
        <v>0.69374999999999998</v>
      </c>
      <c r="C228" s="21" t="s">
        <v>130</v>
      </c>
      <c r="Y228" s="16" t="s">
        <v>184</v>
      </c>
      <c r="Z228" s="16" t="s">
        <v>210</v>
      </c>
      <c r="AA228" s="16" t="s">
        <v>199</v>
      </c>
      <c r="AC228" s="16" t="s">
        <v>163</v>
      </c>
      <c r="AD228" s="16" t="s">
        <v>186</v>
      </c>
      <c r="AE228" s="16" t="s">
        <v>186</v>
      </c>
      <c r="AF228" s="5" t="s">
        <v>235</v>
      </c>
      <c r="AG228" s="5" t="s">
        <v>192</v>
      </c>
      <c r="AH228" s="5" t="s">
        <v>213</v>
      </c>
      <c r="AI228" s="5" t="s">
        <v>221</v>
      </c>
      <c r="AJ228" s="5" t="s">
        <v>194</v>
      </c>
    </row>
    <row r="229" spans="1:36" x14ac:dyDescent="0.35">
      <c r="A229" s="2">
        <v>3</v>
      </c>
      <c r="B229" s="15">
        <v>0.68125000000000002</v>
      </c>
      <c r="C229" s="21" t="s">
        <v>130</v>
      </c>
      <c r="Y229" s="16" t="s">
        <v>195</v>
      </c>
      <c r="Z229" s="16" t="s">
        <v>221</v>
      </c>
      <c r="AA229" s="16" t="s">
        <v>215</v>
      </c>
      <c r="AC229" s="16" t="s">
        <v>163</v>
      </c>
      <c r="AD229" s="16" t="s">
        <v>186</v>
      </c>
      <c r="AE229" s="16" t="s">
        <v>186</v>
      </c>
    </row>
    <row r="230" spans="1:36" x14ac:dyDescent="0.35">
      <c r="A230" s="2">
        <v>3</v>
      </c>
      <c r="B230" s="15">
        <v>0.67361111111111116</v>
      </c>
      <c r="C230" s="21" t="s">
        <v>130</v>
      </c>
      <c r="Y230" s="16" t="s">
        <v>184</v>
      </c>
      <c r="Z230" s="16" t="s">
        <v>191</v>
      </c>
      <c r="AA230" s="16" t="s">
        <v>186</v>
      </c>
      <c r="AC230" s="16" t="s">
        <v>187</v>
      </c>
      <c r="AD230" s="16" t="s">
        <v>186</v>
      </c>
      <c r="AE230" s="16" t="s">
        <v>186</v>
      </c>
      <c r="AF230" s="5" t="s">
        <v>207</v>
      </c>
      <c r="AG230" s="5" t="s">
        <v>194</v>
      </c>
      <c r="AH230" s="5" t="s">
        <v>233</v>
      </c>
    </row>
    <row r="231" spans="1:36" x14ac:dyDescent="0.35">
      <c r="A231" s="2">
        <v>3</v>
      </c>
      <c r="B231" s="15">
        <v>0.66319444444444442</v>
      </c>
      <c r="C231" s="21" t="s">
        <v>130</v>
      </c>
      <c r="AF231" s="5" t="s">
        <v>196</v>
      </c>
      <c r="AG231" s="5" t="s">
        <v>192</v>
      </c>
      <c r="AH231" s="5" t="s">
        <v>232</v>
      </c>
      <c r="AI231" s="5" t="s">
        <v>196</v>
      </c>
      <c r="AJ231" s="5" t="s">
        <v>206</v>
      </c>
    </row>
    <row r="232" spans="1:36" x14ac:dyDescent="0.35">
      <c r="A232" s="2">
        <v>3</v>
      </c>
      <c r="B232" s="15">
        <v>0.65763888888888888</v>
      </c>
      <c r="C232" s="21" t="s">
        <v>130</v>
      </c>
      <c r="Y232" s="16" t="s">
        <v>202</v>
      </c>
      <c r="Z232" s="16" t="s">
        <v>196</v>
      </c>
      <c r="AA232" s="16" t="s">
        <v>215</v>
      </c>
      <c r="AB232" s="16" t="s">
        <v>186</v>
      </c>
      <c r="AC232" s="16" t="s">
        <v>163</v>
      </c>
      <c r="AD232" s="16" t="s">
        <v>186</v>
      </c>
      <c r="AE232" s="16" t="s">
        <v>186</v>
      </c>
      <c r="AF232" s="5" t="s">
        <v>200</v>
      </c>
      <c r="AG232" s="5" t="s">
        <v>190</v>
      </c>
    </row>
    <row r="233" spans="1:36" x14ac:dyDescent="0.35">
      <c r="A233" s="2">
        <v>3</v>
      </c>
      <c r="B233" s="15">
        <v>0.64236111111111116</v>
      </c>
      <c r="C233" s="21" t="s">
        <v>130</v>
      </c>
      <c r="Y233" s="16" t="s">
        <v>184</v>
      </c>
      <c r="Z233" s="16" t="s">
        <v>228</v>
      </c>
      <c r="AA233" s="16" t="s">
        <v>207</v>
      </c>
      <c r="AC233" s="16" t="s">
        <v>187</v>
      </c>
      <c r="AD233" s="16" t="s">
        <v>186</v>
      </c>
      <c r="AE233" s="16" t="s">
        <v>186</v>
      </c>
      <c r="AF233" s="5" t="s">
        <v>218</v>
      </c>
      <c r="AG233" s="5" t="s">
        <v>190</v>
      </c>
    </row>
    <row r="234" spans="1:36" x14ac:dyDescent="0.35">
      <c r="A234" s="2">
        <v>3</v>
      </c>
      <c r="B234" s="15">
        <v>0.63472222222222219</v>
      </c>
      <c r="C234" s="21" t="s">
        <v>130</v>
      </c>
      <c r="Y234" s="16" t="s">
        <v>195</v>
      </c>
      <c r="Z234" s="16" t="s">
        <v>203</v>
      </c>
      <c r="AA234" s="16" t="s">
        <v>186</v>
      </c>
      <c r="AC234" s="16" t="s">
        <v>187</v>
      </c>
      <c r="AD234" s="16" t="s">
        <v>186</v>
      </c>
      <c r="AE234" s="16" t="s">
        <v>186</v>
      </c>
    </row>
    <row r="235" spans="1:36" x14ac:dyDescent="0.35">
      <c r="A235" s="2">
        <v>3</v>
      </c>
      <c r="B235" s="15">
        <v>0.62361111111111112</v>
      </c>
      <c r="C235" s="21" t="s">
        <v>130</v>
      </c>
      <c r="Y235" s="16" t="s">
        <v>184</v>
      </c>
      <c r="Z235" s="16" t="s">
        <v>203</v>
      </c>
      <c r="AA235" s="16" t="s">
        <v>186</v>
      </c>
      <c r="AC235" s="16" t="s">
        <v>202</v>
      </c>
      <c r="AD235" s="16" t="s">
        <v>209</v>
      </c>
      <c r="AE235" s="16" t="s">
        <v>186</v>
      </c>
      <c r="AF235" s="5" t="s">
        <v>210</v>
      </c>
      <c r="AG235" s="5" t="s">
        <v>192</v>
      </c>
      <c r="AH235" s="5" t="s">
        <v>186</v>
      </c>
      <c r="AI235" s="5" t="s">
        <v>197</v>
      </c>
      <c r="AJ235" s="5" t="s">
        <v>190</v>
      </c>
    </row>
    <row r="236" spans="1:36" x14ac:dyDescent="0.35">
      <c r="A236" s="2">
        <v>3</v>
      </c>
      <c r="B236" s="15">
        <v>0.61250000000000004</v>
      </c>
      <c r="C236" s="21" t="s">
        <v>130</v>
      </c>
      <c r="Y236" s="16" t="s">
        <v>202</v>
      </c>
      <c r="Z236" s="16" t="s">
        <v>205</v>
      </c>
      <c r="AA236" s="16" t="s">
        <v>223</v>
      </c>
      <c r="AB236" s="16" t="s">
        <v>186</v>
      </c>
      <c r="AC236" s="16" t="s">
        <v>163</v>
      </c>
      <c r="AD236" s="16" t="s">
        <v>186</v>
      </c>
      <c r="AE236" s="16" t="s">
        <v>186</v>
      </c>
    </row>
    <row r="237" spans="1:36" x14ac:dyDescent="0.35">
      <c r="A237" s="2">
        <v>3</v>
      </c>
      <c r="B237" s="15">
        <v>0.56597222222222221</v>
      </c>
      <c r="C237" s="21" t="s">
        <v>160</v>
      </c>
      <c r="Y237" s="16" t="s">
        <v>184</v>
      </c>
      <c r="Z237" s="16" t="s">
        <v>197</v>
      </c>
      <c r="AA237" s="16" t="s">
        <v>221</v>
      </c>
      <c r="AB237" s="16" t="s">
        <v>155</v>
      </c>
      <c r="AC237" s="16" t="s">
        <v>163</v>
      </c>
      <c r="AD237" s="16" t="s">
        <v>186</v>
      </c>
      <c r="AE237" s="16" t="s">
        <v>186</v>
      </c>
    </row>
    <row r="238" spans="1:36" x14ac:dyDescent="0.35">
      <c r="A238" s="2">
        <v>3</v>
      </c>
      <c r="B238" s="15">
        <v>0.52708333333333335</v>
      </c>
      <c r="C238" s="21" t="s">
        <v>130</v>
      </c>
      <c r="AF238" s="5" t="s">
        <v>198</v>
      </c>
      <c r="AG238" s="5" t="s">
        <v>201</v>
      </c>
    </row>
    <row r="239" spans="1:36" x14ac:dyDescent="0.35">
      <c r="A239" s="2">
        <v>3</v>
      </c>
      <c r="B239" s="15">
        <v>0.49305555555555558</v>
      </c>
      <c r="C239" s="21" t="s">
        <v>160</v>
      </c>
      <c r="Y239" s="16" t="s">
        <v>184</v>
      </c>
      <c r="Z239" s="16" t="s">
        <v>223</v>
      </c>
      <c r="AA239" s="16" t="s">
        <v>212</v>
      </c>
      <c r="AB239" s="16" t="s">
        <v>186</v>
      </c>
      <c r="AC239" s="16" t="s">
        <v>163</v>
      </c>
      <c r="AD239" s="16" t="s">
        <v>186</v>
      </c>
      <c r="AE239" s="16" t="s">
        <v>186</v>
      </c>
    </row>
    <row r="240" spans="1:36" x14ac:dyDescent="0.35">
      <c r="A240" s="2">
        <v>3</v>
      </c>
      <c r="B240" s="15">
        <v>0.48472222222222222</v>
      </c>
      <c r="C240" s="21" t="s">
        <v>160</v>
      </c>
      <c r="Y240" s="16" t="s">
        <v>184</v>
      </c>
      <c r="Z240" s="16" t="s">
        <v>188</v>
      </c>
      <c r="AA240" s="16" t="s">
        <v>210</v>
      </c>
      <c r="AB240" s="16" t="s">
        <v>186</v>
      </c>
      <c r="AC240" s="16" t="s">
        <v>163</v>
      </c>
      <c r="AD240" s="16" t="s">
        <v>186</v>
      </c>
      <c r="AE240" s="16" t="s">
        <v>186</v>
      </c>
    </row>
    <row r="241" spans="1:36" x14ac:dyDescent="0.35">
      <c r="A241" s="2">
        <v>3</v>
      </c>
      <c r="B241" s="15">
        <v>0.46875</v>
      </c>
      <c r="C241" s="21" t="s">
        <v>160</v>
      </c>
      <c r="Y241" s="16" t="s">
        <v>195</v>
      </c>
      <c r="Z241" s="16" t="s">
        <v>219</v>
      </c>
      <c r="AA241" s="16" t="s">
        <v>210</v>
      </c>
      <c r="AC241" s="16" t="s">
        <v>163</v>
      </c>
      <c r="AD241" s="16" t="s">
        <v>186</v>
      </c>
      <c r="AE241" s="16" t="s">
        <v>186</v>
      </c>
    </row>
    <row r="242" spans="1:36" x14ac:dyDescent="0.35">
      <c r="A242" s="2">
        <v>3</v>
      </c>
      <c r="B242" s="15">
        <v>0.45902777777777776</v>
      </c>
      <c r="C242" s="21" t="s">
        <v>160</v>
      </c>
      <c r="Y242" s="16" t="s">
        <v>202</v>
      </c>
      <c r="Z242" s="16" t="s">
        <v>209</v>
      </c>
      <c r="AA242" s="16" t="s">
        <v>186</v>
      </c>
      <c r="AB242" s="16" t="s">
        <v>155</v>
      </c>
      <c r="AC242" s="16" t="s">
        <v>163</v>
      </c>
      <c r="AD242" s="16" t="s">
        <v>186</v>
      </c>
      <c r="AE242" s="16" t="s">
        <v>133</v>
      </c>
    </row>
    <row r="243" spans="1:36" x14ac:dyDescent="0.35">
      <c r="A243" s="2">
        <v>3</v>
      </c>
      <c r="B243" s="15">
        <v>0.40972222222222221</v>
      </c>
      <c r="C243" s="21" t="s">
        <v>130</v>
      </c>
      <c r="AF243" s="5" t="s">
        <v>229</v>
      </c>
      <c r="AG243" s="5" t="s">
        <v>192</v>
      </c>
      <c r="AH243" s="5" t="s">
        <v>230</v>
      </c>
      <c r="AI243" s="5" t="s">
        <v>193</v>
      </c>
      <c r="AJ243" s="5" t="s">
        <v>201</v>
      </c>
    </row>
    <row r="244" spans="1:36" x14ac:dyDescent="0.35">
      <c r="A244" s="2">
        <v>3</v>
      </c>
      <c r="B244" s="15">
        <v>0.40277777777777779</v>
      </c>
      <c r="C244" s="21" t="s">
        <v>130</v>
      </c>
      <c r="Y244" s="16" t="s">
        <v>202</v>
      </c>
      <c r="Z244" s="16" t="s">
        <v>218</v>
      </c>
      <c r="AA244" s="16" t="s">
        <v>186</v>
      </c>
      <c r="AB244" s="16" t="s">
        <v>186</v>
      </c>
      <c r="AC244" s="16" t="s">
        <v>163</v>
      </c>
      <c r="AD244" s="16" t="s">
        <v>186</v>
      </c>
      <c r="AE244" s="16" t="s">
        <v>186</v>
      </c>
    </row>
    <row r="245" spans="1:36" x14ac:dyDescent="0.35">
      <c r="A245" s="2">
        <v>3</v>
      </c>
      <c r="B245" s="15">
        <v>0.39930555555555558</v>
      </c>
      <c r="C245" s="21" t="s">
        <v>130</v>
      </c>
      <c r="AF245" s="5" t="s">
        <v>235</v>
      </c>
      <c r="AG245" s="5" t="s">
        <v>192</v>
      </c>
      <c r="AH245" s="5" t="s">
        <v>186</v>
      </c>
      <c r="AI245" s="5" t="s">
        <v>218</v>
      </c>
      <c r="AJ245" s="5" t="s">
        <v>190</v>
      </c>
    </row>
    <row r="246" spans="1:36" x14ac:dyDescent="0.35">
      <c r="A246" s="2">
        <v>3</v>
      </c>
      <c r="B246" s="15">
        <v>0.39583333333333331</v>
      </c>
      <c r="C246" s="21" t="s">
        <v>130</v>
      </c>
      <c r="Y246" s="16" t="s">
        <v>184</v>
      </c>
      <c r="Z246" s="16" t="s">
        <v>227</v>
      </c>
      <c r="AA246" s="16" t="s">
        <v>210</v>
      </c>
      <c r="AC246" s="16" t="s">
        <v>163</v>
      </c>
      <c r="AD246" s="16" t="s">
        <v>186</v>
      </c>
      <c r="AE246" s="16" t="s">
        <v>186</v>
      </c>
      <c r="AF246" s="5" t="s">
        <v>233</v>
      </c>
      <c r="AG246" s="5" t="s">
        <v>192</v>
      </c>
      <c r="AH246" s="5" t="s">
        <v>227</v>
      </c>
      <c r="AI246" s="5" t="s">
        <v>204</v>
      </c>
      <c r="AJ246" s="5" t="s">
        <v>201</v>
      </c>
    </row>
    <row r="247" spans="1:36" x14ac:dyDescent="0.35">
      <c r="A247" s="2">
        <v>3</v>
      </c>
      <c r="B247" s="15">
        <v>0.37569444444444444</v>
      </c>
      <c r="C247" s="21" t="s">
        <v>130</v>
      </c>
      <c r="Y247" s="16" t="s">
        <v>184</v>
      </c>
      <c r="Z247" s="16" t="s">
        <v>218</v>
      </c>
      <c r="AA247" s="16" t="s">
        <v>186</v>
      </c>
      <c r="AC247" s="16" t="s">
        <v>163</v>
      </c>
      <c r="AD247" s="16" t="s">
        <v>186</v>
      </c>
      <c r="AE247" s="16" t="s">
        <v>186</v>
      </c>
      <c r="AF247" s="5" t="s">
        <v>226</v>
      </c>
      <c r="AG247" s="5" t="s">
        <v>192</v>
      </c>
      <c r="AH247" s="5" t="s">
        <v>186</v>
      </c>
      <c r="AI247" s="5" t="s">
        <v>210</v>
      </c>
      <c r="AJ247" s="5" t="s">
        <v>190</v>
      </c>
    </row>
    <row r="248" spans="1:36" x14ac:dyDescent="0.35">
      <c r="A248" s="2">
        <v>3</v>
      </c>
      <c r="B248" s="15">
        <v>0.36875000000000002</v>
      </c>
      <c r="C248" s="21" t="s">
        <v>130</v>
      </c>
      <c r="Y248" s="16" t="s">
        <v>184</v>
      </c>
      <c r="Z248" s="16" t="s">
        <v>233</v>
      </c>
      <c r="AA248" s="16" t="s">
        <v>186</v>
      </c>
      <c r="AC248" s="16" t="s">
        <v>187</v>
      </c>
      <c r="AD248" s="16" t="s">
        <v>228</v>
      </c>
      <c r="AE248" s="16" t="s">
        <v>186</v>
      </c>
      <c r="AF248" s="5" t="s">
        <v>198</v>
      </c>
      <c r="AG248" s="5" t="s">
        <v>201</v>
      </c>
    </row>
    <row r="249" spans="1:36" x14ac:dyDescent="0.35">
      <c r="A249" s="2">
        <v>3</v>
      </c>
      <c r="B249" s="15">
        <v>0.35416666666666669</v>
      </c>
      <c r="C249" s="21" t="s">
        <v>130</v>
      </c>
      <c r="Y249" s="16" t="s">
        <v>202</v>
      </c>
      <c r="Z249" s="16" t="s">
        <v>232</v>
      </c>
      <c r="AA249" s="16" t="s">
        <v>198</v>
      </c>
      <c r="AB249" s="16" t="s">
        <v>186</v>
      </c>
      <c r="AC249" s="16" t="s">
        <v>187</v>
      </c>
      <c r="AD249" s="16" t="s">
        <v>186</v>
      </c>
      <c r="AE249" s="16" t="s">
        <v>186</v>
      </c>
      <c r="AF249" s="5" t="s">
        <v>198</v>
      </c>
      <c r="AG249" s="5" t="s">
        <v>201</v>
      </c>
    </row>
    <row r="250" spans="1:36" x14ac:dyDescent="0.35">
      <c r="A250" s="2">
        <v>3</v>
      </c>
      <c r="B250" s="15">
        <v>0.33194444444444443</v>
      </c>
      <c r="C250" s="21" t="s">
        <v>130</v>
      </c>
      <c r="Y250" s="16" t="s">
        <v>184</v>
      </c>
      <c r="Z250" s="16" t="s">
        <v>225</v>
      </c>
      <c r="AA250" s="16" t="s">
        <v>196</v>
      </c>
      <c r="AC250" s="16" t="s">
        <v>187</v>
      </c>
      <c r="AD250" s="16" t="s">
        <v>186</v>
      </c>
      <c r="AE250" s="16" t="s">
        <v>186</v>
      </c>
      <c r="AF250" s="5" t="s">
        <v>221</v>
      </c>
      <c r="AG250" s="5" t="s">
        <v>194</v>
      </c>
    </row>
    <row r="251" spans="1:36" x14ac:dyDescent="0.35">
      <c r="A251" s="2">
        <v>3</v>
      </c>
      <c r="B251" s="15">
        <v>0.31319444444444444</v>
      </c>
      <c r="C251" s="21" t="s">
        <v>130</v>
      </c>
      <c r="Y251" s="16" t="s">
        <v>202</v>
      </c>
      <c r="Z251" s="16" t="s">
        <v>233</v>
      </c>
      <c r="AA251" s="16" t="s">
        <v>189</v>
      </c>
      <c r="AB251" s="16" t="s">
        <v>186</v>
      </c>
      <c r="AC251" s="16" t="s">
        <v>163</v>
      </c>
      <c r="AD251" s="16" t="s">
        <v>186</v>
      </c>
      <c r="AE251" s="16" t="s">
        <v>186</v>
      </c>
    </row>
    <row r="252" spans="1:36" x14ac:dyDescent="0.35">
      <c r="A252" s="2">
        <v>3</v>
      </c>
      <c r="B252" s="15">
        <v>0.31041666666666667</v>
      </c>
      <c r="C252" s="21" t="s">
        <v>130</v>
      </c>
      <c r="Y252" s="16" t="s">
        <v>202</v>
      </c>
      <c r="Z252" s="16" t="s">
        <v>233</v>
      </c>
      <c r="AA252" s="16" t="s">
        <v>189</v>
      </c>
      <c r="AB252" s="16" t="s">
        <v>155</v>
      </c>
      <c r="AC252" s="16" t="s">
        <v>163</v>
      </c>
      <c r="AD252" s="16" t="s">
        <v>186</v>
      </c>
      <c r="AE252" s="16" t="s">
        <v>155</v>
      </c>
      <c r="AF252" s="5" t="s">
        <v>189</v>
      </c>
      <c r="AG252" s="5" t="s">
        <v>201</v>
      </c>
      <c r="AH252" s="5" t="s">
        <v>191</v>
      </c>
    </row>
    <row r="253" spans="1:36" x14ac:dyDescent="0.35">
      <c r="A253" s="2">
        <v>3</v>
      </c>
      <c r="B253" s="15">
        <v>0.29236111111111113</v>
      </c>
      <c r="C253" s="21" t="s">
        <v>130</v>
      </c>
      <c r="Y253" s="16" t="s">
        <v>202</v>
      </c>
      <c r="Z253" s="16" t="s">
        <v>185</v>
      </c>
      <c r="AA253" s="16" t="s">
        <v>210</v>
      </c>
      <c r="AB253" s="16" t="s">
        <v>186</v>
      </c>
      <c r="AC253" s="16" t="s">
        <v>163</v>
      </c>
      <c r="AD253" s="16" t="s">
        <v>186</v>
      </c>
      <c r="AE253" s="16" t="s">
        <v>186</v>
      </c>
    </row>
    <row r="254" spans="1:36" x14ac:dyDescent="0.35">
      <c r="A254" s="2">
        <v>3</v>
      </c>
      <c r="B254" s="15">
        <v>0.27777777777777779</v>
      </c>
      <c r="C254" s="21" t="s">
        <v>130</v>
      </c>
      <c r="Y254" s="16" t="s">
        <v>202</v>
      </c>
      <c r="Z254" s="16" t="s">
        <v>197</v>
      </c>
      <c r="AA254" s="16" t="s">
        <v>186</v>
      </c>
      <c r="AB254" s="16" t="s">
        <v>155</v>
      </c>
      <c r="AC254" s="16" t="s">
        <v>187</v>
      </c>
      <c r="AD254" s="16" t="s">
        <v>186</v>
      </c>
      <c r="AE254" s="16" t="s">
        <v>186</v>
      </c>
    </row>
    <row r="255" spans="1:36" x14ac:dyDescent="0.35">
      <c r="A255" s="2">
        <v>3</v>
      </c>
      <c r="B255" s="15">
        <v>0.26458333333333334</v>
      </c>
      <c r="C255" s="21" t="s">
        <v>130</v>
      </c>
      <c r="Y255" s="16" t="s">
        <v>202</v>
      </c>
      <c r="Z255" s="16" t="s">
        <v>209</v>
      </c>
      <c r="AA255" s="16" t="s">
        <v>215</v>
      </c>
      <c r="AB255" s="16" t="s">
        <v>155</v>
      </c>
      <c r="AC255" s="16" t="s">
        <v>163</v>
      </c>
      <c r="AD255" s="16" t="s">
        <v>186</v>
      </c>
      <c r="AE255" s="16" t="s">
        <v>186</v>
      </c>
    </row>
    <row r="256" spans="1:36" x14ac:dyDescent="0.35">
      <c r="A256" s="2">
        <v>3</v>
      </c>
      <c r="B256" s="15">
        <v>0.24652777777777779</v>
      </c>
      <c r="C256" s="21" t="s">
        <v>130</v>
      </c>
      <c r="Y256" s="16" t="s">
        <v>202</v>
      </c>
      <c r="Z256" s="16" t="s">
        <v>208</v>
      </c>
      <c r="AA256" s="16" t="s">
        <v>198</v>
      </c>
      <c r="AB256" s="16" t="s">
        <v>186</v>
      </c>
      <c r="AC256" s="16" t="s">
        <v>202</v>
      </c>
      <c r="AD256" s="16" t="s">
        <v>186</v>
      </c>
      <c r="AE256" s="16" t="s">
        <v>155</v>
      </c>
    </row>
    <row r="257" spans="1:36" x14ac:dyDescent="0.35">
      <c r="A257" s="2">
        <v>3</v>
      </c>
      <c r="B257" s="15">
        <v>0.22430555555555556</v>
      </c>
      <c r="C257" s="21" t="s">
        <v>160</v>
      </c>
      <c r="Y257" s="16" t="s">
        <v>195</v>
      </c>
      <c r="Z257" s="16" t="s">
        <v>197</v>
      </c>
      <c r="AA257" s="16" t="s">
        <v>223</v>
      </c>
      <c r="AB257" s="16" t="s">
        <v>186</v>
      </c>
      <c r="AC257" s="16" t="s">
        <v>187</v>
      </c>
      <c r="AD257" s="16" t="s">
        <v>186</v>
      </c>
      <c r="AE257" s="16" t="s">
        <v>186</v>
      </c>
    </row>
    <row r="258" spans="1:36" x14ac:dyDescent="0.35">
      <c r="A258" s="2">
        <v>3</v>
      </c>
      <c r="B258" s="15">
        <v>0.19444444444444445</v>
      </c>
      <c r="C258" s="21" t="s">
        <v>160</v>
      </c>
      <c r="Y258" s="16" t="s">
        <v>184</v>
      </c>
      <c r="Z258" s="16" t="s">
        <v>197</v>
      </c>
      <c r="AA258" s="16" t="s">
        <v>207</v>
      </c>
      <c r="AB258" s="16" t="s">
        <v>155</v>
      </c>
      <c r="AC258" s="16" t="s">
        <v>163</v>
      </c>
      <c r="AD258" s="16" t="s">
        <v>186</v>
      </c>
      <c r="AE258" s="16" t="s">
        <v>186</v>
      </c>
    </row>
    <row r="259" spans="1:36" x14ac:dyDescent="0.35">
      <c r="A259" s="2">
        <v>3</v>
      </c>
      <c r="B259" s="15">
        <v>0.14930555555555555</v>
      </c>
      <c r="C259" s="21" t="s">
        <v>160</v>
      </c>
      <c r="Y259" s="16" t="s">
        <v>202</v>
      </c>
      <c r="Z259" s="16" t="s">
        <v>197</v>
      </c>
      <c r="AA259" s="16" t="s">
        <v>186</v>
      </c>
      <c r="AB259" s="16" t="s">
        <v>155</v>
      </c>
      <c r="AC259" s="16" t="s">
        <v>163</v>
      </c>
      <c r="AD259" s="16" t="s">
        <v>186</v>
      </c>
      <c r="AE259" s="16" t="s">
        <v>186</v>
      </c>
    </row>
    <row r="260" spans="1:36" x14ac:dyDescent="0.35">
      <c r="A260" s="2">
        <v>3</v>
      </c>
      <c r="B260" s="15">
        <v>0.13194444444444445</v>
      </c>
      <c r="C260" s="21" t="s">
        <v>160</v>
      </c>
      <c r="Y260" s="16" t="s">
        <v>195</v>
      </c>
      <c r="Z260" s="16" t="s">
        <v>233</v>
      </c>
      <c r="AA260" s="16" t="s">
        <v>196</v>
      </c>
      <c r="AB260" s="16" t="s">
        <v>186</v>
      </c>
      <c r="AC260" s="16" t="s">
        <v>163</v>
      </c>
      <c r="AD260" s="16" t="s">
        <v>186</v>
      </c>
      <c r="AE260" s="16" t="s">
        <v>186</v>
      </c>
    </row>
    <row r="261" spans="1:36" x14ac:dyDescent="0.35">
      <c r="A261" s="2">
        <v>3</v>
      </c>
      <c r="B261" s="15">
        <v>0.12291666666666666</v>
      </c>
      <c r="C261" s="21" t="s">
        <v>160</v>
      </c>
      <c r="Y261" s="16" t="s">
        <v>184</v>
      </c>
      <c r="Z261" s="16" t="s">
        <v>228</v>
      </c>
      <c r="AA261" s="16" t="s">
        <v>223</v>
      </c>
      <c r="AB261" s="16" t="s">
        <v>186</v>
      </c>
      <c r="AC261" s="16" t="s">
        <v>187</v>
      </c>
      <c r="AD261" s="16" t="s">
        <v>186</v>
      </c>
      <c r="AE261" s="16" t="s">
        <v>186</v>
      </c>
    </row>
    <row r="262" spans="1:36" x14ac:dyDescent="0.35">
      <c r="A262" s="7">
        <v>3</v>
      </c>
      <c r="B262" s="14">
        <v>0.11041666666666666</v>
      </c>
      <c r="C262" s="21" t="s">
        <v>160</v>
      </c>
      <c r="Y262" s="16" t="s">
        <v>195</v>
      </c>
      <c r="Z262" s="16" t="s">
        <v>217</v>
      </c>
      <c r="AA262" s="16" t="s">
        <v>223</v>
      </c>
      <c r="AB262" s="16" t="s">
        <v>186</v>
      </c>
      <c r="AC262" s="16" t="s">
        <v>187</v>
      </c>
      <c r="AD262" s="16" t="s">
        <v>186</v>
      </c>
      <c r="AE262" s="16" t="s">
        <v>186</v>
      </c>
    </row>
    <row r="263" spans="1:36" x14ac:dyDescent="0.35">
      <c r="A263" s="2">
        <v>3</v>
      </c>
      <c r="B263" s="15">
        <v>0.10069444444444445</v>
      </c>
      <c r="C263" s="21" t="s">
        <v>160</v>
      </c>
      <c r="Y263" s="16" t="s">
        <v>184</v>
      </c>
      <c r="Z263" s="16" t="s">
        <v>225</v>
      </c>
      <c r="AA263" s="16" t="s">
        <v>199</v>
      </c>
      <c r="AB263" s="16" t="s">
        <v>186</v>
      </c>
      <c r="AC263" s="16" t="s">
        <v>163</v>
      </c>
      <c r="AD263" s="16" t="s">
        <v>186</v>
      </c>
      <c r="AE263" s="16" t="s">
        <v>186</v>
      </c>
    </row>
    <row r="264" spans="1:36" x14ac:dyDescent="0.35">
      <c r="A264" s="7">
        <v>3</v>
      </c>
      <c r="B264" s="15">
        <v>9.2361111111111116E-2</v>
      </c>
      <c r="C264" s="21" t="s">
        <v>161</v>
      </c>
      <c r="Y264" s="16" t="s">
        <v>202</v>
      </c>
      <c r="Z264" s="16" t="s">
        <v>221</v>
      </c>
      <c r="AA264" s="16" t="s">
        <v>186</v>
      </c>
      <c r="AB264" s="16" t="s">
        <v>186</v>
      </c>
      <c r="AC264" s="16" t="s">
        <v>163</v>
      </c>
      <c r="AD264" s="16" t="s">
        <v>186</v>
      </c>
      <c r="AE264" s="16" t="s">
        <v>186</v>
      </c>
    </row>
    <row r="265" spans="1:36" x14ac:dyDescent="0.35">
      <c r="A265" s="2">
        <v>3</v>
      </c>
      <c r="B265" s="15">
        <v>8.4027777777777785E-2</v>
      </c>
      <c r="C265" s="21" t="s">
        <v>130</v>
      </c>
      <c r="AF265" s="5" t="s">
        <v>204</v>
      </c>
      <c r="AG265" s="5" t="s">
        <v>192</v>
      </c>
      <c r="AH265" s="5" t="s">
        <v>186</v>
      </c>
      <c r="AI265" s="5" t="s">
        <v>215</v>
      </c>
      <c r="AJ265" s="5" t="s">
        <v>201</v>
      </c>
    </row>
    <row r="266" spans="1:36" x14ac:dyDescent="0.35">
      <c r="A266" s="2">
        <v>3</v>
      </c>
      <c r="B266" s="15">
        <v>6.458333333333334E-2</v>
      </c>
      <c r="C266" s="21" t="s">
        <v>130</v>
      </c>
      <c r="Y266" s="16" t="s">
        <v>184</v>
      </c>
      <c r="Z266" s="16" t="s">
        <v>191</v>
      </c>
      <c r="AA266" s="16" t="s">
        <v>203</v>
      </c>
      <c r="AB266" s="16" t="s">
        <v>186</v>
      </c>
      <c r="AC266" s="16" t="s">
        <v>202</v>
      </c>
      <c r="AD266" s="16" t="s">
        <v>186</v>
      </c>
      <c r="AE266" s="16" t="s">
        <v>186</v>
      </c>
      <c r="AF266" s="5" t="s">
        <v>189</v>
      </c>
      <c r="AG266" s="5" t="s">
        <v>216</v>
      </c>
    </row>
    <row r="267" spans="1:36" x14ac:dyDescent="0.35">
      <c r="A267" s="7"/>
      <c r="B267" s="14"/>
    </row>
    <row r="268" spans="1:36" x14ac:dyDescent="0.35">
      <c r="A268" s="7"/>
      <c r="B268" s="14"/>
    </row>
    <row r="269" spans="1:36" x14ac:dyDescent="0.35">
      <c r="B269" s="15"/>
    </row>
    <row r="270" spans="1:36" x14ac:dyDescent="0.35">
      <c r="A270" s="7"/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B273" s="15"/>
    </row>
    <row r="274" spans="1:2" x14ac:dyDescent="0.35">
      <c r="A274" s="7"/>
      <c r="B274" s="15"/>
    </row>
    <row r="275" spans="1:2" x14ac:dyDescent="0.35">
      <c r="B275" s="15"/>
    </row>
    <row r="276" spans="1:2" x14ac:dyDescent="0.35">
      <c r="A276" s="7"/>
      <c r="B276" s="15"/>
    </row>
    <row r="277" spans="1:2" x14ac:dyDescent="0.35">
      <c r="B277" s="15"/>
    </row>
    <row r="278" spans="1:2" x14ac:dyDescent="0.35">
      <c r="A278" s="7"/>
      <c r="B278" s="15"/>
    </row>
    <row r="279" spans="1:2" x14ac:dyDescent="0.35">
      <c r="B279" s="15"/>
    </row>
    <row r="280" spans="1:2" x14ac:dyDescent="0.35">
      <c r="A280" s="7"/>
      <c r="B280" s="14"/>
    </row>
    <row r="281" spans="1:2" x14ac:dyDescent="0.35">
      <c r="B281" s="15"/>
    </row>
    <row r="282" spans="1:2" x14ac:dyDescent="0.35">
      <c r="A282" s="7"/>
      <c r="B282" s="15"/>
    </row>
    <row r="283" spans="1:2" x14ac:dyDescent="0.35">
      <c r="A283" s="7"/>
      <c r="B283" s="15"/>
    </row>
    <row r="284" spans="1:2" x14ac:dyDescent="0.35">
      <c r="B284" s="15"/>
    </row>
    <row r="285" spans="1:2" x14ac:dyDescent="0.35">
      <c r="A285" s="7"/>
      <c r="B285" s="15"/>
    </row>
    <row r="286" spans="1:2" x14ac:dyDescent="0.35">
      <c r="B286" s="15"/>
    </row>
    <row r="287" spans="1:2" x14ac:dyDescent="0.35">
      <c r="B287" s="15"/>
    </row>
    <row r="288" spans="1:2" x14ac:dyDescent="0.35">
      <c r="A288" s="7"/>
      <c r="B288" s="15"/>
    </row>
    <row r="289" spans="1:2" x14ac:dyDescent="0.35">
      <c r="B289" s="15"/>
    </row>
    <row r="290" spans="1:2" x14ac:dyDescent="0.35">
      <c r="B290" s="15"/>
    </row>
    <row r="291" spans="1:2" x14ac:dyDescent="0.35">
      <c r="A291" s="7"/>
      <c r="B291" s="15"/>
    </row>
    <row r="292" spans="1:2" x14ac:dyDescent="0.35">
      <c r="A292" s="7"/>
      <c r="B292" s="15"/>
    </row>
    <row r="293" spans="1:2" x14ac:dyDescent="0.35">
      <c r="B293" s="15"/>
    </row>
    <row r="294" spans="1:2" x14ac:dyDescent="0.35">
      <c r="A294" s="7"/>
      <c r="B294" s="15"/>
    </row>
    <row r="295" spans="1:2" x14ac:dyDescent="0.35">
      <c r="B295" s="15"/>
    </row>
    <row r="296" spans="1:2" x14ac:dyDescent="0.35">
      <c r="A296" s="7"/>
      <c r="B296" s="15"/>
    </row>
    <row r="297" spans="1:2" x14ac:dyDescent="0.35">
      <c r="A297" s="7"/>
      <c r="B297" s="15"/>
    </row>
    <row r="298" spans="1:2" x14ac:dyDescent="0.35">
      <c r="B298" s="15"/>
    </row>
    <row r="299" spans="1:2" x14ac:dyDescent="0.35">
      <c r="A299" s="7"/>
      <c r="B299" s="14"/>
    </row>
    <row r="300" spans="1:2" x14ac:dyDescent="0.35">
      <c r="B300" s="15"/>
    </row>
    <row r="301" spans="1:2" x14ac:dyDescent="0.35">
      <c r="B301" s="15"/>
    </row>
    <row r="302" spans="1:2" x14ac:dyDescent="0.35">
      <c r="A302" s="7"/>
      <c r="B302" s="14"/>
    </row>
    <row r="303" spans="1:2" x14ac:dyDescent="0.35">
      <c r="B303" s="15"/>
    </row>
    <row r="304" spans="1:2" x14ac:dyDescent="0.35">
      <c r="A304" s="7"/>
      <c r="B304" s="15"/>
    </row>
    <row r="305" spans="1:2" x14ac:dyDescent="0.35">
      <c r="B305" s="15"/>
    </row>
    <row r="306" spans="1:2" x14ac:dyDescent="0.35">
      <c r="A306" s="7"/>
      <c r="B306" s="15"/>
    </row>
    <row r="307" spans="1:2" x14ac:dyDescent="0.35">
      <c r="A307" s="7"/>
      <c r="B307" s="14"/>
    </row>
    <row r="308" spans="1:2" x14ac:dyDescent="0.35">
      <c r="A308" s="7"/>
      <c r="B308" s="15"/>
    </row>
    <row r="309" spans="1:2" x14ac:dyDescent="0.35">
      <c r="B309" s="15"/>
    </row>
    <row r="310" spans="1:2" x14ac:dyDescent="0.35">
      <c r="A310" s="7"/>
      <c r="B310" s="15"/>
    </row>
    <row r="311" spans="1:2" x14ac:dyDescent="0.35">
      <c r="A311" s="7"/>
      <c r="B311" s="15"/>
    </row>
    <row r="312" spans="1:2" x14ac:dyDescent="0.35">
      <c r="B312" s="15"/>
    </row>
    <row r="313" spans="1:2" x14ac:dyDescent="0.35">
      <c r="B313" s="15"/>
    </row>
    <row r="314" spans="1:2" x14ac:dyDescent="0.35">
      <c r="A314" s="7"/>
      <c r="B314" s="15"/>
    </row>
    <row r="315" spans="1:2" x14ac:dyDescent="0.35">
      <c r="A315" s="7"/>
      <c r="B315" s="14"/>
    </row>
    <row r="316" spans="1:2" x14ac:dyDescent="0.35">
      <c r="B316" s="15"/>
    </row>
    <row r="317" spans="1:2" x14ac:dyDescent="0.35">
      <c r="A317" s="7"/>
      <c r="B317" s="15"/>
    </row>
    <row r="318" spans="1:2" x14ac:dyDescent="0.35">
      <c r="B318" s="15"/>
    </row>
    <row r="319" spans="1:2" x14ac:dyDescent="0.35">
      <c r="A319" s="7"/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B322" s="15"/>
    </row>
    <row r="323" spans="1:2" x14ac:dyDescent="0.35">
      <c r="A323" s="7"/>
      <c r="B323" s="14"/>
    </row>
    <row r="324" spans="1:2" x14ac:dyDescent="0.35">
      <c r="B324" s="15"/>
    </row>
    <row r="325" spans="1:2" x14ac:dyDescent="0.35">
      <c r="B325" s="15"/>
    </row>
    <row r="326" spans="1:2" x14ac:dyDescent="0.35">
      <c r="A326" s="7"/>
      <c r="B326" s="15"/>
    </row>
    <row r="327" spans="1:2" x14ac:dyDescent="0.35"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A330" s="7"/>
      <c r="B330" s="15"/>
    </row>
    <row r="331" spans="1:2" x14ac:dyDescent="0.35">
      <c r="A331" s="7"/>
      <c r="B331" s="15"/>
    </row>
    <row r="332" spans="1:2" x14ac:dyDescent="0.35">
      <c r="B332" s="15"/>
    </row>
    <row r="333" spans="1:2" x14ac:dyDescent="0.35">
      <c r="A333" s="7"/>
      <c r="B333" s="15"/>
    </row>
    <row r="334" spans="1:2" x14ac:dyDescent="0.35">
      <c r="A334" s="7"/>
      <c r="B334" s="15"/>
    </row>
    <row r="335" spans="1:2" x14ac:dyDescent="0.35">
      <c r="B335" s="15"/>
    </row>
    <row r="336" spans="1:2" x14ac:dyDescent="0.35">
      <c r="B336" s="15"/>
    </row>
    <row r="337" spans="1:2" x14ac:dyDescent="0.35">
      <c r="A337" s="7"/>
      <c r="B337" s="15"/>
    </row>
    <row r="338" spans="1:2" x14ac:dyDescent="0.35"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A341" s="7"/>
      <c r="B341" s="15"/>
    </row>
    <row r="342" spans="1:2" x14ac:dyDescent="0.35">
      <c r="A342" s="7"/>
      <c r="B342" s="15"/>
    </row>
    <row r="343" spans="1:2" x14ac:dyDescent="0.35">
      <c r="B343" s="15"/>
    </row>
    <row r="344" spans="1:2" x14ac:dyDescent="0.35">
      <c r="A344" s="7"/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B347" s="15"/>
    </row>
    <row r="348" spans="1:2" x14ac:dyDescent="0.35">
      <c r="A348"/>
      <c r="B348" s="15"/>
    </row>
    <row r="349" spans="1:2" x14ac:dyDescent="0.35">
      <c r="A349" s="7"/>
      <c r="B349" s="15"/>
    </row>
    <row r="350" spans="1:2" x14ac:dyDescent="0.35">
      <c r="A350"/>
      <c r="B350" s="15"/>
    </row>
    <row r="351" spans="1:2" x14ac:dyDescent="0.35">
      <c r="A351"/>
      <c r="B351" s="15"/>
    </row>
    <row r="352" spans="1:2" x14ac:dyDescent="0.35">
      <c r="A352" s="7"/>
      <c r="B352" s="15"/>
    </row>
    <row r="353" spans="1:2" x14ac:dyDescent="0.35">
      <c r="A353" s="7"/>
      <c r="B353" s="15"/>
    </row>
    <row r="354" spans="1:2" x14ac:dyDescent="0.35">
      <c r="A354"/>
      <c r="B354" s="15"/>
    </row>
    <row r="355" spans="1:2" x14ac:dyDescent="0.35">
      <c r="A355" s="7"/>
      <c r="B355" s="14"/>
    </row>
    <row r="356" spans="1:2" x14ac:dyDescent="0.35">
      <c r="A356"/>
      <c r="B356" s="15"/>
    </row>
    <row r="357" spans="1:2" x14ac:dyDescent="0.35">
      <c r="A357" s="7"/>
      <c r="B357" s="14"/>
    </row>
    <row r="358" spans="1:2" x14ac:dyDescent="0.35">
      <c r="A358"/>
      <c r="B358" s="15"/>
    </row>
    <row r="359" spans="1:2" x14ac:dyDescent="0.35">
      <c r="A359" s="7"/>
      <c r="B359" s="15"/>
    </row>
    <row r="360" spans="1:2" x14ac:dyDescent="0.35">
      <c r="A360"/>
      <c r="B360" s="15"/>
    </row>
    <row r="361" spans="1:2" x14ac:dyDescent="0.35">
      <c r="A361" s="7"/>
      <c r="B361" s="15"/>
    </row>
    <row r="362" spans="1:2" x14ac:dyDescent="0.35">
      <c r="A362" s="7"/>
      <c r="B362" s="15"/>
    </row>
    <row r="363" spans="1:2" x14ac:dyDescent="0.35">
      <c r="A363"/>
      <c r="B363" s="15"/>
    </row>
    <row r="364" spans="1:2" x14ac:dyDescent="0.35">
      <c r="A364" s="7"/>
      <c r="B364" s="15"/>
    </row>
    <row r="365" spans="1:2" x14ac:dyDescent="0.35">
      <c r="A365"/>
      <c r="B365" s="15"/>
    </row>
    <row r="366" spans="1:2" x14ac:dyDescent="0.35">
      <c r="A366"/>
      <c r="B366" s="15"/>
    </row>
    <row r="367" spans="1:2" x14ac:dyDescent="0.35">
      <c r="A367" s="7"/>
      <c r="B367" s="15"/>
    </row>
    <row r="368" spans="1:2" x14ac:dyDescent="0.35">
      <c r="A368"/>
      <c r="B368" s="15"/>
    </row>
    <row r="369" spans="1:2" x14ac:dyDescent="0.35">
      <c r="A369" s="7"/>
      <c r="B369" s="15"/>
    </row>
    <row r="370" spans="1:2" x14ac:dyDescent="0.35">
      <c r="A370"/>
      <c r="B370" s="15"/>
    </row>
    <row r="371" spans="1:2" x14ac:dyDescent="0.35">
      <c r="A371" s="7"/>
      <c r="B371" s="14"/>
    </row>
    <row r="372" spans="1:2" x14ac:dyDescent="0.35">
      <c r="A372"/>
      <c r="B372" s="15"/>
    </row>
    <row r="373" spans="1:2" x14ac:dyDescent="0.35">
      <c r="A373" s="7"/>
      <c r="B373" s="14"/>
    </row>
    <row r="374" spans="1:2" x14ac:dyDescent="0.35">
      <c r="A374" s="7"/>
      <c r="B374" s="15"/>
    </row>
    <row r="375" spans="1:2" x14ac:dyDescent="0.35">
      <c r="A375" s="7"/>
      <c r="B375" s="15"/>
    </row>
    <row r="376" spans="1:2" x14ac:dyDescent="0.35">
      <c r="A376"/>
      <c r="B376" s="15"/>
    </row>
    <row r="377" spans="1:2" x14ac:dyDescent="0.35">
      <c r="A377"/>
      <c r="B377" s="15"/>
    </row>
    <row r="378" spans="1:2" x14ac:dyDescent="0.35">
      <c r="A378" s="7"/>
      <c r="B378" s="15"/>
    </row>
    <row r="379" spans="1:2" x14ac:dyDescent="0.35">
      <c r="A379"/>
      <c r="B379" s="15"/>
    </row>
    <row r="380" spans="1:2" x14ac:dyDescent="0.35">
      <c r="A380"/>
      <c r="B380" s="15"/>
    </row>
    <row r="381" spans="1:2" x14ac:dyDescent="0.35">
      <c r="A381" s="7"/>
      <c r="B381" s="15"/>
    </row>
    <row r="382" spans="1:2" x14ac:dyDescent="0.35">
      <c r="A382"/>
      <c r="B382" s="15"/>
    </row>
    <row r="383" spans="1:2" x14ac:dyDescent="0.35">
      <c r="A383" s="7"/>
      <c r="B383" s="15"/>
    </row>
    <row r="384" spans="1:2" x14ac:dyDescent="0.35">
      <c r="A384"/>
      <c r="B384" s="15"/>
    </row>
    <row r="385" spans="1:2" x14ac:dyDescent="0.35">
      <c r="A385" s="7"/>
      <c r="B385" s="15"/>
    </row>
    <row r="386" spans="1:2" x14ac:dyDescent="0.35">
      <c r="A386" s="7"/>
      <c r="B386" s="15"/>
    </row>
    <row r="387" spans="1:2" x14ac:dyDescent="0.35">
      <c r="A387"/>
      <c r="B387" s="15"/>
    </row>
    <row r="388" spans="1:2" x14ac:dyDescent="0.35">
      <c r="A388" s="7"/>
      <c r="B388" s="14"/>
    </row>
    <row r="389" spans="1:2" x14ac:dyDescent="0.35">
      <c r="A389" s="7"/>
      <c r="B389" s="15"/>
    </row>
    <row r="390" spans="1:2" x14ac:dyDescent="0.35">
      <c r="A390"/>
      <c r="B390" s="15"/>
    </row>
    <row r="391" spans="1:2" x14ac:dyDescent="0.35">
      <c r="A391" s="7"/>
      <c r="B391" s="14"/>
    </row>
    <row r="392" spans="1:2" x14ac:dyDescent="0.35">
      <c r="A392"/>
      <c r="B392" s="15"/>
    </row>
    <row r="393" spans="1:2" x14ac:dyDescent="0.35">
      <c r="A393"/>
      <c r="B393" s="15"/>
    </row>
    <row r="394" spans="1:2" x14ac:dyDescent="0.35">
      <c r="A394" s="7"/>
      <c r="B394" s="15"/>
    </row>
    <row r="395" spans="1:2" x14ac:dyDescent="0.35">
      <c r="A395"/>
      <c r="B395" s="15"/>
    </row>
    <row r="396" spans="1:2" x14ac:dyDescent="0.35">
      <c r="A396" s="7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/>
      <c r="B400" s="15"/>
    </row>
    <row r="401" spans="1:2" x14ac:dyDescent="0.35">
      <c r="A401" s="7"/>
      <c r="B401" s="15"/>
    </row>
    <row r="402" spans="1:2" x14ac:dyDescent="0.35">
      <c r="A402" s="7"/>
      <c r="B402" s="14"/>
    </row>
    <row r="403" spans="1:2" x14ac:dyDescent="0.35">
      <c r="A403" s="7"/>
      <c r="B403" s="14"/>
    </row>
    <row r="404" spans="1:2" x14ac:dyDescent="0.35">
      <c r="A404" s="7"/>
      <c r="B404" s="15"/>
    </row>
    <row r="405" spans="1:2" x14ac:dyDescent="0.35">
      <c r="A405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 s="7"/>
      <c r="B408" s="15"/>
    </row>
    <row r="409" spans="1:2" x14ac:dyDescent="0.35">
      <c r="A409" s="7"/>
      <c r="B409" s="15"/>
    </row>
    <row r="410" spans="1:2" x14ac:dyDescent="0.35">
      <c r="A410" s="7"/>
      <c r="B410" s="14"/>
    </row>
    <row r="411" spans="1:2" x14ac:dyDescent="0.35">
      <c r="A411"/>
      <c r="B411" s="15"/>
    </row>
    <row r="412" spans="1:2" x14ac:dyDescent="0.35">
      <c r="A412" s="7"/>
      <c r="B412" s="15"/>
    </row>
    <row r="413" spans="1:2" x14ac:dyDescent="0.35">
      <c r="A413"/>
      <c r="B413" s="15"/>
    </row>
    <row r="414" spans="1:2" x14ac:dyDescent="0.35">
      <c r="A414" s="7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4"/>
    </row>
    <row r="418" spans="1:2" x14ac:dyDescent="0.35">
      <c r="A418"/>
      <c r="B418" s="15"/>
    </row>
    <row r="419" spans="1:2" x14ac:dyDescent="0.35">
      <c r="A419"/>
      <c r="B419" s="15"/>
    </row>
    <row r="420" spans="1:2" x14ac:dyDescent="0.35">
      <c r="A420" s="7"/>
      <c r="B420" s="15"/>
    </row>
    <row r="421" spans="1:2" x14ac:dyDescent="0.35">
      <c r="A421"/>
      <c r="B421" s="15"/>
    </row>
    <row r="422" spans="1:2" x14ac:dyDescent="0.35">
      <c r="A422"/>
      <c r="B422" s="15"/>
    </row>
    <row r="423" spans="1:2" x14ac:dyDescent="0.35">
      <c r="A423" s="7"/>
      <c r="B423" s="15"/>
    </row>
    <row r="424" spans="1:2" x14ac:dyDescent="0.35">
      <c r="A424"/>
      <c r="B424" s="15"/>
    </row>
    <row r="425" spans="1:2" x14ac:dyDescent="0.35">
      <c r="A425"/>
      <c r="B425" s="15"/>
    </row>
    <row r="426" spans="1:2" x14ac:dyDescent="0.35">
      <c r="A426" s="7"/>
      <c r="B426" s="15"/>
    </row>
    <row r="427" spans="1:2" x14ac:dyDescent="0.35">
      <c r="A427"/>
      <c r="B427" s="15"/>
    </row>
    <row r="428" spans="1:2" x14ac:dyDescent="0.35">
      <c r="A428"/>
      <c r="B428" s="15"/>
    </row>
    <row r="429" spans="1:2" x14ac:dyDescent="0.35">
      <c r="A429" s="7"/>
      <c r="B429" s="15"/>
    </row>
    <row r="430" spans="1:2" x14ac:dyDescent="0.35">
      <c r="A430"/>
      <c r="B430" s="15"/>
    </row>
    <row r="431" spans="1:2" x14ac:dyDescent="0.35">
      <c r="A431" s="7"/>
      <c r="B431" s="15"/>
    </row>
    <row r="432" spans="1:2" x14ac:dyDescent="0.35">
      <c r="A432" s="7"/>
      <c r="B432" s="14"/>
    </row>
    <row r="433" spans="1:2" x14ac:dyDescent="0.35">
      <c r="A433"/>
      <c r="B433" s="15"/>
    </row>
    <row r="434" spans="1:2" x14ac:dyDescent="0.35">
      <c r="A434"/>
      <c r="B434" s="15"/>
    </row>
    <row r="435" spans="1:2" x14ac:dyDescent="0.35">
      <c r="A435" s="7"/>
      <c r="B435" s="15"/>
    </row>
    <row r="436" spans="1:2" x14ac:dyDescent="0.35">
      <c r="A436"/>
      <c r="B436" s="15"/>
    </row>
    <row r="437" spans="1:2" x14ac:dyDescent="0.35">
      <c r="A437" s="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4"/>
    </row>
    <row r="441" spans="1:2" x14ac:dyDescent="0.35">
      <c r="A441"/>
      <c r="B441" s="15"/>
    </row>
    <row r="442" spans="1:2" x14ac:dyDescent="0.35">
      <c r="A442" s="7"/>
      <c r="B442" s="15"/>
    </row>
    <row r="443" spans="1:2" x14ac:dyDescent="0.35">
      <c r="A443"/>
      <c r="B443" s="15"/>
    </row>
    <row r="444" spans="1:2" x14ac:dyDescent="0.35">
      <c r="A444" s="7"/>
      <c r="B444" s="14"/>
    </row>
    <row r="445" spans="1:2" x14ac:dyDescent="0.35">
      <c r="A445" s="7"/>
      <c r="B445" s="14"/>
    </row>
    <row r="446" spans="1:2" x14ac:dyDescent="0.35">
      <c r="A446"/>
      <c r="B446" s="15"/>
    </row>
    <row r="447" spans="1:2" x14ac:dyDescent="0.35">
      <c r="A447" s="7"/>
      <c r="B447" s="14"/>
    </row>
    <row r="448" spans="1:2" x14ac:dyDescent="0.35">
      <c r="A448" s="7"/>
      <c r="B448" s="15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4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>
        <v>1</v>
      </c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  <c r="C1249" s="22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C1519" s="22"/>
    </row>
  </sheetData>
  <sortState xmlns:xlrd2="http://schemas.microsoft.com/office/spreadsheetml/2017/richdata2" ref="A2:AO450">
    <sortCondition ref="A2:A450"/>
    <sortCondition descending="1" ref="B2:B450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L9" sqref="L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17</v>
      </c>
      <c r="B2" s="8" t="s">
        <v>236</v>
      </c>
      <c r="C2" s="8" t="s">
        <v>131</v>
      </c>
      <c r="D2" s="8" t="s">
        <v>187</v>
      </c>
      <c r="E2" s="8">
        <v>14.633333333333001</v>
      </c>
      <c r="F2" s="8" t="s">
        <v>275</v>
      </c>
      <c r="G2" s="19" t="s">
        <v>276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0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0</v>
      </c>
      <c r="AD2" s="11">
        <f>COUNTIFS(Tracking!Z:Z,A2&amp;C2,Tracking!C:C,"5v5",Tracking!Y:Y,"C")</f>
        <v>0</v>
      </c>
      <c r="AE2" s="11">
        <f>COUNTIFS(Tracking!Z:Z,A2&amp;C2,Tracking!C:C,"5v5",Tracking!Y:Y,"F")</f>
        <v>5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1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2.5000000000000036E-2</v>
      </c>
      <c r="CK2" s="2">
        <f t="shared" ref="CK2:CK37" si="2">(0.075*H2)+(0.07*L2)+(0.055*M2)+(0.055*N2)+(0.095*J2)+(0.09*O2)+(0.05*P2)+(0.05*R2)+(0.05*S2)+(0.05*AB2)</f>
        <v>5.5E-2</v>
      </c>
      <c r="CL2" s="2">
        <f t="shared" ref="CL2:CL37" si="3">(0.045*AD2)-(0.045*AE2)+(0.055*AH2)+(0.035*AI2)</f>
        <v>-0.22499999999999998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3.5000000000000003E-2</v>
      </c>
      <c r="CO2" s="2">
        <f t="shared" ref="CO2:CO37" si="5">(0.015*AJ2)+(0.045*AG2)</f>
        <v>1.4999999999999999E-2</v>
      </c>
      <c r="CP2" s="2">
        <f t="shared" ref="CP2:CP37" si="6">(0.055*BM2)+(0.055*BN2)+(0.035*BO2)+(0.035*BQ2)+(0.055*BH2)+(0.035*BI2)+(0.035*BG2)</f>
        <v>0.14500000000000002</v>
      </c>
      <c r="CQ2" s="2">
        <f t="shared" ref="CQ2:CQ37" si="7">CK2+CL2+CM2+CN2+CO2</f>
        <v>-0.11999999999999998</v>
      </c>
    </row>
    <row r="3" spans="1:126" x14ac:dyDescent="0.35">
      <c r="A3" s="8">
        <v>45</v>
      </c>
      <c r="B3" s="8" t="s">
        <v>237</v>
      </c>
      <c r="C3" s="8" t="s">
        <v>131</v>
      </c>
      <c r="D3" s="8" t="s">
        <v>163</v>
      </c>
      <c r="E3" s="8">
        <v>16.5</v>
      </c>
      <c r="F3" s="8" t="s">
        <v>275</v>
      </c>
      <c r="G3" s="19" t="s">
        <v>276</v>
      </c>
      <c r="H3" s="9">
        <f>COUNTIFS(Tracking!E:E,A3,Tracking!D:D,C3,Tracking!C:C,"5v5")</f>
        <v>6</v>
      </c>
      <c r="I3" s="9">
        <f>COUNTIFS(Tracking!E:E,A3,Tracking!D:D,C3,Tracking!N:N,"y",Tracking!C:C,"5v5")</f>
        <v>5</v>
      </c>
      <c r="J3" s="9">
        <f>COUNTIFS(Tracking!E:E,A3,Tracking!D:D,C3,Tracking!M:M,"y",Tracking!C:C,"5v5")</f>
        <v>4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4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2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6</v>
      </c>
      <c r="AD3" s="11">
        <f>COUNTIFS(Tracking!Z:Z,A3&amp;C3,Tracking!C:C,"5v5",Tracking!Y:Y,"C")</f>
        <v>4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2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2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1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2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1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1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3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1</v>
      </c>
      <c r="CE3" s="12">
        <f>COUNTIFS(Tracking!E:E,A3,Tracking!D:D,C3,Tracking!C:C,"5v5",Tracking!R:R,"dz counter")</f>
        <v>1</v>
      </c>
      <c r="CF3" s="12">
        <f>COUNTIFS(Tracking!E:E,A3,Tracking!D:D,C3,Tracking!C:C,"5v5",Tracking!R:R,"nz turnover")</f>
        <v>1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1.3049999999999999</v>
      </c>
      <c r="CK3" s="2">
        <f t="shared" si="2"/>
        <v>0.88500000000000001</v>
      </c>
      <c r="CL3" s="2">
        <f t="shared" si="3"/>
        <v>0.245</v>
      </c>
      <c r="CM3" s="2">
        <f t="shared" ref="CM3" si="8">(0.025*(AY3-AZ3))+(0.035*BA3)-(0.015*BB3)-(0.015*BC3)+(0.015*(AY3-(BD3+BC3)))</f>
        <v>-0.03</v>
      </c>
      <c r="CN3" s="2">
        <f t="shared" si="4"/>
        <v>9.5000000000000001E-2</v>
      </c>
      <c r="CO3" s="2">
        <f t="shared" si="5"/>
        <v>0</v>
      </c>
      <c r="CP3" s="2">
        <f t="shared" si="6"/>
        <v>0.11</v>
      </c>
      <c r="CQ3" s="2">
        <f t="shared" si="7"/>
        <v>1.1949999999999998</v>
      </c>
    </row>
    <row r="4" spans="1:126" x14ac:dyDescent="0.35">
      <c r="A4" s="8">
        <v>20</v>
      </c>
      <c r="B4" s="8" t="s">
        <v>238</v>
      </c>
      <c r="C4" s="8" t="s">
        <v>131</v>
      </c>
      <c r="D4" s="8" t="s">
        <v>187</v>
      </c>
      <c r="E4" s="8">
        <v>9.5</v>
      </c>
      <c r="F4" s="8" t="s">
        <v>275</v>
      </c>
      <c r="G4" s="19" t="s">
        <v>276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1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2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0.08</v>
      </c>
      <c r="CK4" s="2">
        <f t="shared" si="2"/>
        <v>7.0000000000000007E-2</v>
      </c>
      <c r="CL4" s="2">
        <f t="shared" si="3"/>
        <v>4.4999999999999998E-2</v>
      </c>
      <c r="CM4" s="2">
        <f>(0.015*(AY4-AZ4))+(0.035*BA4)-(0.015*BB4)-(0.025*BC4)+(0.015*(AY4-(BD4+BC4)))</f>
        <v>0</v>
      </c>
      <c r="CN4" s="2">
        <f t="shared" si="4"/>
        <v>-3.5000000000000003E-2</v>
      </c>
      <c r="CO4" s="2">
        <f t="shared" si="5"/>
        <v>0</v>
      </c>
      <c r="CP4" s="2">
        <f t="shared" si="6"/>
        <v>0</v>
      </c>
      <c r="CQ4" s="2">
        <f t="shared" si="7"/>
        <v>0.08</v>
      </c>
    </row>
    <row r="5" spans="1:126" x14ac:dyDescent="0.35">
      <c r="A5" s="8">
        <v>61</v>
      </c>
      <c r="B5" s="8" t="s">
        <v>239</v>
      </c>
      <c r="C5" s="8" t="s">
        <v>131</v>
      </c>
      <c r="D5" s="8" t="s">
        <v>187</v>
      </c>
      <c r="E5" s="8">
        <v>14.35</v>
      </c>
      <c r="F5" s="8" t="s">
        <v>275</v>
      </c>
      <c r="G5" s="19" t="s">
        <v>276</v>
      </c>
      <c r="H5" s="9">
        <f>COUNTIFS(Tracking!E:E,A5,Tracking!D:D,C5,Tracking!C:C,"5v5")</f>
        <v>3</v>
      </c>
      <c r="I5" s="9">
        <f>COUNTIFS(Tracking!E:E,A5,Tracking!D:D,C5,Tracking!N:N,"y",Tracking!C:C,"5v5")</f>
        <v>3</v>
      </c>
      <c r="J5" s="9">
        <f>COUNTIFS(Tracking!E:E,A5,Tracking!D:D,C5,Tracking!M:M,"y",Tracking!C:C,"5v5")</f>
        <v>2</v>
      </c>
      <c r="K5" s="9">
        <f t="shared" si="0"/>
        <v>2</v>
      </c>
      <c r="L5" s="9">
        <f>COUNTIFS(Tracking!G:G,A5,Tracking!D:D,C5,Tracking!C:C,"5v5")</f>
        <v>2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3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8</v>
      </c>
      <c r="AD5" s="11">
        <f>COUNTIFS(Tracking!Z:Z,A5&amp;C5,Tracking!C:C,"5v5",Tracking!Y:Y,"C")</f>
        <v>4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3</v>
      </c>
      <c r="AG5" s="11">
        <f>COUNTIFS(Tracking!AD:AD,A5&amp;C5,Tracking!C:C,"5v5")</f>
        <v>1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2</v>
      </c>
      <c r="AL5" s="5">
        <f>COUNTIFS(Tracking!AF:AF,A5&amp;C5,Tracking!C:C,"5v5")-AT5</f>
        <v>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0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2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1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3</v>
      </c>
      <c r="BF5" s="10">
        <f>COUNTIFS(Tracking!Z:Z,A5&amp;C5,Tracking!C:C,"5v4",Tracking!Y:Y,"C")</f>
        <v>2</v>
      </c>
      <c r="BG5" s="10">
        <f>COUNTIFS(Tracking!Z:Z,A5&amp;C5,Tracking!C:C,"5v4",Tracking!AB:AB,"Y")</f>
        <v>2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1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3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1.0099999999999998</v>
      </c>
      <c r="CK5" s="2">
        <f t="shared" si="2"/>
        <v>0.64499999999999991</v>
      </c>
      <c r="CL5" s="2">
        <f t="shared" si="3"/>
        <v>0.23499999999999999</v>
      </c>
      <c r="CM5" s="2">
        <f t="shared" ref="CM5:CM37" si="9">(0.015*(AY5-AZ5))+(0.035*BA5)-(0.015*BB5)-(0.025*BC5)+(0.015*(AY5-(BD5+BC5)))</f>
        <v>0.03</v>
      </c>
      <c r="CN5" s="2">
        <f t="shared" si="4"/>
        <v>-7.0000000000000007E-2</v>
      </c>
      <c r="CO5" s="2">
        <f t="shared" si="5"/>
        <v>4.4999999999999998E-2</v>
      </c>
      <c r="CP5" s="2">
        <f t="shared" si="6"/>
        <v>0.125</v>
      </c>
      <c r="CQ5" s="2">
        <f t="shared" si="7"/>
        <v>0.8849999999999999</v>
      </c>
    </row>
    <row r="6" spans="1:126" x14ac:dyDescent="0.35">
      <c r="A6" s="8">
        <v>14</v>
      </c>
      <c r="B6" s="8" t="s">
        <v>240</v>
      </c>
      <c r="C6" s="8" t="s">
        <v>131</v>
      </c>
      <c r="D6" s="8" t="s">
        <v>184</v>
      </c>
      <c r="E6" s="8">
        <v>14.483333333333</v>
      </c>
      <c r="F6" s="8" t="s">
        <v>275</v>
      </c>
      <c r="G6" s="19" t="s">
        <v>276</v>
      </c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3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16</v>
      </c>
      <c r="AL6" s="5">
        <f>COUNTIFS(Tracking!AF:AF,A6&amp;C6,Tracking!C:C,"5v5")-AT6</f>
        <v>13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8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7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7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6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2</v>
      </c>
      <c r="AY6" s="1">
        <f>COUNTIFS(Tracking!AA:AA,A6&amp;C6,Tracking!C:C,"5v5")</f>
        <v>3</v>
      </c>
      <c r="AZ6" s="1">
        <f>COUNTIFS(Tracking!AA:AA,A6&amp;C6,Tracking!C:C,"5v5",Tracking!Y:Y,"C")</f>
        <v>3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1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0.69000000000000006</v>
      </c>
      <c r="CK6" s="2">
        <f t="shared" si="2"/>
        <v>0.54</v>
      </c>
      <c r="CL6" s="2">
        <f t="shared" si="3"/>
        <v>4.4999999999999998E-2</v>
      </c>
      <c r="CM6" s="2">
        <f t="shared" si="9"/>
        <v>-1.0000000000000002E-2</v>
      </c>
      <c r="CN6" s="2">
        <f t="shared" si="4"/>
        <v>0.1</v>
      </c>
      <c r="CO6" s="2">
        <f t="shared" si="5"/>
        <v>1.4999999999999999E-2</v>
      </c>
      <c r="CP6" s="2">
        <f t="shared" si="6"/>
        <v>0</v>
      </c>
      <c r="CQ6" s="2">
        <f t="shared" si="7"/>
        <v>0.69000000000000006</v>
      </c>
    </row>
    <row r="7" spans="1:126" x14ac:dyDescent="0.35">
      <c r="A7" s="8">
        <v>74</v>
      </c>
      <c r="B7" s="8" t="s">
        <v>241</v>
      </c>
      <c r="C7" s="8" t="s">
        <v>131</v>
      </c>
      <c r="D7" s="8" t="s">
        <v>195</v>
      </c>
      <c r="E7" s="8">
        <v>9.5</v>
      </c>
      <c r="F7" s="8" t="s">
        <v>275</v>
      </c>
      <c r="G7" s="19" t="s">
        <v>276</v>
      </c>
      <c r="H7" s="9">
        <f>COUNTIFS(Tracking!E:E,A7,Tracking!D:D,C7,Tracking!C:C,"5v5")</f>
        <v>1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0.12</v>
      </c>
      <c r="CK7" s="2">
        <f t="shared" si="2"/>
        <v>7.4999999999999997E-2</v>
      </c>
      <c r="CL7" s="2">
        <f t="shared" si="3"/>
        <v>4.4999999999999998E-2</v>
      </c>
      <c r="CM7" s="2">
        <f t="shared" si="9"/>
        <v>0</v>
      </c>
      <c r="CN7" s="2">
        <f t="shared" si="4"/>
        <v>0</v>
      </c>
      <c r="CO7" s="2">
        <f t="shared" si="5"/>
        <v>0</v>
      </c>
      <c r="CP7" s="2">
        <f t="shared" si="6"/>
        <v>0</v>
      </c>
      <c r="CQ7" s="2">
        <f t="shared" si="7"/>
        <v>0.12</v>
      </c>
    </row>
    <row r="8" spans="1:126" x14ac:dyDescent="0.35">
      <c r="A8" s="8">
        <v>2</v>
      </c>
      <c r="B8" s="8" t="s">
        <v>242</v>
      </c>
      <c r="C8" s="8" t="s">
        <v>131</v>
      </c>
      <c r="D8" s="8" t="s">
        <v>184</v>
      </c>
      <c r="E8" s="8">
        <v>19.783333333333001</v>
      </c>
      <c r="F8" s="8" t="s">
        <v>275</v>
      </c>
      <c r="G8" s="19" t="s">
        <v>276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4</v>
      </c>
      <c r="L8" s="9">
        <f>COUNTIFS(Tracking!G:G,A8,Tracking!D:D,C8,Tracking!C:C,"5v5")</f>
        <v>4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2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2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1</v>
      </c>
      <c r="AJ8" s="11">
        <f>COUNTIFS(Tracking!AH:AH,A8&amp;C8)</f>
        <v>1</v>
      </c>
      <c r="AK8" s="5">
        <f>COUNTIFS(Tracking!AI:AI,A8&amp;C8,Tracking!C:C,"5v5")+AL8</f>
        <v>14</v>
      </c>
      <c r="AL8" s="5">
        <f>COUNTIFS(Tracking!AF:AF,A8&amp;C8,Tracking!C:C,"5v5")-AT8</f>
        <v>12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7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5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4</v>
      </c>
      <c r="AQ8" s="5">
        <f>COUNTIFS(Tracking!AF:AF,A8&amp;C8,Tracking!C:C,"5v5",Tracking!AG:AG,"CLE")+COUNTIFS(Tracking!AI:AI,A8&amp;C8,Tracking!C:C,"5v5",Tracking!AJ:AJ,"CLE")</f>
        <v>2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7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5</v>
      </c>
      <c r="AV8" s="5">
        <f>COUNTIFS(Tracking!AF:AF,A8&amp;C8,Tracking!C:C,"5v5",Tracking!AG:AG,"FEX")+COUNTIFS(Tracking!AI:AI,A8&amp;C8,Tracking!C:C,"5v5",Tracking!AJ:AJ,"FEX")</f>
        <v>2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6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8</v>
      </c>
      <c r="AZ8" s="1">
        <f>COUNTIFS(Tracking!AA:AA,A8&amp;C8,Tracking!C:C,"5v5",Tracking!Y:Y,"C")</f>
        <v>5</v>
      </c>
      <c r="BA8" s="1">
        <f>COUNTIFS(Tracking!AA:AA,A8&amp;C8,Tracking!C:C,"5v5",Tracking!Y:Y,"F")</f>
        <v>0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1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1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1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2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1.21</v>
      </c>
      <c r="CK8" s="2">
        <f t="shared" si="2"/>
        <v>0.75500000000000012</v>
      </c>
      <c r="CL8" s="2">
        <f t="shared" si="3"/>
        <v>0.13500000000000001</v>
      </c>
      <c r="CM8" s="2">
        <f t="shared" si="9"/>
        <v>9.5000000000000001E-2</v>
      </c>
      <c r="CN8" s="2">
        <f t="shared" si="4"/>
        <v>0.21000000000000002</v>
      </c>
      <c r="CO8" s="2">
        <f t="shared" si="5"/>
        <v>1.4999999999999999E-2</v>
      </c>
      <c r="CP8" s="2">
        <f t="shared" si="6"/>
        <v>0</v>
      </c>
      <c r="CQ8" s="2">
        <f t="shared" si="7"/>
        <v>1.21</v>
      </c>
    </row>
    <row r="9" spans="1:126" x14ac:dyDescent="0.35">
      <c r="A9" s="8">
        <v>65</v>
      </c>
      <c r="B9" s="8" t="s">
        <v>243</v>
      </c>
      <c r="C9" s="8" t="s">
        <v>131</v>
      </c>
      <c r="D9" s="8" t="s">
        <v>184</v>
      </c>
      <c r="E9" s="8">
        <v>17.95</v>
      </c>
      <c r="F9" s="8" t="s">
        <v>275</v>
      </c>
      <c r="G9" s="19" t="s">
        <v>276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2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4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2</v>
      </c>
      <c r="AZ9" s="1">
        <f>COUNTIFS(Tracking!AA:AA,A9&amp;C9,Tracking!C:C,"5v5",Tracking!Y:Y,"C")</f>
        <v>1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3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0.17499999999999999</v>
      </c>
      <c r="CK9" s="2">
        <f t="shared" si="2"/>
        <v>0.125</v>
      </c>
      <c r="CL9" s="2">
        <f t="shared" si="3"/>
        <v>0</v>
      </c>
      <c r="CM9" s="2">
        <f t="shared" si="9"/>
        <v>4.4999999999999998E-2</v>
      </c>
      <c r="CN9" s="2">
        <f t="shared" si="4"/>
        <v>-0.11500000000000002</v>
      </c>
      <c r="CO9" s="2">
        <f t="shared" si="5"/>
        <v>1.4999999999999999E-2</v>
      </c>
      <c r="CP9" s="2">
        <f t="shared" si="6"/>
        <v>0.10500000000000001</v>
      </c>
      <c r="CQ9" s="2">
        <f t="shared" si="7"/>
        <v>6.9999999999999965E-2</v>
      </c>
    </row>
    <row r="10" spans="1:126" x14ac:dyDescent="0.35">
      <c r="A10" s="8">
        <v>28</v>
      </c>
      <c r="B10" s="8" t="s">
        <v>244</v>
      </c>
      <c r="C10" s="8" t="s">
        <v>131</v>
      </c>
      <c r="D10" s="8" t="s">
        <v>187</v>
      </c>
      <c r="E10" s="8">
        <v>12.783333333332999</v>
      </c>
      <c r="F10" s="8" t="s">
        <v>275</v>
      </c>
      <c r="G10" s="19" t="s">
        <v>276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8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1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3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0.66</v>
      </c>
      <c r="CK10" s="2">
        <f t="shared" si="2"/>
        <v>0.39500000000000002</v>
      </c>
      <c r="CL10" s="2">
        <f t="shared" si="3"/>
        <v>4.4999999999999998E-2</v>
      </c>
      <c r="CM10" s="2">
        <f t="shared" si="9"/>
        <v>0.11</v>
      </c>
      <c r="CN10" s="2">
        <f t="shared" si="4"/>
        <v>3.5000000000000003E-2</v>
      </c>
      <c r="CO10" s="2">
        <f t="shared" si="5"/>
        <v>7.4999999999999997E-2</v>
      </c>
      <c r="CP10" s="2">
        <f t="shared" si="6"/>
        <v>0</v>
      </c>
      <c r="CQ10" s="2">
        <f t="shared" si="7"/>
        <v>0.66</v>
      </c>
    </row>
    <row r="11" spans="1:126" x14ac:dyDescent="0.35">
      <c r="A11" s="8">
        <v>23</v>
      </c>
      <c r="B11" s="8" t="s">
        <v>245</v>
      </c>
      <c r="C11" s="8" t="s">
        <v>131</v>
      </c>
      <c r="D11" s="8" t="s">
        <v>202</v>
      </c>
      <c r="E11" s="8">
        <v>10.933333333333</v>
      </c>
      <c r="F11" s="8" t="s">
        <v>275</v>
      </c>
      <c r="G11" s="19" t="s">
        <v>276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2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1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4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2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1</v>
      </c>
      <c r="BN11" s="10">
        <f>COUNTIFS(Tracking!G:G,A11,Tracking!D:D,C11,Tracking!C:C,"5v4",Tracking!M:M,"Y")</f>
        <v>2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1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1</v>
      </c>
      <c r="CD11" s="12">
        <f>COUNTIFS(Tracking!E:E,A11,Tracking!D:D,C11,Tracking!C:C,"5v5",Tracking!R:R,"dz exit")</f>
        <v>1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0.81500000000000017</v>
      </c>
      <c r="CK11" s="2">
        <f t="shared" si="2"/>
        <v>0.39500000000000002</v>
      </c>
      <c r="CL11" s="2">
        <f t="shared" si="3"/>
        <v>0.14499999999999999</v>
      </c>
      <c r="CM11" s="2">
        <f t="shared" si="9"/>
        <v>0</v>
      </c>
      <c r="CN11" s="2">
        <f t="shared" si="4"/>
        <v>6.0000000000000005E-2</v>
      </c>
      <c r="CO11" s="2">
        <f t="shared" si="5"/>
        <v>1.4999999999999999E-2</v>
      </c>
      <c r="CP11" s="2">
        <f t="shared" si="6"/>
        <v>0.2</v>
      </c>
      <c r="CQ11" s="2">
        <f t="shared" si="7"/>
        <v>0.6150000000000001</v>
      </c>
    </row>
    <row r="12" spans="1:126" x14ac:dyDescent="0.35">
      <c r="A12" s="8">
        <v>64</v>
      </c>
      <c r="B12" s="8" t="s">
        <v>246</v>
      </c>
      <c r="C12" s="8" t="s">
        <v>131</v>
      </c>
      <c r="D12" s="8" t="s">
        <v>202</v>
      </c>
      <c r="E12" s="8">
        <v>16.649999999999999</v>
      </c>
      <c r="F12" s="8" t="s">
        <v>275</v>
      </c>
      <c r="G12" s="19" t="s">
        <v>276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4</v>
      </c>
      <c r="L12" s="9">
        <f>COUNTIFS(Tracking!G:G,A12,Tracking!D:D,C12,Tracking!C:C,"5v5")</f>
        <v>4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3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1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2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8</v>
      </c>
      <c r="AD12" s="11">
        <f>COUNTIFS(Tracking!Z:Z,A12&amp;C12,Tracking!C:C,"5v5",Tracking!Y:Y,"C")</f>
        <v>8</v>
      </c>
      <c r="AE12" s="11">
        <f>COUNTIFS(Tracking!Z:Z,A12&amp;C12,Tracking!C:C,"5v5",Tracking!Y:Y,"F")</f>
        <v>2</v>
      </c>
      <c r="AF12" s="11">
        <f>COUNTIFS(Tracking!Z:Z,A12&amp;C12,Tracking!C:C,"5v5",Tracking!Y:Y,"C",Tracking!AB:AB,"Y")</f>
        <v>2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2</v>
      </c>
      <c r="AI12" s="11">
        <f>COUNTIFS(Tracking!Z:Z,A12&amp;C12,Tracking!C:C,"5v5",Tracking!Y:Y,"D",Tracking!AE:AE,"Y")</f>
        <v>0</v>
      </c>
      <c r="AJ12" s="11">
        <f>COUNTIFS(Tracking!AH:AH,A12&amp;C12)</f>
        <v>3</v>
      </c>
      <c r="AK12" s="5">
        <f>COUNTIFS(Tracking!AI:AI,A12&amp;C12,Tracking!C:C,"5v5")+AL12</f>
        <v>9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5</v>
      </c>
      <c r="AO12" s="5">
        <f>COUNTIFS(Tracking!AF:AF,A12&amp;C12,Tracking!C:C,"5v5",Tracking!AG:AG,"CEX")+COUNTIFS(Tracking!AI:AI,A12&amp;C12,Tracking!C:C,"5v5",Tracking!AJ:AJ,"CEX")</f>
        <v>3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5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3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1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1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2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1.405</v>
      </c>
      <c r="CK12" s="2">
        <f t="shared" si="2"/>
        <v>0.65000000000000013</v>
      </c>
      <c r="CL12" s="2">
        <f t="shared" si="3"/>
        <v>0.38</v>
      </c>
      <c r="CM12" s="2">
        <f t="shared" si="9"/>
        <v>0.03</v>
      </c>
      <c r="CN12" s="2">
        <f t="shared" si="4"/>
        <v>0.26500000000000001</v>
      </c>
      <c r="CO12" s="2">
        <f t="shared" si="5"/>
        <v>4.4999999999999998E-2</v>
      </c>
      <c r="CP12" s="2">
        <f t="shared" si="6"/>
        <v>3.5000000000000003E-2</v>
      </c>
      <c r="CQ12" s="2">
        <f t="shared" si="7"/>
        <v>1.37</v>
      </c>
    </row>
    <row r="13" spans="1:126" x14ac:dyDescent="0.35">
      <c r="A13" s="8">
        <v>51</v>
      </c>
      <c r="B13" s="8" t="s">
        <v>247</v>
      </c>
      <c r="C13" s="8" t="s">
        <v>131</v>
      </c>
      <c r="D13" s="8" t="s">
        <v>184</v>
      </c>
      <c r="E13" s="8">
        <v>14.516666666667</v>
      </c>
      <c r="F13" s="8" t="s">
        <v>275</v>
      </c>
      <c r="G13" s="19" t="s">
        <v>276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0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6</v>
      </c>
      <c r="AL13" s="5">
        <f>COUNTIFS(Tracking!AF:AF,A13&amp;C13,Tracking!C:C,"5v5")-AT13</f>
        <v>5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2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2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2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5</v>
      </c>
      <c r="AZ13" s="1">
        <f>COUNTIFS(Tracking!AA:AA,A13&amp;C13,Tracking!C:C,"5v5",Tracking!Y:Y,"C")</f>
        <v>1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1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</v>
      </c>
      <c r="CK13" s="2">
        <f t="shared" si="2"/>
        <v>0.16999999999999998</v>
      </c>
      <c r="CL13" s="2">
        <f t="shared" si="3"/>
        <v>4.4999999999999998E-2</v>
      </c>
      <c r="CM13" s="2">
        <f t="shared" si="9"/>
        <v>0.13500000000000001</v>
      </c>
      <c r="CN13" s="2">
        <f t="shared" si="4"/>
        <v>1.5000000000000013E-2</v>
      </c>
      <c r="CO13" s="2">
        <f t="shared" si="5"/>
        <v>0</v>
      </c>
      <c r="CP13" s="2">
        <f t="shared" si="6"/>
        <v>3.5000000000000003E-2</v>
      </c>
      <c r="CQ13" s="2">
        <f t="shared" si="7"/>
        <v>0.36499999999999999</v>
      </c>
    </row>
    <row r="14" spans="1:126" x14ac:dyDescent="0.35">
      <c r="A14" s="8">
        <v>98</v>
      </c>
      <c r="B14" s="8" t="s">
        <v>248</v>
      </c>
      <c r="C14" s="8" t="s">
        <v>131</v>
      </c>
      <c r="D14" s="8" t="s">
        <v>184</v>
      </c>
      <c r="E14" s="8">
        <v>13.9</v>
      </c>
      <c r="F14" s="8" t="s">
        <v>275</v>
      </c>
      <c r="G14" s="19" t="s">
        <v>276</v>
      </c>
      <c r="H14" s="9">
        <f>COUNTIFS(Tracking!E:E,A14,Tracking!D:D,C14,Tracking!C:C,"5v5")</f>
        <v>0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0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0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0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0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6</v>
      </c>
      <c r="AZ14" s="1">
        <f>COUNTIFS(Tracking!AA:AA,A14&amp;C14,Tracking!C:C,"5v5",Tracking!Y:Y,"C")</f>
        <v>3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1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1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0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0.36499999999999999</v>
      </c>
      <c r="CK14" s="2">
        <f t="shared" si="2"/>
        <v>0.215</v>
      </c>
      <c r="CL14" s="2">
        <f t="shared" si="3"/>
        <v>0</v>
      </c>
      <c r="CM14" s="2">
        <f t="shared" si="9"/>
        <v>0.11499999999999999</v>
      </c>
      <c r="CN14" s="2">
        <f t="shared" si="4"/>
        <v>-7.0000000000000007E-2</v>
      </c>
      <c r="CO14" s="2">
        <f t="shared" si="5"/>
        <v>1.4999999999999999E-2</v>
      </c>
      <c r="CP14" s="2">
        <f t="shared" si="6"/>
        <v>0.09</v>
      </c>
      <c r="CQ14" s="2">
        <f t="shared" si="7"/>
        <v>0.27499999999999997</v>
      </c>
    </row>
    <row r="15" spans="1:126" x14ac:dyDescent="0.35">
      <c r="A15" s="8">
        <v>7</v>
      </c>
      <c r="B15" s="8" t="s">
        <v>249</v>
      </c>
      <c r="C15" s="8" t="s">
        <v>131</v>
      </c>
      <c r="D15" s="8" t="s">
        <v>184</v>
      </c>
      <c r="E15" s="8">
        <v>15.683333333333</v>
      </c>
      <c r="F15" s="8" t="s">
        <v>275</v>
      </c>
      <c r="G15" s="19" t="s">
        <v>276</v>
      </c>
      <c r="H15" s="9">
        <f>COUNTIFS(Tracking!E:E,A15,Tracking!D:D,C15,Tracking!C:C,"5v5")</f>
        <v>2</v>
      </c>
      <c r="I15" s="9">
        <f>COUNTIFS(Tracking!E:E,A15,Tracking!D:D,C15,Tracking!N:N,"y",Tracking!C:C,"5v5")</f>
        <v>2</v>
      </c>
      <c r="J15" s="9">
        <f>COUNTIFS(Tracking!E:E,A15,Tracking!D:D,C15,Tracking!M:M,"y",Tracking!C:C,"5v5")</f>
        <v>0</v>
      </c>
      <c r="K15" s="9">
        <f t="shared" si="0"/>
        <v>2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2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2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2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5</v>
      </c>
      <c r="AD15" s="11">
        <f>COUNTIFS(Tracking!Z:Z,A15&amp;C15,Tracking!C:C,"5v5",Tracking!Y:Y,"C")</f>
        <v>3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7</v>
      </c>
      <c r="AL15" s="5">
        <f>COUNTIFS(Tracking!AF:AF,A15&amp;C15,Tracking!C:C,"5v5")-AT15</f>
        <v>5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3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4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2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0.46500000000000008</v>
      </c>
      <c r="CK15" s="2">
        <f t="shared" si="2"/>
        <v>0.26</v>
      </c>
      <c r="CL15" s="2">
        <f t="shared" si="3"/>
        <v>0.13500000000000001</v>
      </c>
      <c r="CM15" s="2">
        <f t="shared" si="9"/>
        <v>0.03</v>
      </c>
      <c r="CN15" s="2">
        <f t="shared" si="4"/>
        <v>2.4999999999999994E-2</v>
      </c>
      <c r="CO15" s="2">
        <f t="shared" si="5"/>
        <v>1.4999999999999999E-2</v>
      </c>
      <c r="CP15" s="2">
        <f t="shared" si="6"/>
        <v>0</v>
      </c>
      <c r="CQ15" s="2">
        <f t="shared" si="7"/>
        <v>0.46500000000000008</v>
      </c>
    </row>
    <row r="16" spans="1:126" x14ac:dyDescent="0.35">
      <c r="A16" s="8">
        <v>44</v>
      </c>
      <c r="B16" s="8" t="s">
        <v>250</v>
      </c>
      <c r="C16" s="8" t="s">
        <v>131</v>
      </c>
      <c r="D16" s="8" t="s">
        <v>187</v>
      </c>
      <c r="E16" s="8">
        <v>9.65</v>
      </c>
      <c r="F16" s="8" t="s">
        <v>275</v>
      </c>
      <c r="G16" s="19" t="s">
        <v>276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0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7.5000000000000011E-2</v>
      </c>
      <c r="CK16" s="2">
        <f t="shared" si="2"/>
        <v>0</v>
      </c>
      <c r="CL16" s="2">
        <f t="shared" si="3"/>
        <v>-4.4999999999999998E-2</v>
      </c>
      <c r="CM16" s="2">
        <f t="shared" si="9"/>
        <v>0</v>
      </c>
      <c r="CN16" s="2">
        <f t="shared" si="4"/>
        <v>6.0000000000000005E-2</v>
      </c>
      <c r="CO16" s="2">
        <f t="shared" si="5"/>
        <v>0.06</v>
      </c>
      <c r="CP16" s="2">
        <f t="shared" si="6"/>
        <v>0</v>
      </c>
      <c r="CQ16" s="2">
        <f t="shared" si="7"/>
        <v>7.5000000000000011E-2</v>
      </c>
    </row>
    <row r="17" spans="1:95" x14ac:dyDescent="0.35">
      <c r="A17" s="8">
        <v>25</v>
      </c>
      <c r="B17" s="8" t="s">
        <v>251</v>
      </c>
      <c r="C17" s="8" t="s">
        <v>131</v>
      </c>
      <c r="D17" s="8" t="s">
        <v>202</v>
      </c>
      <c r="E17" s="8">
        <v>12.016666666667</v>
      </c>
      <c r="F17" s="8" t="s">
        <v>275</v>
      </c>
      <c r="G17" s="19" t="s">
        <v>276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1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2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1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1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0.28000000000000003</v>
      </c>
      <c r="CK17" s="2">
        <f t="shared" si="2"/>
        <v>0.15</v>
      </c>
      <c r="CL17" s="2">
        <f t="shared" si="3"/>
        <v>4.4999999999999998E-2</v>
      </c>
      <c r="CM17" s="2">
        <f t="shared" si="9"/>
        <v>0</v>
      </c>
      <c r="CN17" s="2">
        <f t="shared" si="4"/>
        <v>8.5000000000000006E-2</v>
      </c>
      <c r="CO17" s="2">
        <f t="shared" si="5"/>
        <v>0</v>
      </c>
      <c r="CP17" s="2">
        <f t="shared" si="6"/>
        <v>0</v>
      </c>
      <c r="CQ17" s="2">
        <f t="shared" si="7"/>
        <v>0.28000000000000003</v>
      </c>
    </row>
    <row r="18" spans="1:95" x14ac:dyDescent="0.35">
      <c r="A18" s="8">
        <v>16</v>
      </c>
      <c r="B18" s="8" t="s">
        <v>252</v>
      </c>
      <c r="C18" s="8" t="s">
        <v>131</v>
      </c>
      <c r="D18" s="8" t="s">
        <v>202</v>
      </c>
      <c r="E18" s="8">
        <v>9.1833333333332998</v>
      </c>
      <c r="F18" s="8" t="s">
        <v>275</v>
      </c>
      <c r="G18" s="19" t="s">
        <v>276</v>
      </c>
      <c r="H18" s="9">
        <f>COUNTIFS(Tracking!E:E,A18,Tracking!D:D,C18,Tracking!C:C,"5v5")</f>
        <v>2</v>
      </c>
      <c r="I18" s="9">
        <f>COUNTIFS(Tracking!E:E,A18,Tracking!D:D,C18,Tracking!N:N,"y",Tracking!C:C,"5v5")</f>
        <v>2</v>
      </c>
      <c r="J18" s="9">
        <f>COUNTIFS(Tracking!E:E,A18,Tracking!D:D,C18,Tracking!M:M,"y",Tracking!C:C,"5v5")</f>
        <v>0</v>
      </c>
      <c r="K18" s="9">
        <f t="shared" si="0"/>
        <v>1</v>
      </c>
      <c r="L18" s="9">
        <f>COUNTIFS(Tracking!G:G,A18,Tracking!D:D,C18,Tracking!C:C,"5v5")</f>
        <v>0</v>
      </c>
      <c r="M18" s="9">
        <f>COUNTIFS(Tracking!H:H,A18,Tracking!D:D,C18,Tracking!C:C,"5v5")</f>
        <v>1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2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2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0.39</v>
      </c>
      <c r="CK18" s="2">
        <f t="shared" si="2"/>
        <v>0.20499999999999999</v>
      </c>
      <c r="CL18" s="2">
        <f t="shared" si="3"/>
        <v>4.4999999999999998E-2</v>
      </c>
      <c r="CM18" s="2">
        <f t="shared" si="9"/>
        <v>0</v>
      </c>
      <c r="CN18" s="2">
        <f t="shared" si="4"/>
        <v>6.0000000000000005E-2</v>
      </c>
      <c r="CO18" s="2">
        <f t="shared" si="5"/>
        <v>4.4999999999999998E-2</v>
      </c>
      <c r="CP18" s="2">
        <f t="shared" si="6"/>
        <v>3.5000000000000003E-2</v>
      </c>
      <c r="CQ18" s="2">
        <f t="shared" si="7"/>
        <v>0.35499999999999998</v>
      </c>
    </row>
    <row r="19" spans="1:95" x14ac:dyDescent="0.35">
      <c r="A19" s="8">
        <v>42</v>
      </c>
      <c r="B19" s="8" t="s">
        <v>253</v>
      </c>
      <c r="C19" s="8" t="s">
        <v>131</v>
      </c>
      <c r="D19" s="8" t="s">
        <v>202</v>
      </c>
      <c r="E19" s="8">
        <v>9.4</v>
      </c>
      <c r="F19" s="8" t="s">
        <v>275</v>
      </c>
      <c r="G19" s="19" t="s">
        <v>276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5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0.11</v>
      </c>
      <c r="CK19" s="2">
        <f t="shared" si="2"/>
        <v>0</v>
      </c>
      <c r="CL19" s="2">
        <f t="shared" si="3"/>
        <v>0</v>
      </c>
      <c r="CM19" s="2">
        <f t="shared" si="9"/>
        <v>0</v>
      </c>
      <c r="CN19" s="2">
        <f t="shared" si="4"/>
        <v>3.5000000000000003E-2</v>
      </c>
      <c r="CO19" s="2">
        <f t="shared" si="5"/>
        <v>7.4999999999999997E-2</v>
      </c>
      <c r="CP19" s="2">
        <f t="shared" si="6"/>
        <v>0</v>
      </c>
      <c r="CQ19" s="2">
        <f t="shared" si="7"/>
        <v>0.11</v>
      </c>
    </row>
    <row r="20" spans="1:95" x14ac:dyDescent="0.35">
      <c r="A20" s="8">
        <v>13</v>
      </c>
      <c r="B20" s="8" t="s">
        <v>254</v>
      </c>
      <c r="C20" s="8" t="s">
        <v>140</v>
      </c>
      <c r="D20" s="8" t="s">
        <v>187</v>
      </c>
      <c r="E20" s="8">
        <v>13.433333333333</v>
      </c>
      <c r="F20" s="8" t="s">
        <v>275</v>
      </c>
      <c r="G20" s="19" t="s">
        <v>276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4</v>
      </c>
      <c r="L20" s="9">
        <f>COUNTIFS(Tracking!G:G,A20,Tracking!D:D,C20,Tracking!C:C,"5v5")</f>
        <v>3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3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3</v>
      </c>
      <c r="AK20" s="5">
        <f>COUNTIFS(Tracking!AI:AI,A20&amp;C20,Tracking!C:C,"5v5")+AL20</f>
        <v>2</v>
      </c>
      <c r="AL20" s="5">
        <f>COUNTIFS(Tracking!AF:AF,A20&amp;C20,Tracking!C:C,"5v5")-AT20</f>
        <v>2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1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1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2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0.8650000000000001</v>
      </c>
      <c r="CK20" s="2">
        <f t="shared" si="2"/>
        <v>0.70500000000000007</v>
      </c>
      <c r="CL20" s="2">
        <f t="shared" si="3"/>
        <v>4.4999999999999998E-2</v>
      </c>
      <c r="CM20" s="2">
        <f t="shared" si="9"/>
        <v>0</v>
      </c>
      <c r="CN20" s="2">
        <f t="shared" si="4"/>
        <v>2.5000000000000001E-2</v>
      </c>
      <c r="CO20" s="2">
        <f t="shared" si="5"/>
        <v>0.09</v>
      </c>
      <c r="CP20" s="2">
        <f t="shared" si="6"/>
        <v>0</v>
      </c>
      <c r="CQ20" s="2">
        <f t="shared" si="7"/>
        <v>0.8650000000000001</v>
      </c>
    </row>
    <row r="21" spans="1:95" x14ac:dyDescent="0.35">
      <c r="A21" s="8">
        <v>10</v>
      </c>
      <c r="B21" s="8" t="s">
        <v>255</v>
      </c>
      <c r="C21" s="8" t="s">
        <v>140</v>
      </c>
      <c r="D21" s="8" t="s">
        <v>187</v>
      </c>
      <c r="E21" s="8">
        <v>15.75</v>
      </c>
      <c r="F21" s="8" t="s">
        <v>275</v>
      </c>
      <c r="G21" s="19" t="s">
        <v>276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0</v>
      </c>
      <c r="M21" s="9">
        <f>COUNTIFS(Tracking!H:H,A21,Tracking!D:D,C21,Tracking!C:C,"5v5")</f>
        <v>2</v>
      </c>
      <c r="N21" s="9">
        <f>COUNTIFS(Tracking!I:I,A21,Tracking!D:D,C21,Tracking!C:C,"5v5")</f>
        <v>2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2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4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7</v>
      </c>
      <c r="AD21" s="11">
        <f>COUNTIFS(Tracking!Z:Z,A21&amp;C21,Tracking!C:C,"5v5",Tracking!Y:Y,"C")</f>
        <v>5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2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9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4</v>
      </c>
      <c r="AY21" s="1">
        <f>COUNTIFS(Tracking!AA:AA,A21&amp;C21,Tracking!C:C,"5v5")</f>
        <v>1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1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4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3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2</v>
      </c>
      <c r="BK21" s="10">
        <f>COUNTIFS(Tracking!G:G,A21,Tracking!D:D,C21,Tracking!C:C,"5v4")+COUNTIFS(Tracking!H:H,A21,Tracking!D:D,C21,Tracking!C:C,"5v4")+COUNTIFS(Tracking!I:I,A21,Tracking!D:D,C21,Tracking!C:C,"5v4")</f>
        <v>2</v>
      </c>
      <c r="BL21" s="10">
        <f>COUNTIFS(Tracking!G:G,A21,Tracking!D:D,C21,Tracking!C:C,"5v4")</f>
        <v>2</v>
      </c>
      <c r="BM21" s="10">
        <f>COUNTIFS(Tracking!E:E,A21,Tracking!D:D,C21,Tracking!C:C,"5v4",Tracking!M:M,"Y")</f>
        <v>1</v>
      </c>
      <c r="BN21" s="10">
        <f>COUNTIFS(Tracking!G:G,A21,Tracking!D:D,C21,Tracking!C:C,"5v4",Tracking!M:M,"Y")</f>
        <v>1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1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3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0.85499999999999998</v>
      </c>
      <c r="CK21" s="2">
        <f t="shared" si="2"/>
        <v>0.37</v>
      </c>
      <c r="CL21" s="2">
        <f t="shared" si="3"/>
        <v>0.18</v>
      </c>
      <c r="CM21" s="2">
        <f t="shared" si="9"/>
        <v>6.5000000000000002E-2</v>
      </c>
      <c r="CN21" s="2">
        <f t="shared" si="4"/>
        <v>2.4999999999999994E-2</v>
      </c>
      <c r="CO21" s="2">
        <f t="shared" si="5"/>
        <v>0</v>
      </c>
      <c r="CP21" s="2">
        <f t="shared" si="6"/>
        <v>0.21500000000000002</v>
      </c>
      <c r="CQ21" s="2">
        <f t="shared" si="7"/>
        <v>0.64</v>
      </c>
    </row>
    <row r="22" spans="1:95" x14ac:dyDescent="0.35">
      <c r="A22" s="8">
        <v>4</v>
      </c>
      <c r="B22" s="8" t="s">
        <v>256</v>
      </c>
      <c r="C22" s="8" t="s">
        <v>140</v>
      </c>
      <c r="D22" s="8" t="s">
        <v>184</v>
      </c>
      <c r="E22" s="8">
        <v>15.833333333333</v>
      </c>
      <c r="F22" s="8" t="s">
        <v>275</v>
      </c>
      <c r="G22" s="19" t="s">
        <v>276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9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4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3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7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2</v>
      </c>
      <c r="BB22" s="1">
        <f>COUNTIFS(Tracking!AA:AA,A22&amp;C22,Tracking!C:C,"5v5",Tracking!AB:AB,"Y")</f>
        <v>2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1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0.55000000000000004</v>
      </c>
      <c r="CK22" s="2">
        <f t="shared" si="2"/>
        <v>0.28500000000000003</v>
      </c>
      <c r="CL22" s="2">
        <f t="shared" si="3"/>
        <v>0.1</v>
      </c>
      <c r="CM22" s="2">
        <f t="shared" si="9"/>
        <v>0.13500000000000001</v>
      </c>
      <c r="CN22" s="2">
        <f t="shared" si="4"/>
        <v>0.03</v>
      </c>
      <c r="CO22" s="2">
        <f t="shared" si="5"/>
        <v>0</v>
      </c>
      <c r="CP22" s="2">
        <f t="shared" si="6"/>
        <v>0</v>
      </c>
      <c r="CQ22" s="2">
        <f t="shared" si="7"/>
        <v>0.55000000000000004</v>
      </c>
    </row>
    <row r="23" spans="1:95" x14ac:dyDescent="0.35">
      <c r="A23" s="8">
        <v>78</v>
      </c>
      <c r="B23" s="8" t="s">
        <v>257</v>
      </c>
      <c r="C23" s="8" t="s">
        <v>140</v>
      </c>
      <c r="D23" s="8" t="s">
        <v>187</v>
      </c>
      <c r="E23" s="8">
        <v>9.4333333333332998</v>
      </c>
      <c r="F23" s="8" t="s">
        <v>275</v>
      </c>
      <c r="G23" s="19" t="s">
        <v>276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2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2</v>
      </c>
      <c r="AI23" s="11">
        <f>COUNTIFS(Tracking!Z:Z,A23&amp;C23,Tracking!C:C,"5v5",Tracking!Y:Y,"D",Tracking!AE:AE,"Y")</f>
        <v>0</v>
      </c>
      <c r="AJ23" s="11">
        <f>COUNTIFS(Tracking!AH:AH,A23&amp;C23)</f>
        <v>3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1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0.57500000000000007</v>
      </c>
      <c r="CK23" s="2">
        <f t="shared" si="2"/>
        <v>0.33</v>
      </c>
      <c r="CL23" s="2">
        <f t="shared" si="3"/>
        <v>0.2</v>
      </c>
      <c r="CM23" s="2">
        <f t="shared" si="9"/>
        <v>0</v>
      </c>
      <c r="CN23" s="2">
        <f t="shared" si="4"/>
        <v>0</v>
      </c>
      <c r="CO23" s="2">
        <f t="shared" si="5"/>
        <v>4.4999999999999998E-2</v>
      </c>
      <c r="CP23" s="2">
        <f t="shared" si="6"/>
        <v>0</v>
      </c>
      <c r="CQ23" s="2">
        <f t="shared" si="7"/>
        <v>0.57500000000000007</v>
      </c>
    </row>
    <row r="24" spans="1:95" x14ac:dyDescent="0.35">
      <c r="A24" s="8">
        <v>94</v>
      </c>
      <c r="B24" s="8" t="s">
        <v>258</v>
      </c>
      <c r="C24" s="8" t="s">
        <v>140</v>
      </c>
      <c r="D24" s="8" t="s">
        <v>163</v>
      </c>
      <c r="E24" s="8">
        <v>15.483333333333</v>
      </c>
      <c r="F24" s="8" t="s">
        <v>275</v>
      </c>
      <c r="G24" s="19" t="s">
        <v>276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1</v>
      </c>
      <c r="K24" s="9">
        <f t="shared" si="0"/>
        <v>4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2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2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6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0</v>
      </c>
      <c r="AJ24" s="11">
        <f>COUNTIFS(Tracking!AH:AH,A24&amp;C24)</f>
        <v>2</v>
      </c>
      <c r="AK24" s="5">
        <f>COUNTIFS(Tracking!AI:AI,A24&amp;C24,Tracking!C:C,"5v5")+AL24</f>
        <v>4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1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2</v>
      </c>
      <c r="AY24" s="1">
        <f>COUNTIFS(Tracking!AA:AA,A24&amp;C24,Tracking!C:C,"5v5")</f>
        <v>1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1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1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2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0.84499999999999997</v>
      </c>
      <c r="CK24" s="2">
        <f t="shared" si="2"/>
        <v>0.51</v>
      </c>
      <c r="CL24" s="2">
        <f t="shared" si="3"/>
        <v>0.1</v>
      </c>
      <c r="CM24" s="2">
        <f t="shared" si="9"/>
        <v>6.5000000000000002E-2</v>
      </c>
      <c r="CN24" s="2">
        <f t="shared" si="4"/>
        <v>9.5000000000000001E-2</v>
      </c>
      <c r="CO24" s="2">
        <f t="shared" si="5"/>
        <v>7.4999999999999997E-2</v>
      </c>
      <c r="CP24" s="2">
        <f t="shared" si="6"/>
        <v>0</v>
      </c>
      <c r="CQ24" s="2">
        <f t="shared" si="7"/>
        <v>0.84499999999999997</v>
      </c>
    </row>
    <row r="25" spans="1:95" x14ac:dyDescent="0.35">
      <c r="A25" s="8">
        <v>8</v>
      </c>
      <c r="B25" s="8" t="s">
        <v>259</v>
      </c>
      <c r="C25" s="8" t="s">
        <v>140</v>
      </c>
      <c r="D25" s="8" t="s">
        <v>202</v>
      </c>
      <c r="E25" s="8">
        <v>15.283333333332999</v>
      </c>
      <c r="F25" s="8" t="s">
        <v>275</v>
      </c>
      <c r="G25" s="19" t="s">
        <v>276</v>
      </c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5</v>
      </c>
      <c r="L25" s="9">
        <f>COUNTIFS(Tracking!G:G,A25,Tracking!D:D,C25,Tracking!C:C,"5v5")</f>
        <v>2</v>
      </c>
      <c r="M25" s="9">
        <f>COUNTIFS(Tracking!H:H,A25,Tracking!D:D,C25,Tracking!C:C,"5v5")</f>
        <v>3</v>
      </c>
      <c r="N25" s="9">
        <f>COUNTIFS(Tracking!I:I,A25,Tracking!D:D,C25,Tracking!C:C,"5v5")</f>
        <v>0</v>
      </c>
      <c r="O25" s="9">
        <f>COUNTIFS(Tracking!G:G,A25,Tracking!D:D,C25,Tracking!C:C,"5v5",Tracking!M:M,"y")</f>
        <v>2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2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1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5</v>
      </c>
      <c r="AD25" s="11">
        <f>COUNTIFS(Tracking!Z:Z,A25&amp;C25,Tracking!C:C,"5v5",Tracking!Y:Y,"C")</f>
        <v>0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9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3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1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0.71</v>
      </c>
      <c r="CK25" s="2">
        <f t="shared" si="2"/>
        <v>0.63500000000000001</v>
      </c>
      <c r="CL25" s="2">
        <f t="shared" si="3"/>
        <v>-4.4999999999999998E-2</v>
      </c>
      <c r="CM25" s="2">
        <f t="shared" si="9"/>
        <v>0</v>
      </c>
      <c r="CN25" s="2">
        <f t="shared" si="4"/>
        <v>1.4999999999999999E-2</v>
      </c>
      <c r="CO25" s="2">
        <f t="shared" si="5"/>
        <v>1.4999999999999999E-2</v>
      </c>
      <c r="CP25" s="2">
        <f t="shared" si="6"/>
        <v>0.09</v>
      </c>
      <c r="CQ25" s="2">
        <f t="shared" si="7"/>
        <v>0.62</v>
      </c>
    </row>
    <row r="26" spans="1:95" x14ac:dyDescent="0.35">
      <c r="A26" s="8">
        <v>22</v>
      </c>
      <c r="B26" s="8" t="s">
        <v>260</v>
      </c>
      <c r="C26" s="8" t="s">
        <v>140</v>
      </c>
      <c r="D26" s="8" t="s">
        <v>202</v>
      </c>
      <c r="E26" s="8">
        <v>8.3166666666667002</v>
      </c>
      <c r="F26" s="8" t="s">
        <v>275</v>
      </c>
      <c r="G26" s="19" t="s">
        <v>276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2</v>
      </c>
      <c r="AL26" s="5">
        <f>COUNTIFS(Tracking!AF:AF,A26&amp;C26,Tracking!C:C,"5v5")-AT26</f>
        <v>2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0.215</v>
      </c>
      <c r="CK26" s="2">
        <f t="shared" si="2"/>
        <v>0.16999999999999998</v>
      </c>
      <c r="CL26" s="2">
        <f t="shared" si="3"/>
        <v>0</v>
      </c>
      <c r="CM26" s="2">
        <f t="shared" si="9"/>
        <v>0</v>
      </c>
      <c r="CN26" s="2">
        <f t="shared" si="4"/>
        <v>1.4999999999999999E-2</v>
      </c>
      <c r="CO26" s="2">
        <f t="shared" si="5"/>
        <v>0.03</v>
      </c>
      <c r="CP26" s="2">
        <f t="shared" si="6"/>
        <v>0</v>
      </c>
      <c r="CQ26" s="2">
        <f t="shared" si="7"/>
        <v>0.215</v>
      </c>
    </row>
    <row r="27" spans="1:95" x14ac:dyDescent="0.35">
      <c r="A27" s="8">
        <v>29</v>
      </c>
      <c r="B27" s="8" t="s">
        <v>261</v>
      </c>
      <c r="C27" s="8" t="s">
        <v>140</v>
      </c>
      <c r="D27" s="8" t="s">
        <v>184</v>
      </c>
      <c r="E27" s="8">
        <v>18.116666666667001</v>
      </c>
      <c r="F27" s="8" t="s">
        <v>275</v>
      </c>
      <c r="G27" s="19" t="s">
        <v>276</v>
      </c>
      <c r="H27" s="9">
        <f>COUNTIFS(Tracking!E:E,A27,Tracking!D:D,C27,Tracking!C:C,"5v5")</f>
        <v>2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2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1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1</v>
      </c>
      <c r="AK27" s="5">
        <f>COUNTIFS(Tracking!AI:AI,A27&amp;C27,Tracking!C:C,"5v5")+AL27</f>
        <v>8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3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2</v>
      </c>
      <c r="AY27" s="1">
        <f>COUNTIFS(Tracking!AA:AA,A27&amp;C27,Tracking!C:C,"5v5")</f>
        <v>9</v>
      </c>
      <c r="AZ27" s="1">
        <f>COUNTIFS(Tracking!AA:AA,A27&amp;C27,Tracking!C:C,"5v5",Tracking!Y:Y,"C")</f>
        <v>6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3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1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1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2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0.52</v>
      </c>
      <c r="CK27" s="2">
        <f t="shared" si="2"/>
        <v>0.26</v>
      </c>
      <c r="CL27" s="2">
        <f t="shared" si="3"/>
        <v>3.5000000000000003E-2</v>
      </c>
      <c r="CM27" s="2">
        <f t="shared" si="9"/>
        <v>9.9999999999999992E-2</v>
      </c>
      <c r="CN27" s="2">
        <f t="shared" si="4"/>
        <v>7.5000000000000011E-2</v>
      </c>
      <c r="CO27" s="2">
        <f t="shared" si="5"/>
        <v>1.4999999999999999E-2</v>
      </c>
      <c r="CP27" s="2">
        <f t="shared" si="6"/>
        <v>3.5000000000000003E-2</v>
      </c>
      <c r="CQ27" s="2">
        <f t="shared" si="7"/>
        <v>0.48500000000000004</v>
      </c>
    </row>
    <row r="28" spans="1:95" x14ac:dyDescent="0.35">
      <c r="A28" s="8">
        <v>93</v>
      </c>
      <c r="B28" s="8" t="s">
        <v>262</v>
      </c>
      <c r="C28" s="8" t="s">
        <v>140</v>
      </c>
      <c r="D28" s="8" t="s">
        <v>202</v>
      </c>
      <c r="E28" s="8">
        <v>15.933333333333</v>
      </c>
      <c r="F28" s="8" t="s">
        <v>275</v>
      </c>
      <c r="G28" s="19" t="s">
        <v>276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2</v>
      </c>
      <c r="K28" s="9">
        <f t="shared" si="0"/>
        <v>2</v>
      </c>
      <c r="L28" s="9">
        <f>COUNTIFS(Tracking!G:G,A28,Tracking!D:D,C28,Tracking!C:C,"5v5")</f>
        <v>1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7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2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4</v>
      </c>
      <c r="AL28" s="5">
        <f>COUNTIFS(Tracking!AF:AF,A28&amp;C28,Tracking!C:C,"5v5")-AT28</f>
        <v>4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3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2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1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1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0.97000000000000008</v>
      </c>
      <c r="CK28" s="2">
        <f t="shared" si="2"/>
        <v>0.51500000000000001</v>
      </c>
      <c r="CL28" s="2">
        <f t="shared" si="3"/>
        <v>0.19</v>
      </c>
      <c r="CM28" s="2">
        <f t="shared" si="9"/>
        <v>1.4999999999999999E-2</v>
      </c>
      <c r="CN28" s="2">
        <f t="shared" si="4"/>
        <v>0.14500000000000002</v>
      </c>
      <c r="CO28" s="2">
        <f t="shared" si="5"/>
        <v>0.105</v>
      </c>
      <c r="CP28" s="2">
        <f t="shared" si="6"/>
        <v>0</v>
      </c>
      <c r="CQ28" s="2">
        <f t="shared" si="7"/>
        <v>0.97000000000000008</v>
      </c>
    </row>
    <row r="29" spans="1:95" x14ac:dyDescent="0.35">
      <c r="A29" s="8">
        <v>42</v>
      </c>
      <c r="B29" s="8" t="s">
        <v>263</v>
      </c>
      <c r="C29" s="8" t="s">
        <v>140</v>
      </c>
      <c r="D29" s="8" t="s">
        <v>202</v>
      </c>
      <c r="E29" s="8">
        <v>12.05</v>
      </c>
      <c r="F29" s="8" t="s">
        <v>275</v>
      </c>
      <c r="G29" s="19" t="s">
        <v>276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1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2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3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3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1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0.55500000000000005</v>
      </c>
      <c r="CK29" s="2">
        <f t="shared" si="2"/>
        <v>0.36499999999999999</v>
      </c>
      <c r="CL29" s="2">
        <f t="shared" si="3"/>
        <v>4.4999999999999998E-2</v>
      </c>
      <c r="CM29" s="2">
        <f t="shared" si="9"/>
        <v>0</v>
      </c>
      <c r="CN29" s="2">
        <f t="shared" si="4"/>
        <v>0.13</v>
      </c>
      <c r="CO29" s="2">
        <f t="shared" si="5"/>
        <v>1.4999999999999999E-2</v>
      </c>
      <c r="CP29" s="2">
        <f t="shared" si="6"/>
        <v>0</v>
      </c>
      <c r="CQ29" s="2">
        <f t="shared" si="7"/>
        <v>0.55500000000000005</v>
      </c>
    </row>
    <row r="30" spans="1:95" x14ac:dyDescent="0.35">
      <c r="A30" s="8">
        <v>39</v>
      </c>
      <c r="B30" s="8" t="s">
        <v>264</v>
      </c>
      <c r="C30" s="8" t="s">
        <v>140</v>
      </c>
      <c r="D30" s="8" t="s">
        <v>202</v>
      </c>
      <c r="E30" s="8">
        <v>7.5333333333333004</v>
      </c>
      <c r="F30" s="8" t="s">
        <v>275</v>
      </c>
      <c r="G30" s="19" t="s">
        <v>276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2</v>
      </c>
      <c r="AK30" s="5">
        <f>COUNTIFS(Tracking!AI:AI,A30&amp;C30,Tracking!C:C,"5v5")+AL30</f>
        <v>2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2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1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0.16499999999999998</v>
      </c>
      <c r="CK30" s="2">
        <f t="shared" si="2"/>
        <v>5.5E-2</v>
      </c>
      <c r="CL30" s="2">
        <f t="shared" si="3"/>
        <v>0</v>
      </c>
      <c r="CM30" s="2">
        <f t="shared" si="9"/>
        <v>0</v>
      </c>
      <c r="CN30" s="2">
        <f t="shared" si="4"/>
        <v>3.5000000000000003E-2</v>
      </c>
      <c r="CO30" s="2">
        <f t="shared" si="5"/>
        <v>7.4999999999999997E-2</v>
      </c>
      <c r="CP30" s="2">
        <f t="shared" si="6"/>
        <v>0</v>
      </c>
      <c r="CQ30" s="2">
        <f t="shared" si="7"/>
        <v>0.16499999999999998</v>
      </c>
    </row>
    <row r="31" spans="1:95" x14ac:dyDescent="0.35">
      <c r="A31" s="8">
        <v>60</v>
      </c>
      <c r="B31" s="8" t="s">
        <v>265</v>
      </c>
      <c r="C31" s="8" t="s">
        <v>140</v>
      </c>
      <c r="D31" s="8" t="s">
        <v>184</v>
      </c>
      <c r="E31" s="8">
        <v>16.116666666667001</v>
      </c>
      <c r="F31" s="8" t="s">
        <v>275</v>
      </c>
      <c r="G31" s="19" t="s">
        <v>276</v>
      </c>
      <c r="H31" s="9">
        <f>COUNTIFS(Tracking!E:E,A31,Tracking!D:D,C31,Tracking!C:C,"5v5")</f>
        <v>2</v>
      </c>
      <c r="I31" s="9">
        <f>COUNTIFS(Tracking!E:E,A31,Tracking!D:D,C31,Tracking!N:N,"y",Tracking!C:C,"5v5")</f>
        <v>2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0</v>
      </c>
      <c r="M31" s="9">
        <f>COUNTIFS(Tracking!H:H,A31,Tracking!D:D,C31,Tracking!C:C,"5v5")</f>
        <v>1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2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12</v>
      </c>
      <c r="AL31" s="5">
        <f>COUNTIFS(Tracking!AF:AF,A31&amp;C31,Tracking!C:C,"5v5")-AT31</f>
        <v>8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7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2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5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4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4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4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3</v>
      </c>
      <c r="AY31" s="1">
        <f>COUNTIFS(Tracking!AA:AA,A31&amp;C31,Tracking!C:C,"5v5")</f>
        <v>5</v>
      </c>
      <c r="AZ31" s="1">
        <f>COUNTIFS(Tracking!AA:AA,A31&amp;C31,Tracking!C:C,"5v5",Tracking!Y:Y,"C")</f>
        <v>3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2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1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1</v>
      </c>
      <c r="CJ31" s="2">
        <f t="shared" si="1"/>
        <v>0.435</v>
      </c>
      <c r="CK31" s="2">
        <f t="shared" si="2"/>
        <v>0.20499999999999999</v>
      </c>
      <c r="CL31" s="2">
        <f t="shared" si="3"/>
        <v>4.4999999999999998E-2</v>
      </c>
      <c r="CM31" s="2">
        <f t="shared" si="9"/>
        <v>4.9999999999999996E-2</v>
      </c>
      <c r="CN31" s="2">
        <f t="shared" si="4"/>
        <v>0.13500000000000001</v>
      </c>
      <c r="CO31" s="2">
        <f t="shared" si="5"/>
        <v>0</v>
      </c>
      <c r="CP31" s="2">
        <f t="shared" si="6"/>
        <v>0</v>
      </c>
      <c r="CQ31" s="2">
        <f t="shared" si="7"/>
        <v>0.435</v>
      </c>
    </row>
    <row r="32" spans="1:95" x14ac:dyDescent="0.35">
      <c r="A32" s="8">
        <v>14</v>
      </c>
      <c r="B32" s="8" t="s">
        <v>266</v>
      </c>
      <c r="C32" s="8" t="s">
        <v>140</v>
      </c>
      <c r="D32" s="8" t="s">
        <v>163</v>
      </c>
      <c r="E32" s="8">
        <v>8.75</v>
      </c>
      <c r="F32" s="8" t="s">
        <v>275</v>
      </c>
      <c r="G32" s="19" t="s">
        <v>276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1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4</v>
      </c>
      <c r="AL32" s="5">
        <f>COUNTIFS(Tracking!AF:AF,A32&amp;C32,Tracking!C:C,"5v5")-AT32</f>
        <v>2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2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0.32000000000000006</v>
      </c>
      <c r="CK32" s="2">
        <f t="shared" si="2"/>
        <v>0.24000000000000002</v>
      </c>
      <c r="CL32" s="2">
        <f t="shared" si="3"/>
        <v>0</v>
      </c>
      <c r="CM32" s="2">
        <f t="shared" si="9"/>
        <v>0</v>
      </c>
      <c r="CN32" s="2">
        <f t="shared" si="4"/>
        <v>0.05</v>
      </c>
      <c r="CO32" s="2">
        <f t="shared" si="5"/>
        <v>0.03</v>
      </c>
      <c r="CP32" s="2">
        <f t="shared" si="6"/>
        <v>0</v>
      </c>
      <c r="CQ32" s="2">
        <f t="shared" si="7"/>
        <v>0.32000000000000006</v>
      </c>
    </row>
    <row r="33" spans="1:95" x14ac:dyDescent="0.35">
      <c r="A33" s="8">
        <v>18</v>
      </c>
      <c r="B33" s="8" t="s">
        <v>267</v>
      </c>
      <c r="C33" s="8" t="s">
        <v>140</v>
      </c>
      <c r="D33" s="8" t="s">
        <v>184</v>
      </c>
      <c r="E33" s="8">
        <v>15.316666666667</v>
      </c>
      <c r="F33" s="8" t="s">
        <v>275</v>
      </c>
      <c r="G33" s="19" t="s">
        <v>276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1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5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7</v>
      </c>
      <c r="AL33" s="5">
        <f>COUNTIFS(Tracking!AF:AF,A33&amp;C33,Tracking!C:C,"5v5")-AT33</f>
        <v>5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4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9</v>
      </c>
      <c r="AZ33" s="1">
        <f>COUNTIFS(Tracking!AA:AA,A33&amp;C33,Tracking!C:C,"5v5",Tracking!Y:Y,"C")</f>
        <v>4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2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0.73</v>
      </c>
      <c r="CK33" s="2">
        <f t="shared" si="2"/>
        <v>0.245</v>
      </c>
      <c r="CL33" s="2">
        <f t="shared" si="3"/>
        <v>0</v>
      </c>
      <c r="CM33" s="2">
        <f t="shared" si="9"/>
        <v>0.245</v>
      </c>
      <c r="CN33" s="2">
        <f t="shared" si="4"/>
        <v>0.17</v>
      </c>
      <c r="CO33" s="2">
        <f t="shared" si="5"/>
        <v>0</v>
      </c>
      <c r="CP33" s="2">
        <f t="shared" si="6"/>
        <v>7.0000000000000007E-2</v>
      </c>
      <c r="CQ33" s="2">
        <f t="shared" si="7"/>
        <v>0.66</v>
      </c>
    </row>
    <row r="34" spans="1:95" x14ac:dyDescent="0.35">
      <c r="A34" s="8">
        <v>16</v>
      </c>
      <c r="B34" s="8" t="s">
        <v>268</v>
      </c>
      <c r="C34" s="8" t="s">
        <v>140</v>
      </c>
      <c r="D34" s="8" t="s">
        <v>202</v>
      </c>
      <c r="E34" s="8">
        <v>13.1</v>
      </c>
      <c r="F34" s="8" t="s">
        <v>275</v>
      </c>
      <c r="G34" s="19" t="s">
        <v>276</v>
      </c>
      <c r="H34" s="9">
        <f>COUNTIFS(Tracking!E:E,A34,Tracking!D:D,C34,Tracking!C:C,"5v5")</f>
        <v>4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3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1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3</v>
      </c>
      <c r="X34" s="9">
        <f>COUNTIFS(Tracking!E:E,A34,Tracking!D:D,C34,Tracking!C:C,"5v5",Tracking!P:P,"f")</f>
        <v>3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0</v>
      </c>
      <c r="AE34" s="11">
        <f>COUNTIFS(Tracking!Z:Z,A34&amp;C34,Tracking!C:C,"5v5",Tracking!Y:Y,"F")</f>
        <v>3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5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1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1</v>
      </c>
      <c r="BT34" s="12">
        <f>COUNTIFS(Tracking!E:E,A34,Tracking!D:D,C34,Tracking!C:C,"5v5",Tracking!F:F,"t")</f>
        <v>1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1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0.80500000000000005</v>
      </c>
      <c r="CK34" s="2">
        <f t="shared" si="2"/>
        <v>0.745</v>
      </c>
      <c r="CL34" s="2">
        <f t="shared" si="3"/>
        <v>-0.13500000000000001</v>
      </c>
      <c r="CM34" s="2">
        <f t="shared" si="9"/>
        <v>0</v>
      </c>
      <c r="CN34" s="2">
        <f t="shared" si="4"/>
        <v>8.500000000000002E-2</v>
      </c>
      <c r="CO34" s="2">
        <f t="shared" si="5"/>
        <v>0</v>
      </c>
      <c r="CP34" s="2">
        <f t="shared" si="6"/>
        <v>0.11</v>
      </c>
      <c r="CQ34" s="2">
        <f t="shared" si="7"/>
        <v>0.69500000000000006</v>
      </c>
    </row>
    <row r="35" spans="1:95" x14ac:dyDescent="0.35">
      <c r="A35" s="8">
        <v>44</v>
      </c>
      <c r="B35" s="8" t="s">
        <v>269</v>
      </c>
      <c r="C35" s="8" t="s">
        <v>140</v>
      </c>
      <c r="D35" s="8" t="s">
        <v>184</v>
      </c>
      <c r="E35" s="8">
        <v>17.55</v>
      </c>
      <c r="F35" s="8" t="s">
        <v>275</v>
      </c>
      <c r="G35" s="19" t="s">
        <v>276</v>
      </c>
      <c r="H35" s="9">
        <f>COUNTIFS(Tracking!E:E,A35,Tracking!D:D,C35,Tracking!C:C,"5v5")</f>
        <v>3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5</v>
      </c>
      <c r="L35" s="9">
        <f>COUNTIFS(Tracking!G:G,A35,Tracking!D:D,C35,Tracking!C:C,"5v5")</f>
        <v>1</v>
      </c>
      <c r="M35" s="9">
        <f>COUNTIFS(Tracking!H:H,A35,Tracking!D:D,C35,Tracking!C:C,"5v5")</f>
        <v>1</v>
      </c>
      <c r="N35" s="9">
        <f>COUNTIFS(Tracking!I:I,A35,Tracking!D:D,C35,Tracking!C:C,"5v5")</f>
        <v>3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2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3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2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5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0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13</v>
      </c>
      <c r="AZ35" s="1">
        <f>COUNTIFS(Tracking!AA:AA,A35&amp;C35,Tracking!C:C,"5v5",Tracking!Y:Y,"C")</f>
        <v>6</v>
      </c>
      <c r="BA35" s="1">
        <f>COUNTIFS(Tracking!AA:AA,A35&amp;C35,Tracking!C:C,"5v5",Tracking!Y:Y,"F")</f>
        <v>4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1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1.1099999999999999</v>
      </c>
      <c r="CK35" s="2">
        <f t="shared" si="2"/>
        <v>0.60499999999999998</v>
      </c>
      <c r="CL35" s="2">
        <f t="shared" si="3"/>
        <v>4.4999999999999998E-2</v>
      </c>
      <c r="CM35" s="2">
        <f t="shared" si="9"/>
        <v>0.41000000000000003</v>
      </c>
      <c r="CN35" s="2">
        <f t="shared" si="4"/>
        <v>0</v>
      </c>
      <c r="CO35" s="2">
        <f t="shared" si="5"/>
        <v>1.4999999999999999E-2</v>
      </c>
      <c r="CP35" s="2">
        <f t="shared" si="6"/>
        <v>3.5000000000000003E-2</v>
      </c>
      <c r="CQ35" s="2">
        <f t="shared" si="7"/>
        <v>1.075</v>
      </c>
    </row>
    <row r="36" spans="1:95" x14ac:dyDescent="0.35">
      <c r="A36" s="8">
        <v>17</v>
      </c>
      <c r="B36" s="8" t="s">
        <v>270</v>
      </c>
      <c r="C36" s="8" t="s">
        <v>140</v>
      </c>
      <c r="D36" s="8" t="s">
        <v>184</v>
      </c>
      <c r="E36" s="8">
        <v>14.016666666667</v>
      </c>
      <c r="F36" s="8" t="s">
        <v>275</v>
      </c>
      <c r="G36" s="19" t="s">
        <v>276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2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1</v>
      </c>
      <c r="AY36" s="1">
        <f>COUNTIFS(Tracking!AA:AA,A36&amp;C36,Tracking!C:C,"5v5")</f>
        <v>2</v>
      </c>
      <c r="AZ36" s="1">
        <f>COUNTIFS(Tracking!AA:AA,A36&amp;C36,Tracking!C:C,"5v5",Tracking!Y:Y,"C")</f>
        <v>1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1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0.43000000000000005</v>
      </c>
      <c r="CK36" s="2">
        <f t="shared" si="2"/>
        <v>0.29000000000000004</v>
      </c>
      <c r="CL36" s="2">
        <f t="shared" si="3"/>
        <v>4.4999999999999998E-2</v>
      </c>
      <c r="CM36" s="2">
        <f t="shared" si="9"/>
        <v>4.4999999999999998E-2</v>
      </c>
      <c r="CN36" s="2">
        <f t="shared" si="4"/>
        <v>3.5000000000000003E-2</v>
      </c>
      <c r="CO36" s="2">
        <f t="shared" si="5"/>
        <v>1.4999999999999999E-2</v>
      </c>
      <c r="CP36" s="2">
        <f t="shared" si="6"/>
        <v>0</v>
      </c>
      <c r="CQ36" s="2">
        <f t="shared" si="7"/>
        <v>0.43000000000000005</v>
      </c>
    </row>
    <row r="37" spans="1:95" x14ac:dyDescent="0.35">
      <c r="A37" s="8">
        <v>50</v>
      </c>
      <c r="B37" s="8" t="s">
        <v>271</v>
      </c>
      <c r="C37" s="8" t="s">
        <v>140</v>
      </c>
      <c r="D37" s="8" t="s">
        <v>187</v>
      </c>
      <c r="E37" s="8">
        <v>9.4</v>
      </c>
      <c r="F37" s="8" t="s">
        <v>275</v>
      </c>
      <c r="G37" s="19" t="s">
        <v>276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3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3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1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4.4999999999999998E-2</v>
      </c>
      <c r="CK37" s="2">
        <f t="shared" si="2"/>
        <v>0</v>
      </c>
      <c r="CL37" s="2">
        <f t="shared" si="3"/>
        <v>0</v>
      </c>
      <c r="CM37" s="2">
        <f t="shared" si="9"/>
        <v>0</v>
      </c>
      <c r="CN37" s="2">
        <f t="shared" si="4"/>
        <v>0</v>
      </c>
      <c r="CO37" s="2">
        <f t="shared" si="5"/>
        <v>4.4999999999999998E-2</v>
      </c>
      <c r="CP37" s="2">
        <f t="shared" si="6"/>
        <v>0</v>
      </c>
      <c r="CQ37" s="2">
        <f t="shared" si="7"/>
        <v>4.4999999999999998E-2</v>
      </c>
    </row>
    <row r="38" spans="1:95" x14ac:dyDescent="0.35">
      <c r="A38" s="8">
        <v>41</v>
      </c>
      <c r="B38" s="8" t="s">
        <v>272</v>
      </c>
      <c r="C38" s="8" t="s">
        <v>140</v>
      </c>
      <c r="D38" s="8" t="s">
        <v>273</v>
      </c>
      <c r="E38" s="8">
        <v>48.283299999999997</v>
      </c>
      <c r="F38" s="8" t="s">
        <v>275</v>
      </c>
      <c r="G38" s="19" t="s">
        <v>276</v>
      </c>
      <c r="AK38" s="5">
        <f>COUNTIFS(Tracking!AI:AI,A38&amp;C38,Tracking!C:C,"5v5")+AL38</f>
        <v>8</v>
      </c>
      <c r="AL38" s="5">
        <f>COUNTIFS(Tracking!AF:AF,A38&amp;C38,Tracking!C:C,"5v5")-AT38</f>
        <v>8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5</v>
      </c>
      <c r="AT38" s="5">
        <f>COUNTIFS(Tracking!AF:AF,A38&amp;C38,Tracking!C:C,"5v5",Tracking!AG:AG,"BOT")+COUNTIFS(Tracking!AF:AF,A38&amp;C38,Tracking!C:C,"5v5",Tracking!AG:AG,"FEX")</f>
        <v>3</v>
      </c>
      <c r="AU38" s="5">
        <f>COUNTIFS(Tracking!AF:AF,A38&amp;C38,Tracking!C:C,"5v5",Tracking!AG:AG,"EXC")</f>
        <v>8</v>
      </c>
      <c r="AV38" s="5">
        <f>COUNTIFS(Tracking!AF:AF,A38&amp;C38,Tracking!C:C,"5v5",Tracking!AG:AG,"FEX")+COUNTIFS(Tracking!AI:AI,A38&amp;C38,Tracking!C:C,"5v5",Tracking!AJ:AJ,"FEX")</f>
        <v>3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1</v>
      </c>
      <c r="B39" s="8" t="s">
        <v>274</v>
      </c>
      <c r="C39" s="8" t="s">
        <v>131</v>
      </c>
      <c r="D39" s="8" t="s">
        <v>273</v>
      </c>
      <c r="E39" s="8">
        <v>48.283299999999997</v>
      </c>
      <c r="F39" s="8" t="s">
        <v>275</v>
      </c>
      <c r="G39" s="19" t="s">
        <v>276</v>
      </c>
      <c r="AK39" s="5">
        <f>COUNTIFS(Tracking!AI:AI,A39&amp;C39,Tracking!C:C,"5v5")+AL39</f>
        <v>5</v>
      </c>
      <c r="AL39" s="5">
        <f>COUNTIFS(Tracking!AF:AF,A39&amp;C39,Tracking!C:C,"5v5")-AT39</f>
        <v>5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5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2026-01-28T21:13:25Z</dcterms:modified>
</cp:coreProperties>
</file>