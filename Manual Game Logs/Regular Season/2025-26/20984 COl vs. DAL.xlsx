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50" yWindow="0" windowWidth="14580" windowHeight="15570" tabRatio="823" firstSheet="0" activeTab="1" autoFilterDateGrouping="1"/>
  </bookViews>
  <sheets>
    <sheet name="Tracking" sheetId="1" state="visible" r:id="rId1"/>
    <sheet name="Player List" sheetId="2" state="visible" r:id="rId2"/>
    <sheet name="Export" sheetId="3" state="visible" r:id="rId3"/>
  </sheets>
  <definedNames>
    <definedName name="_xlnm._FilterDatabase" localSheetId="1" hidden="1">'Player List'!$A$1:$DV$37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4">
    <xf numFmtId="0" fontId="0" fillId="0" borderId="0" pivotButton="0" quotePrefix="0" xfId="0"/>
    <xf numFmtId="0" fontId="0" fillId="34" borderId="10" pivotButton="0" quotePrefix="0" xfId="0"/>
    <xf numFmtId="0" fontId="0" fillId="0" borderId="10" pivotButton="0" quotePrefix="0" xfId="0"/>
    <xf numFmtId="0" fontId="13" fillId="36" borderId="10" pivotButton="0" quotePrefix="0" xfId="0"/>
    <xf numFmtId="0" fontId="0" fillId="0" borderId="0" applyAlignment="1" pivotButton="0" quotePrefix="0" xfId="0">
      <alignment horizontal="center"/>
    </xf>
    <xf numFmtId="0" fontId="0" fillId="35" borderId="10" pivotButton="0" quotePrefix="0" xfId="0"/>
    <xf numFmtId="0" fontId="17" fillId="36" borderId="0" pivotButton="0" quotePrefix="0" xfId="0"/>
    <xf numFmtId="0" fontId="0" fillId="0" borderId="10" applyAlignment="1" pivotButton="0" quotePrefix="0" xfId="0">
      <alignment horizontal="center"/>
    </xf>
    <xf numFmtId="0" fontId="16" fillId="0" borderId="10" pivotButton="0" quotePrefix="0" xfId="0"/>
    <xf numFmtId="0" fontId="0" fillId="38" borderId="10" pivotButton="0" quotePrefix="0" xfId="0"/>
    <xf numFmtId="0" fontId="0" fillId="37" borderId="10" pivotButton="0" quotePrefix="0" xfId="0"/>
    <xf numFmtId="0" fontId="0" fillId="39" borderId="10" pivotButton="0" quotePrefix="0" xfId="0"/>
    <xf numFmtId="0" fontId="0" fillId="40" borderId="10" pivotButton="0" quotePrefix="0" xfId="0"/>
    <xf numFmtId="0" fontId="0" fillId="35" borderId="10" applyAlignment="1" pivotButton="0" quotePrefix="0" xfId="0">
      <alignment horizontal="center"/>
    </xf>
    <xf numFmtId="20" fontId="0" fillId="0" borderId="10" applyAlignment="1" pivotButton="0" quotePrefix="0" xfId="0">
      <alignment horizontal="center"/>
    </xf>
    <xf numFmtId="20" fontId="0" fillId="0" borderId="10" pivotButton="0" quotePrefix="0" xfId="0"/>
    <xf numFmtId="0" fontId="0" fillId="33" borderId="10" pivotButton="0" quotePrefix="0" xfId="0"/>
    <xf numFmtId="0" fontId="0" fillId="33" borderId="10" applyAlignment="1" pivotButton="0" quotePrefix="0" xfId="0">
      <alignment horizontal="center"/>
    </xf>
    <xf numFmtId="0" fontId="0" fillId="34" borderId="10" applyAlignment="1" pivotButton="0" quotePrefix="0" xfId="0">
      <alignment horizontal="center"/>
    </xf>
    <xf numFmtId="14" fontId="16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20" fontId="0" fillId="0" borderId="11" applyAlignment="1" pivotButton="0" quotePrefix="0" xfId="0">
      <alignment horizontal="center"/>
    </xf>
    <xf numFmtId="20" fontId="0" fillId="0" borderId="11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20"/>
  <sheetViews>
    <sheetView zoomScale="70" zoomScaleNormal="70" workbookViewId="0">
      <pane xSplit="3" ySplit="1" topLeftCell="Q168" activePane="bottomRight" state="frozen"/>
      <selection pane="topRight" activeCell="D1" sqref="D1"/>
      <selection pane="bottomLeft" activeCell="A2" sqref="A2"/>
      <selection pane="bottomRight" activeCell="A2" sqref="A2:XFD228"/>
    </sheetView>
  </sheetViews>
  <sheetFormatPr baseColWidth="8" defaultRowHeight="14.5"/>
  <cols>
    <col width="7.453125" bestFit="1" customWidth="1" style="2" min="1" max="1"/>
    <col width="6.453125" bestFit="1" customWidth="1" style="2" min="2" max="2"/>
    <col width="9.54296875" bestFit="1" customWidth="1" style="21" min="3" max="3"/>
    <col width="6.7265625" bestFit="1" customWidth="1" style="1" min="4" max="4"/>
    <col width="8.81640625" bestFit="1" customWidth="1" style="1" min="5" max="5"/>
    <col width="11" bestFit="1" customWidth="1" style="1" min="6" max="6"/>
    <col width="3.81640625" bestFit="1" customWidth="1" style="1" min="7" max="7"/>
    <col width="4" bestFit="1" customWidth="1" style="1" min="8" max="9"/>
    <col width="8.81640625" bestFit="1" customWidth="1" style="1" min="10" max="10"/>
    <col width="9.26953125" bestFit="1" customWidth="1" style="1" min="11" max="12"/>
    <col width="5.453125" bestFit="1" customWidth="1" style="1" min="13" max="13"/>
    <col width="7.26953125" bestFit="1" customWidth="1" style="1" min="14" max="14"/>
    <col width="9.54296875" bestFit="1" customWidth="1" style="1" min="15" max="15"/>
    <col width="7.453125" bestFit="1" customWidth="1" style="1" min="16" max="16"/>
    <col width="6.81640625" bestFit="1" customWidth="1" style="1" min="17" max="17"/>
    <col width="6.81640625" customWidth="1" style="1" min="18" max="18"/>
    <col width="10.7265625" bestFit="1" customWidth="1" style="1" min="19" max="19"/>
    <col width="4.26953125" bestFit="1" customWidth="1" style="1" min="20" max="20"/>
    <col width="6.453125" bestFit="1" customWidth="1" style="1" min="21" max="21"/>
    <col width="6.453125" customWidth="1" style="1" min="22" max="24"/>
    <col width="5.453125" bestFit="1" customWidth="1" style="16" min="25" max="25"/>
    <col width="5.453125" customWidth="1" style="16" min="26" max="26"/>
    <col width="11.54296875" bestFit="1" customWidth="1" style="16" min="27" max="27"/>
    <col width="5.54296875" bestFit="1" customWidth="1" style="16" min="28" max="28"/>
    <col width="5" bestFit="1" customWidth="1" style="16" min="29" max="29"/>
    <col width="15.81640625" bestFit="1" customWidth="1" style="16" min="30" max="30"/>
    <col width="8.1796875" bestFit="1" customWidth="1" style="16" min="31" max="31"/>
    <col width="6.54296875" bestFit="1" customWidth="1" style="5" min="32" max="32"/>
    <col width="8.54296875" bestFit="1" customWidth="1" style="5" min="33" max="33"/>
    <col width="10.54296875" bestFit="1" customWidth="1" style="5" min="34" max="34"/>
    <col width="9.26953125" bestFit="1" customWidth="1" style="5" min="35" max="35"/>
    <col width="10.1796875" bestFit="1" customWidth="1" style="5" min="36" max="36"/>
    <col width="8.1796875" bestFit="1" customWidth="1" style="2" min="37" max="37"/>
    <col width="6" bestFit="1" customWidth="1" min="38" max="38"/>
    <col width="5.453125" bestFit="1" customWidth="1" min="39" max="39"/>
    <col width="20.453125" bestFit="1" customWidth="1" min="40" max="40"/>
  </cols>
  <sheetData>
    <row r="1">
      <c r="A1" s="7" t="inlineStr">
        <is>
          <t>Period</t>
        </is>
      </c>
      <c r="B1" s="7" t="inlineStr">
        <is>
          <t>Time</t>
        </is>
      </c>
      <c r="C1" s="20" t="inlineStr">
        <is>
          <t>Strength</t>
        </is>
      </c>
      <c r="D1" s="18" t="inlineStr">
        <is>
          <t>Team</t>
        </is>
      </c>
      <c r="E1" s="18" t="inlineStr">
        <is>
          <t>Shooter</t>
        </is>
      </c>
      <c r="F1" s="18" t="inlineStr">
        <is>
          <t>Shot Type</t>
        </is>
      </c>
      <c r="G1" s="18" t="inlineStr">
        <is>
          <t>A1</t>
        </is>
      </c>
      <c r="H1" s="18" t="inlineStr">
        <is>
          <t>A2</t>
        </is>
      </c>
      <c r="I1" s="18" t="inlineStr">
        <is>
          <t>A3</t>
        </is>
      </c>
      <c r="J1" s="18" t="inlineStr">
        <is>
          <t>A1 Zone</t>
        </is>
      </c>
      <c r="K1" s="18" t="inlineStr">
        <is>
          <t>A2 Zone</t>
        </is>
      </c>
      <c r="L1" s="18" t="inlineStr">
        <is>
          <t>A3 Zone</t>
        </is>
      </c>
      <c r="M1" s="18" t="inlineStr">
        <is>
          <t>SC?</t>
        </is>
      </c>
      <c r="N1" s="18" t="inlineStr">
        <is>
          <t>SOG?</t>
        </is>
      </c>
      <c r="O1" s="18" t="inlineStr">
        <is>
          <t>Screen?</t>
        </is>
      </c>
      <c r="P1" s="18" t="inlineStr">
        <is>
          <t>Rush?</t>
        </is>
      </c>
      <c r="Q1" s="18" t="inlineStr">
        <is>
          <t>Origin</t>
        </is>
      </c>
      <c r="R1" s="18" t="inlineStr">
        <is>
          <t>Context</t>
        </is>
      </c>
      <c r="S1" s="18" t="inlineStr">
        <is>
          <t>Oddman?</t>
        </is>
      </c>
      <c r="T1" s="18" t="inlineStr">
        <is>
          <t>G?</t>
        </is>
      </c>
      <c r="U1" s="18" t="inlineStr">
        <is>
          <t>State</t>
        </is>
      </c>
      <c r="V1" s="18" t="inlineStr">
        <is>
          <t>Goalie</t>
        </is>
      </c>
      <c r="W1" s="18" t="inlineStr">
        <is>
          <t>Game ID</t>
        </is>
      </c>
      <c r="X1" s="18" t="inlineStr">
        <is>
          <t>Date</t>
        </is>
      </c>
      <c r="Y1" s="17" t="inlineStr">
        <is>
          <t>Entry Type</t>
        </is>
      </c>
      <c r="Z1" s="17" t="inlineStr">
        <is>
          <t>Entry By</t>
        </is>
      </c>
      <c r="AA1" s="17" t="inlineStr">
        <is>
          <t>Defended by</t>
        </is>
      </c>
      <c r="AB1" s="17" t="inlineStr">
        <is>
          <t>Pass?</t>
        </is>
      </c>
      <c r="AC1" s="17" t="inlineStr">
        <is>
          <t>Lane</t>
        </is>
      </c>
      <c r="AD1" s="17" t="inlineStr">
        <is>
          <t>Dump recovered?</t>
        </is>
      </c>
      <c r="AE1" s="17" t="inlineStr">
        <is>
          <t>Chance?</t>
        </is>
      </c>
      <c r="AF1" s="13" t="inlineStr">
        <is>
          <t>Retrieval</t>
        </is>
      </c>
      <c r="AG1" s="13" t="inlineStr">
        <is>
          <t>Result</t>
        </is>
      </c>
      <c r="AH1" s="13" t="inlineStr">
        <is>
          <t>Pressure</t>
        </is>
      </c>
      <c r="AI1" s="13" t="inlineStr">
        <is>
          <t>Exit</t>
        </is>
      </c>
      <c r="AJ1" s="13" t="inlineStr">
        <is>
          <t>Result</t>
        </is>
      </c>
      <c r="AK1" s="7" t="inlineStr">
        <is>
          <t>Home</t>
        </is>
      </c>
      <c r="AL1" s="4" t="inlineStr">
        <is>
          <t>Road</t>
        </is>
      </c>
      <c r="AM1" s="4" t="n"/>
      <c r="AN1" s="4" t="n"/>
    </row>
    <row r="2" ht="14.15" customHeight="1">
      <c r="A2" s="7" t="n">
        <v>1</v>
      </c>
      <c r="B2" s="15" t="n">
        <v>0.7770833333333333</v>
      </c>
      <c r="C2" s="21" t="inlineStr">
        <is>
          <t>5v5</t>
        </is>
      </c>
      <c r="D2" s="1" t="inlineStr">
        <is>
          <t>COL</t>
        </is>
      </c>
      <c r="E2" s="1" t="n">
        <v>10</v>
      </c>
      <c r="F2" s="1" t="inlineStr">
        <is>
          <t>w</t>
        </is>
      </c>
      <c r="G2" s="1" t="n">
        <v>27</v>
      </c>
      <c r="J2" s="1" t="inlineStr">
        <is>
          <t>ol</t>
        </is>
      </c>
      <c r="M2" s="1" t="inlineStr">
        <is>
          <t>y</t>
        </is>
      </c>
      <c r="N2" s="1" t="inlineStr">
        <is>
          <t>y</t>
        </is>
      </c>
      <c r="P2" s="1" t="inlineStr">
        <is>
          <t>r</t>
        </is>
      </c>
      <c r="Q2" s="1" t="inlineStr">
        <is>
          <t>nz</t>
        </is>
      </c>
      <c r="R2" s="1" t="inlineStr">
        <is>
          <t>nz turnover</t>
        </is>
      </c>
      <c r="U2" s="1" t="n">
        <v>0</v>
      </c>
      <c r="V2" s="1" t="n">
        <v>29</v>
      </c>
      <c r="W2" s="1" t="n">
        <v>20984</v>
      </c>
      <c r="X2" s="1" t="n">
        <v>46087</v>
      </c>
      <c r="AK2" s="7" t="n"/>
      <c r="AL2" s="7" t="n"/>
    </row>
    <row r="3">
      <c r="A3" s="2" t="n">
        <v>1</v>
      </c>
      <c r="B3" s="15" t="n">
        <v>0.725</v>
      </c>
      <c r="C3" s="21" t="inlineStr">
        <is>
          <t>5v4</t>
        </is>
      </c>
      <c r="D3" s="1" t="inlineStr">
        <is>
          <t>COL</t>
        </is>
      </c>
      <c r="E3" s="1" t="n">
        <v>88</v>
      </c>
      <c r="F3" s="1" t="inlineStr">
        <is>
          <t>w</t>
        </is>
      </c>
      <c r="G3" s="1" t="n">
        <v>29</v>
      </c>
      <c r="H3" s="1" t="n">
        <v>88</v>
      </c>
      <c r="I3" s="1" t="n">
        <v>8</v>
      </c>
      <c r="J3" s="1" t="inlineStr">
        <is>
          <t>ol</t>
        </is>
      </c>
      <c r="K3" s="1" t="inlineStr">
        <is>
          <t>ol</t>
        </is>
      </c>
      <c r="L3" s="1" t="inlineStr">
        <is>
          <t>ol</t>
        </is>
      </c>
      <c r="M3" s="1" t="inlineStr">
        <is>
          <t>y</t>
        </is>
      </c>
      <c r="N3" s="1" t="inlineStr">
        <is>
          <t>y</t>
        </is>
      </c>
      <c r="Q3" s="1" t="inlineStr">
        <is>
          <t>oz</t>
        </is>
      </c>
      <c r="R3" s="1" t="inlineStr">
        <is>
          <t>oz faceoff</t>
        </is>
      </c>
      <c r="U3" s="1" t="n">
        <v>0</v>
      </c>
      <c r="V3" s="1" t="n">
        <v>29</v>
      </c>
      <c r="W3" s="1" t="n">
        <v>20984</v>
      </c>
      <c r="X3" s="1" t="n">
        <v>46087</v>
      </c>
      <c r="AK3" s="7" t="n"/>
      <c r="AL3" s="7" t="n"/>
    </row>
    <row r="4">
      <c r="A4" s="7" t="n">
        <v>1</v>
      </c>
      <c r="B4" s="15" t="n">
        <v>0.69375</v>
      </c>
      <c r="C4" s="21" t="inlineStr">
        <is>
          <t>5v4</t>
        </is>
      </c>
      <c r="D4" s="1" t="inlineStr">
        <is>
          <t>COL</t>
        </is>
      </c>
      <c r="E4" s="1" t="n">
        <v>88</v>
      </c>
      <c r="F4" s="1" t="inlineStr">
        <is>
          <t>w</t>
        </is>
      </c>
      <c r="G4" s="1" t="n">
        <v>29</v>
      </c>
      <c r="J4" s="1" t="inlineStr">
        <is>
          <t>oelr</t>
        </is>
      </c>
      <c r="M4" s="1" t="inlineStr">
        <is>
          <t>y</t>
        </is>
      </c>
      <c r="N4" s="1" t="inlineStr">
        <is>
          <t>y</t>
        </is>
      </c>
      <c r="U4" s="1" t="n">
        <v>0</v>
      </c>
      <c r="V4" s="1" t="n">
        <v>29</v>
      </c>
      <c r="W4" s="1" t="n">
        <v>20984</v>
      </c>
      <c r="X4" s="1" t="n">
        <v>46087</v>
      </c>
      <c r="AK4" s="7" t="n"/>
      <c r="AL4" s="7" t="n"/>
    </row>
    <row r="5">
      <c r="A5" s="7" t="n">
        <v>1</v>
      </c>
      <c r="B5" s="14" t="n">
        <v>0.6854166666666667</v>
      </c>
      <c r="C5" s="21" t="inlineStr">
        <is>
          <t>5v4</t>
        </is>
      </c>
      <c r="D5" s="1" t="inlineStr">
        <is>
          <t>COL</t>
        </is>
      </c>
      <c r="E5" s="1" t="n">
        <v>8</v>
      </c>
      <c r="F5" s="1" t="inlineStr">
        <is>
          <t>w</t>
        </is>
      </c>
      <c r="G5" s="1" t="n">
        <v>29</v>
      </c>
      <c r="J5" s="1" t="inlineStr">
        <is>
          <t>opl</t>
        </is>
      </c>
      <c r="M5" s="1" t="inlineStr">
        <is>
          <t>y</t>
        </is>
      </c>
      <c r="N5" s="1" t="inlineStr">
        <is>
          <t>y</t>
        </is>
      </c>
      <c r="O5" s="1" t="inlineStr">
        <is>
          <t>y</t>
        </is>
      </c>
      <c r="T5" s="1" t="inlineStr">
        <is>
          <t>y</t>
        </is>
      </c>
      <c r="U5" s="1" t="n">
        <v>0</v>
      </c>
      <c r="V5" s="1" t="n">
        <v>29</v>
      </c>
      <c r="W5" s="1" t="n">
        <v>20984</v>
      </c>
      <c r="X5" s="1" t="n">
        <v>46087</v>
      </c>
      <c r="AK5" s="7" t="n"/>
      <c r="AL5" s="7" t="n"/>
    </row>
    <row r="6">
      <c r="A6" s="2" t="n">
        <v>1</v>
      </c>
      <c r="B6" s="15" t="n">
        <v>0.5708333333333333</v>
      </c>
      <c r="C6" s="21" t="inlineStr">
        <is>
          <t>5v4</t>
        </is>
      </c>
      <c r="D6" s="1" t="inlineStr">
        <is>
          <t>DAL</t>
        </is>
      </c>
      <c r="E6" s="1" t="n">
        <v>21</v>
      </c>
      <c r="F6" s="1" t="inlineStr">
        <is>
          <t>o</t>
        </is>
      </c>
      <c r="G6" s="1" t="n">
        <v>53</v>
      </c>
      <c r="H6" s="1" t="n">
        <v>21</v>
      </c>
      <c r="I6" s="1" t="n">
        <v>4</v>
      </c>
      <c r="J6" s="1" t="inlineStr">
        <is>
          <t>ol</t>
        </is>
      </c>
      <c r="K6" s="1" t="inlineStr">
        <is>
          <t>oc</t>
        </is>
      </c>
      <c r="L6" s="1" t="inlineStr">
        <is>
          <t>ol</t>
        </is>
      </c>
      <c r="M6" s="1" t="inlineStr">
        <is>
          <t>y</t>
        </is>
      </c>
      <c r="N6" s="1" t="inlineStr">
        <is>
          <t>y</t>
        </is>
      </c>
      <c r="Q6" s="1" t="inlineStr">
        <is>
          <t>oz</t>
        </is>
      </c>
      <c r="R6" s="1" t="inlineStr">
        <is>
          <t>oz faceoff</t>
        </is>
      </c>
      <c r="U6" s="1" t="n">
        <v>-1</v>
      </c>
      <c r="V6" s="1" t="n">
        <v>39</v>
      </c>
      <c r="W6" s="1" t="n">
        <v>20984</v>
      </c>
      <c r="X6" s="1" t="n">
        <v>46087</v>
      </c>
      <c r="AK6" s="7" t="n"/>
      <c r="AL6" s="7" t="n"/>
    </row>
    <row r="7">
      <c r="A7" s="2" t="n">
        <v>1</v>
      </c>
      <c r="B7" s="15" t="n">
        <v>0.5444444444444444</v>
      </c>
      <c r="C7" s="21" t="inlineStr">
        <is>
          <t>5v4</t>
        </is>
      </c>
      <c r="D7" s="1" t="inlineStr">
        <is>
          <t>DAL</t>
        </is>
      </c>
      <c r="E7" s="1" t="n">
        <v>21</v>
      </c>
      <c r="F7" s="1" t="inlineStr">
        <is>
          <t>w</t>
        </is>
      </c>
      <c r="G7" s="1" t="n">
        <v>4</v>
      </c>
      <c r="H7" s="1" t="n">
        <v>21</v>
      </c>
      <c r="J7" s="1" t="inlineStr">
        <is>
          <t>ol</t>
        </is>
      </c>
      <c r="K7" s="1" t="inlineStr">
        <is>
          <t>or</t>
        </is>
      </c>
      <c r="U7" s="1" t="n">
        <v>-1</v>
      </c>
      <c r="V7" s="1" t="n">
        <v>39</v>
      </c>
      <c r="W7" s="1" t="n">
        <v>20984</v>
      </c>
      <c r="X7" s="1" t="n">
        <v>46087</v>
      </c>
      <c r="AK7" s="7" t="n"/>
      <c r="AL7" s="7" t="n"/>
    </row>
    <row r="8">
      <c r="A8" s="7" t="n">
        <v>1</v>
      </c>
      <c r="B8" s="15" t="n">
        <v>0.5340277777777778</v>
      </c>
      <c r="C8" s="21" t="inlineStr">
        <is>
          <t>5v4</t>
        </is>
      </c>
      <c r="D8" s="1" t="inlineStr">
        <is>
          <t>DAL</t>
        </is>
      </c>
      <c r="E8" s="1" t="n">
        <v>4</v>
      </c>
      <c r="F8" s="1" t="inlineStr">
        <is>
          <t>w</t>
        </is>
      </c>
      <c r="G8" s="1" t="n">
        <v>21</v>
      </c>
      <c r="J8" s="1" t="inlineStr">
        <is>
          <t>opl</t>
        </is>
      </c>
      <c r="N8" s="1" t="inlineStr">
        <is>
          <t>y</t>
        </is>
      </c>
      <c r="O8" s="1" t="inlineStr">
        <is>
          <t>y</t>
        </is>
      </c>
      <c r="T8" s="1" t="inlineStr">
        <is>
          <t>y</t>
        </is>
      </c>
      <c r="U8" s="1" t="n">
        <v>-1</v>
      </c>
      <c r="V8" s="1" t="n">
        <v>39</v>
      </c>
      <c r="W8" s="1" t="n">
        <v>20984</v>
      </c>
      <c r="X8" s="1" t="n">
        <v>46087</v>
      </c>
      <c r="AK8" s="7" t="n"/>
      <c r="AL8" s="7" t="n"/>
    </row>
    <row r="9">
      <c r="A9" s="2" t="n">
        <v>1</v>
      </c>
      <c r="B9" s="15" t="n">
        <v>0.4965277777777778</v>
      </c>
      <c r="C9" s="21" t="inlineStr">
        <is>
          <t>5v5</t>
        </is>
      </c>
      <c r="D9" s="1" t="inlineStr">
        <is>
          <t>DAL</t>
        </is>
      </c>
      <c r="E9" s="1" t="n">
        <v>6</v>
      </c>
      <c r="F9" s="1" t="inlineStr">
        <is>
          <t>W</t>
        </is>
      </c>
      <c r="G9" s="1" t="n">
        <v>46</v>
      </c>
      <c r="J9" s="1" t="inlineStr">
        <is>
          <t>or</t>
        </is>
      </c>
      <c r="N9" s="1" t="inlineStr">
        <is>
          <t>y</t>
        </is>
      </c>
      <c r="O9" s="1" t="inlineStr">
        <is>
          <t>y</t>
        </is>
      </c>
      <c r="P9" s="1" t="inlineStr">
        <is>
          <t>f</t>
        </is>
      </c>
      <c r="Q9" s="1" t="inlineStr">
        <is>
          <t>oz</t>
        </is>
      </c>
      <c r="U9" s="1" t="n">
        <v>0</v>
      </c>
      <c r="V9" s="1" t="n">
        <v>39</v>
      </c>
      <c r="W9" s="1" t="n">
        <v>20984</v>
      </c>
      <c r="X9" s="1" t="n">
        <v>46087</v>
      </c>
      <c r="AK9" s="7" t="n"/>
      <c r="AL9" s="7" t="n"/>
    </row>
    <row r="10">
      <c r="A10" s="2" t="n">
        <v>1</v>
      </c>
      <c r="B10" s="15" t="n">
        <v>0.4715277777777778</v>
      </c>
      <c r="C10" s="21" t="inlineStr">
        <is>
          <t>5v5</t>
        </is>
      </c>
      <c r="D10" s="1" t="inlineStr">
        <is>
          <t>COL</t>
        </is>
      </c>
      <c r="E10" s="1" t="n">
        <v>11</v>
      </c>
      <c r="F10" s="1" t="inlineStr">
        <is>
          <t>W</t>
        </is>
      </c>
      <c r="G10" s="1" t="n">
        <v>20</v>
      </c>
      <c r="J10" s="1" t="inlineStr">
        <is>
          <t>oc</t>
        </is>
      </c>
      <c r="M10" s="1" t="inlineStr">
        <is>
          <t>y</t>
        </is>
      </c>
      <c r="N10" s="1" t="inlineStr">
        <is>
          <t>y</t>
        </is>
      </c>
      <c r="P10" s="1" t="inlineStr">
        <is>
          <t>f</t>
        </is>
      </c>
      <c r="Q10" s="1" t="inlineStr">
        <is>
          <t>oz</t>
        </is>
      </c>
      <c r="U10" s="1" t="n">
        <v>0</v>
      </c>
      <c r="V10" s="1" t="n">
        <v>29</v>
      </c>
      <c r="W10" s="1" t="n">
        <v>20984</v>
      </c>
      <c r="X10" s="1" t="n">
        <v>46087</v>
      </c>
      <c r="AK10" s="7" t="n"/>
      <c r="AL10" s="7" t="n"/>
    </row>
    <row r="11">
      <c r="A11" s="2" t="n">
        <v>1</v>
      </c>
      <c r="B11" s="15" t="n">
        <v>0.4666666666666667</v>
      </c>
      <c r="C11" s="21" t="inlineStr">
        <is>
          <t>5v5</t>
        </is>
      </c>
      <c r="D11" s="1" t="inlineStr">
        <is>
          <t>COL</t>
        </is>
      </c>
      <c r="E11" s="1" t="n">
        <v>20</v>
      </c>
      <c r="F11" s="1" t="inlineStr">
        <is>
          <t>s</t>
        </is>
      </c>
      <c r="G11" s="1" t="n">
        <v>11</v>
      </c>
      <c r="J11" s="1" t="inlineStr">
        <is>
          <t>opl</t>
        </is>
      </c>
      <c r="N11" s="1" t="inlineStr">
        <is>
          <t>y</t>
        </is>
      </c>
      <c r="P11" s="1" t="inlineStr">
        <is>
          <t>f</t>
        </is>
      </c>
      <c r="Q11" s="1" t="inlineStr">
        <is>
          <t>oz</t>
        </is>
      </c>
      <c r="U11" s="1" t="n">
        <v>0</v>
      </c>
      <c r="V11" s="1" t="n">
        <v>29</v>
      </c>
      <c r="W11" s="1" t="n">
        <v>20984</v>
      </c>
      <c r="X11" s="1" t="n">
        <v>46087</v>
      </c>
      <c r="AK11" s="7" t="n"/>
      <c r="AL11" s="7" t="n"/>
    </row>
    <row r="12">
      <c r="A12" s="2" t="n">
        <v>1</v>
      </c>
      <c r="B12" s="15" t="n">
        <v>0.4104166666666667</v>
      </c>
      <c r="C12" s="21" t="inlineStr">
        <is>
          <t>5v5</t>
        </is>
      </c>
      <c r="D12" s="1" t="inlineStr">
        <is>
          <t>DAL</t>
        </is>
      </c>
      <c r="E12" s="1" t="n">
        <v>11</v>
      </c>
      <c r="F12" s="1" t="inlineStr">
        <is>
          <t>T</t>
        </is>
      </c>
      <c r="G12" s="1" t="n">
        <v>21</v>
      </c>
      <c r="J12" s="1" t="inlineStr">
        <is>
          <t>s</t>
        </is>
      </c>
      <c r="M12" s="1" t="inlineStr">
        <is>
          <t>y</t>
        </is>
      </c>
      <c r="N12" s="1" t="inlineStr">
        <is>
          <t>y</t>
        </is>
      </c>
      <c r="O12" s="1" t="inlineStr">
        <is>
          <t>y</t>
        </is>
      </c>
      <c r="P12" s="1" t="inlineStr">
        <is>
          <t>f</t>
        </is>
      </c>
      <c r="Q12" s="1" t="inlineStr">
        <is>
          <t>oz</t>
        </is>
      </c>
      <c r="U12" s="1" t="n">
        <v>0</v>
      </c>
      <c r="V12" s="1" t="n">
        <v>39</v>
      </c>
      <c r="W12" s="1" t="n">
        <v>20984</v>
      </c>
      <c r="X12" s="1" t="n">
        <v>46087</v>
      </c>
      <c r="AK12" s="7" t="n"/>
      <c r="AL12" s="7" t="n"/>
    </row>
    <row r="13">
      <c r="A13" s="7" t="n">
        <v>1</v>
      </c>
      <c r="B13" s="15" t="n">
        <v>0.40625</v>
      </c>
      <c r="C13" s="21" t="inlineStr">
        <is>
          <t>5v5</t>
        </is>
      </c>
      <c r="D13" s="1" t="inlineStr">
        <is>
          <t>DAL</t>
        </is>
      </c>
      <c r="E13" s="1" t="n">
        <v>24</v>
      </c>
      <c r="F13" s="1" t="inlineStr">
        <is>
          <t>w</t>
        </is>
      </c>
      <c r="G13" s="1" t="n">
        <v>21</v>
      </c>
      <c r="J13" s="1" t="inlineStr">
        <is>
          <t>or</t>
        </is>
      </c>
      <c r="M13" s="1" t="inlineStr">
        <is>
          <t>y</t>
        </is>
      </c>
      <c r="P13" s="1" t="inlineStr">
        <is>
          <t>f</t>
        </is>
      </c>
      <c r="Q13" s="1" t="inlineStr">
        <is>
          <t>oz</t>
        </is>
      </c>
      <c r="U13" s="1" t="n">
        <v>0</v>
      </c>
      <c r="V13" s="1" t="n">
        <v>39</v>
      </c>
      <c r="W13" s="1" t="n">
        <v>20984</v>
      </c>
      <c r="X13" s="1" t="n">
        <v>46087</v>
      </c>
      <c r="AK13" s="7" t="n"/>
      <c r="AL13" s="7" t="n"/>
    </row>
    <row r="14">
      <c r="A14" s="2" t="n">
        <v>1</v>
      </c>
      <c r="B14" s="15" t="n">
        <v>0.4020833333333333</v>
      </c>
      <c r="C14" s="21" t="inlineStr">
        <is>
          <t>5v5</t>
        </is>
      </c>
      <c r="D14" s="1" t="inlineStr">
        <is>
          <t>DAL</t>
        </is>
      </c>
      <c r="E14" s="1" t="n">
        <v>23</v>
      </c>
      <c r="F14" s="1" t="inlineStr">
        <is>
          <t>t</t>
        </is>
      </c>
      <c r="G14" s="1" t="n">
        <v>24</v>
      </c>
      <c r="J14" s="1" t="inlineStr">
        <is>
          <t>ol</t>
        </is>
      </c>
      <c r="M14" s="1" t="inlineStr">
        <is>
          <t>y</t>
        </is>
      </c>
      <c r="P14" s="1" t="inlineStr">
        <is>
          <t>f</t>
        </is>
      </c>
      <c r="Q14" s="1" t="inlineStr">
        <is>
          <t>oz</t>
        </is>
      </c>
      <c r="U14" s="1" t="n">
        <v>0</v>
      </c>
      <c r="V14" s="1" t="n">
        <v>39</v>
      </c>
      <c r="W14" s="1" t="n">
        <v>20984</v>
      </c>
      <c r="X14" s="1" t="n">
        <v>46087</v>
      </c>
      <c r="AK14" s="7" t="n"/>
      <c r="AL14" s="7" t="n"/>
    </row>
    <row r="15">
      <c r="A15" s="2" t="n">
        <v>1</v>
      </c>
      <c r="B15" s="15" t="n">
        <v>0.3895833333333333</v>
      </c>
      <c r="C15" s="21" t="inlineStr">
        <is>
          <t>5v5</t>
        </is>
      </c>
      <c r="D15" s="1" t="inlineStr">
        <is>
          <t>DAL</t>
        </is>
      </c>
      <c r="E15" s="1" t="n">
        <v>53</v>
      </c>
      <c r="F15" s="1" t="inlineStr">
        <is>
          <t>W</t>
        </is>
      </c>
      <c r="G15" s="1" t="n">
        <v>4</v>
      </c>
      <c r="J15" s="1" t="inlineStr">
        <is>
          <t>ol</t>
        </is>
      </c>
      <c r="M15" s="1" t="inlineStr">
        <is>
          <t>Y</t>
        </is>
      </c>
      <c r="N15" s="1" t="inlineStr">
        <is>
          <t>Y</t>
        </is>
      </c>
      <c r="P15" s="1" t="inlineStr">
        <is>
          <t>f</t>
        </is>
      </c>
      <c r="Q15" s="1" t="inlineStr">
        <is>
          <t>oz</t>
        </is>
      </c>
      <c r="T15" s="1" t="inlineStr">
        <is>
          <t>y</t>
        </is>
      </c>
      <c r="U15" s="1" t="n">
        <v>0</v>
      </c>
      <c r="V15" s="1" t="n">
        <v>39</v>
      </c>
      <c r="W15" s="1" t="n">
        <v>20984</v>
      </c>
      <c r="X15" s="1" t="n">
        <v>46087</v>
      </c>
      <c r="AK15" s="7" t="n"/>
      <c r="AL15" s="7" t="n"/>
    </row>
    <row r="16">
      <c r="A16" s="2" t="n">
        <v>1</v>
      </c>
      <c r="B16" s="15" t="n">
        <v>0.3798611111111111</v>
      </c>
      <c r="C16" s="21" t="inlineStr">
        <is>
          <t>5v5</t>
        </is>
      </c>
      <c r="D16" s="1" t="inlineStr">
        <is>
          <t>DAL</t>
        </is>
      </c>
      <c r="E16" s="1" t="n">
        <v>95</v>
      </c>
      <c r="F16" s="1" t="inlineStr">
        <is>
          <t>t</t>
        </is>
      </c>
      <c r="G16" s="1" t="n">
        <v>18</v>
      </c>
      <c r="H16" s="1" t="n">
        <v>5</v>
      </c>
      <c r="J16" s="1" t="inlineStr">
        <is>
          <t>or</t>
        </is>
      </c>
      <c r="K16" s="1" t="inlineStr">
        <is>
          <t>dsr</t>
        </is>
      </c>
      <c r="M16" s="1" t="inlineStr">
        <is>
          <t>y</t>
        </is>
      </c>
      <c r="N16" s="1" t="inlineStr">
        <is>
          <t>y</t>
        </is>
      </c>
      <c r="P16" s="1" t="inlineStr">
        <is>
          <t>r</t>
        </is>
      </c>
      <c r="Q16" s="1" t="inlineStr">
        <is>
          <t>dz</t>
        </is>
      </c>
      <c r="R16" s="1" t="inlineStr">
        <is>
          <t>dz exit</t>
        </is>
      </c>
      <c r="U16" s="1" t="n">
        <v>1</v>
      </c>
      <c r="V16" s="1" t="n">
        <v>39</v>
      </c>
      <c r="W16" s="1" t="n">
        <v>20984</v>
      </c>
      <c r="X16" s="1" t="n">
        <v>46087</v>
      </c>
      <c r="AK16" s="7" t="n"/>
      <c r="AL16" s="7" t="n"/>
    </row>
    <row r="17">
      <c r="A17" s="2" t="n">
        <v>1</v>
      </c>
      <c r="B17" s="15" t="n">
        <v>0.35625</v>
      </c>
      <c r="C17" s="21" t="inlineStr">
        <is>
          <t>5v5</t>
        </is>
      </c>
      <c r="D17" s="1" t="inlineStr">
        <is>
          <t>DAL</t>
        </is>
      </c>
      <c r="E17" s="1" t="n">
        <v>49</v>
      </c>
      <c r="F17" s="1" t="inlineStr">
        <is>
          <t>A</t>
        </is>
      </c>
      <c r="M17" s="1" t="inlineStr">
        <is>
          <t>y</t>
        </is>
      </c>
      <c r="N17" s="1" t="inlineStr">
        <is>
          <t>y</t>
        </is>
      </c>
      <c r="P17" s="1" t="inlineStr">
        <is>
          <t>f</t>
        </is>
      </c>
      <c r="Q17" s="1" t="inlineStr">
        <is>
          <t>oz</t>
        </is>
      </c>
      <c r="U17" s="1" t="n">
        <v>1</v>
      </c>
      <c r="V17" s="1" t="n">
        <v>39</v>
      </c>
      <c r="W17" s="1" t="n">
        <v>20984</v>
      </c>
      <c r="X17" s="1" t="n">
        <v>46087</v>
      </c>
      <c r="AK17" s="7" t="n"/>
      <c r="AL17" s="7" t="n"/>
    </row>
    <row r="18">
      <c r="A18" s="2" t="n">
        <v>1</v>
      </c>
      <c r="B18" s="15" t="n">
        <v>0.2833333333333333</v>
      </c>
      <c r="C18" s="21" t="inlineStr">
        <is>
          <t>5v5</t>
        </is>
      </c>
      <c r="D18" s="1" t="inlineStr">
        <is>
          <t>DAL</t>
        </is>
      </c>
      <c r="E18" s="1" t="n">
        <v>5</v>
      </c>
      <c r="F18" s="1" t="inlineStr">
        <is>
          <t>w</t>
        </is>
      </c>
      <c r="G18" s="1" t="n">
        <v>49</v>
      </c>
      <c r="J18" s="1" t="inlineStr">
        <is>
          <t>or</t>
        </is>
      </c>
      <c r="N18" s="1" t="inlineStr">
        <is>
          <t>y</t>
        </is>
      </c>
      <c r="Q18" s="1" t="inlineStr">
        <is>
          <t>oz</t>
        </is>
      </c>
      <c r="R18" s="1" t="inlineStr">
        <is>
          <t>oz faceoff</t>
        </is>
      </c>
      <c r="U18" s="1" t="n">
        <v>1</v>
      </c>
      <c r="V18" s="1" t="n">
        <v>39</v>
      </c>
      <c r="W18" s="1" t="n">
        <v>20984</v>
      </c>
      <c r="X18" s="1" t="n">
        <v>46087</v>
      </c>
      <c r="AK18" s="7" t="n"/>
      <c r="AL18" s="7" t="n"/>
    </row>
    <row r="19">
      <c r="A19" s="7" t="n">
        <v>1</v>
      </c>
      <c r="B19" s="15" t="n">
        <v>0.2319444444444445</v>
      </c>
      <c r="C19" s="21" t="inlineStr">
        <is>
          <t>5v5</t>
        </is>
      </c>
      <c r="D19" s="1" t="inlineStr">
        <is>
          <t>DAL</t>
        </is>
      </c>
      <c r="E19" s="1" t="n">
        <v>46</v>
      </c>
      <c r="F19" s="1" t="inlineStr">
        <is>
          <t>w</t>
        </is>
      </c>
      <c r="G19" s="1" t="n">
        <v>18</v>
      </c>
      <c r="J19" s="1" t="inlineStr">
        <is>
          <t>oelc</t>
        </is>
      </c>
      <c r="M19" s="1" t="inlineStr">
        <is>
          <t>Y</t>
        </is>
      </c>
      <c r="N19" s="1" t="inlineStr">
        <is>
          <t>Y</t>
        </is>
      </c>
      <c r="P19" s="1" t="inlineStr">
        <is>
          <t>f</t>
        </is>
      </c>
      <c r="Q19" s="1" t="inlineStr">
        <is>
          <t>oz</t>
        </is>
      </c>
      <c r="U19" s="1" t="n">
        <v>1</v>
      </c>
      <c r="V19" s="1" t="n">
        <v>39</v>
      </c>
      <c r="W19" s="1" t="n">
        <v>20984</v>
      </c>
      <c r="X19" s="1" t="n">
        <v>46087</v>
      </c>
      <c r="AK19" s="7" t="n"/>
      <c r="AL19" s="7" t="n"/>
    </row>
    <row r="20">
      <c r="A20" s="2" t="n">
        <v>1</v>
      </c>
      <c r="B20" s="15" t="n">
        <v>0.23125</v>
      </c>
      <c r="C20" s="21" t="inlineStr">
        <is>
          <t>5v5</t>
        </is>
      </c>
      <c r="D20" s="1" t="inlineStr">
        <is>
          <t>DAL</t>
        </is>
      </c>
      <c r="E20" s="1" t="n">
        <v>46</v>
      </c>
      <c r="F20" s="1" t="inlineStr">
        <is>
          <t>R</t>
        </is>
      </c>
      <c r="M20" s="1" t="inlineStr">
        <is>
          <t>Y</t>
        </is>
      </c>
      <c r="N20" s="1" t="inlineStr">
        <is>
          <t>Y</t>
        </is>
      </c>
      <c r="P20" s="1" t="inlineStr">
        <is>
          <t>f</t>
        </is>
      </c>
      <c r="Q20" s="1" t="inlineStr">
        <is>
          <t>oz</t>
        </is>
      </c>
      <c r="U20" s="1" t="n">
        <v>1</v>
      </c>
      <c r="V20" s="1" t="n">
        <v>39</v>
      </c>
      <c r="W20" s="1" t="n">
        <v>20984</v>
      </c>
      <c r="X20" s="1" t="n">
        <v>46087</v>
      </c>
      <c r="AK20" s="7" t="n"/>
      <c r="AL20" s="7" t="n"/>
    </row>
    <row r="21">
      <c r="A21" s="7" t="n">
        <v>1</v>
      </c>
      <c r="B21" s="15" t="n">
        <v>0.2090277777777778</v>
      </c>
      <c r="C21" s="21" t="inlineStr">
        <is>
          <t>5v5</t>
        </is>
      </c>
      <c r="D21" s="1" t="inlineStr">
        <is>
          <t>DAL</t>
        </is>
      </c>
      <c r="E21" s="1" t="n">
        <v>53</v>
      </c>
      <c r="F21" s="1" t="inlineStr">
        <is>
          <t>T</t>
        </is>
      </c>
      <c r="G21" s="1" t="n">
        <v>5</v>
      </c>
      <c r="H21" s="1" t="n">
        <v>24</v>
      </c>
      <c r="J21" s="1" t="inlineStr">
        <is>
          <t>s</t>
        </is>
      </c>
      <c r="K21" s="1" t="inlineStr">
        <is>
          <t>opr</t>
        </is>
      </c>
      <c r="P21" s="1" t="inlineStr">
        <is>
          <t>f</t>
        </is>
      </c>
      <c r="Q21" s="1" t="inlineStr">
        <is>
          <t>oz</t>
        </is>
      </c>
      <c r="U21" s="1" t="n">
        <v>1</v>
      </c>
      <c r="V21" s="1" t="n">
        <v>39</v>
      </c>
      <c r="W21" s="1" t="n">
        <v>20984</v>
      </c>
      <c r="X21" s="1" t="n">
        <v>46087</v>
      </c>
      <c r="AK21" s="7" t="n"/>
      <c r="AL21" s="7" t="n"/>
    </row>
    <row r="22">
      <c r="A22" s="7" t="n">
        <v>1</v>
      </c>
      <c r="B22" s="15" t="n">
        <v>0.1638888888888889</v>
      </c>
      <c r="C22" s="21" t="inlineStr">
        <is>
          <t>5v5</t>
        </is>
      </c>
      <c r="D22" s="1" t="inlineStr">
        <is>
          <t>DAL</t>
        </is>
      </c>
      <c r="E22" s="1" t="n">
        <v>49</v>
      </c>
      <c r="F22" s="1" t="inlineStr">
        <is>
          <t>w</t>
        </is>
      </c>
      <c r="G22" s="1" t="n">
        <v>22</v>
      </c>
      <c r="J22" s="1" t="inlineStr">
        <is>
          <t>oelc</t>
        </is>
      </c>
      <c r="M22" s="1" t="inlineStr">
        <is>
          <t>y</t>
        </is>
      </c>
      <c r="N22" s="1" t="inlineStr">
        <is>
          <t>y</t>
        </is>
      </c>
      <c r="P22" s="1" t="inlineStr">
        <is>
          <t>f</t>
        </is>
      </c>
      <c r="Q22" s="1" t="inlineStr">
        <is>
          <t>oz</t>
        </is>
      </c>
      <c r="T22" s="1" t="inlineStr">
        <is>
          <t>y</t>
        </is>
      </c>
      <c r="U22" s="1" t="n">
        <v>1</v>
      </c>
      <c r="V22" s="1" t="n">
        <v>39</v>
      </c>
      <c r="W22" s="1" t="n">
        <v>20984</v>
      </c>
      <c r="X22" s="1" t="n">
        <v>46087</v>
      </c>
      <c r="AK22" s="7" t="n"/>
      <c r="AL22" s="7" t="n"/>
    </row>
    <row r="23">
      <c r="A23" s="2" t="n">
        <v>1</v>
      </c>
      <c r="B23" s="15" t="n">
        <v>0.07222222222222222</v>
      </c>
      <c r="C23" s="21" t="inlineStr">
        <is>
          <t>5v4</t>
        </is>
      </c>
      <c r="D23" s="1" t="inlineStr">
        <is>
          <t>COL</t>
        </is>
      </c>
      <c r="E23" s="1" t="n">
        <v>11</v>
      </c>
      <c r="F23" s="1" t="inlineStr">
        <is>
          <t>o</t>
        </is>
      </c>
      <c r="G23" s="1" t="n">
        <v>8</v>
      </c>
      <c r="H23" s="1" t="n">
        <v>88</v>
      </c>
      <c r="I23" s="1" t="n">
        <v>29</v>
      </c>
      <c r="J23" s="1" t="inlineStr">
        <is>
          <t>oc</t>
        </is>
      </c>
      <c r="K23" s="1" t="inlineStr">
        <is>
          <t>opl</t>
        </is>
      </c>
      <c r="L23" s="1" t="inlineStr">
        <is>
          <t>ol</t>
        </is>
      </c>
      <c r="M23" s="1" t="inlineStr">
        <is>
          <t>y</t>
        </is>
      </c>
      <c r="N23" s="1" t="inlineStr">
        <is>
          <t>y</t>
        </is>
      </c>
      <c r="U23" s="1" t="n">
        <v>1</v>
      </c>
      <c r="V23" s="1" t="n">
        <v>29</v>
      </c>
      <c r="W23" s="1" t="n">
        <v>20984</v>
      </c>
      <c r="X23" s="1" t="n">
        <v>46087</v>
      </c>
      <c r="AK23" s="7" t="n"/>
      <c r="AL23" s="7" t="n"/>
    </row>
    <row r="24">
      <c r="A24" s="7" t="n">
        <v>1</v>
      </c>
      <c r="B24" s="15" t="n">
        <v>0.06736111111111111</v>
      </c>
      <c r="C24" s="21" t="inlineStr">
        <is>
          <t>5v4</t>
        </is>
      </c>
      <c r="D24" s="1" t="inlineStr">
        <is>
          <t>COL</t>
        </is>
      </c>
      <c r="E24" s="1" t="n">
        <v>92</v>
      </c>
      <c r="F24" s="1" t="inlineStr">
        <is>
          <t>t</t>
        </is>
      </c>
      <c r="G24" s="1" t="n">
        <v>29</v>
      </c>
      <c r="H24" s="1" t="n">
        <v>11</v>
      </c>
      <c r="J24" s="1" t="inlineStr">
        <is>
          <t>ol</t>
        </is>
      </c>
      <c r="K24" s="1" t="inlineStr">
        <is>
          <t>orrr</t>
        </is>
      </c>
      <c r="U24" s="1" t="n">
        <v>1</v>
      </c>
      <c r="V24" s="1" t="n">
        <v>29</v>
      </c>
      <c r="W24" s="1" t="n">
        <v>20984</v>
      </c>
      <c r="X24" s="1" t="n">
        <v>46087</v>
      </c>
      <c r="AK24" s="7" t="n"/>
      <c r="AL24" s="7" t="n"/>
    </row>
    <row r="25">
      <c r="A25" s="2" t="n">
        <v>1</v>
      </c>
      <c r="B25" s="15" t="n">
        <v>0.06319444444444444</v>
      </c>
      <c r="C25" s="21" t="inlineStr">
        <is>
          <t>5v4</t>
        </is>
      </c>
      <c r="D25" s="1" t="inlineStr">
        <is>
          <t>COL</t>
        </is>
      </c>
      <c r="E25" s="1" t="n">
        <v>88</v>
      </c>
      <c r="F25" s="1" t="inlineStr">
        <is>
          <t>o</t>
        </is>
      </c>
      <c r="G25" s="1" t="n">
        <v>8</v>
      </c>
      <c r="H25" s="1" t="n">
        <v>11</v>
      </c>
      <c r="J25" s="1" t="inlineStr">
        <is>
          <t>oc</t>
        </is>
      </c>
      <c r="K25" s="1" t="inlineStr">
        <is>
          <t>opr</t>
        </is>
      </c>
      <c r="M25" s="1" t="inlineStr">
        <is>
          <t>y</t>
        </is>
      </c>
      <c r="N25" s="1" t="inlineStr">
        <is>
          <t>y</t>
        </is>
      </c>
      <c r="U25" s="1" t="n">
        <v>1</v>
      </c>
      <c r="V25" s="1" t="n">
        <v>29</v>
      </c>
      <c r="W25" s="1" t="n">
        <v>20984</v>
      </c>
      <c r="X25" s="1" t="n">
        <v>46087</v>
      </c>
      <c r="AK25" s="7" t="n"/>
      <c r="AL25" s="7" t="n"/>
    </row>
    <row r="26">
      <c r="A26" s="7" t="n">
        <v>1</v>
      </c>
      <c r="B26" s="15" t="n">
        <v>0.05902777777777778</v>
      </c>
      <c r="C26" s="21" t="inlineStr">
        <is>
          <t>5v4</t>
        </is>
      </c>
      <c r="D26" s="1" t="inlineStr">
        <is>
          <t>COL</t>
        </is>
      </c>
      <c r="E26" s="1" t="n">
        <v>7</v>
      </c>
      <c r="F26" s="1" t="inlineStr">
        <is>
          <t>W</t>
        </is>
      </c>
      <c r="G26" s="1" t="n">
        <v>84</v>
      </c>
      <c r="H26" s="1" t="n">
        <v>20</v>
      </c>
      <c r="J26" s="1" t="inlineStr">
        <is>
          <t>oc</t>
        </is>
      </c>
      <c r="K26" s="1" t="inlineStr">
        <is>
          <t>ofp</t>
        </is>
      </c>
      <c r="M26" s="1" t="inlineStr">
        <is>
          <t>Y</t>
        </is>
      </c>
      <c r="N26" s="1" t="inlineStr">
        <is>
          <t>Y</t>
        </is>
      </c>
      <c r="Q26" s="1" t="inlineStr">
        <is>
          <t>oz</t>
        </is>
      </c>
      <c r="R26" s="1" t="inlineStr">
        <is>
          <t>oz faceoff</t>
        </is>
      </c>
      <c r="U26" s="1" t="n">
        <v>1</v>
      </c>
      <c r="V26" s="1" t="n">
        <v>29</v>
      </c>
      <c r="W26" s="1" t="n">
        <v>20984</v>
      </c>
      <c r="X26" s="1" t="n">
        <v>46087</v>
      </c>
      <c r="AK26" s="7" t="n"/>
      <c r="AL26" s="7" t="n"/>
    </row>
    <row r="27">
      <c r="A27" s="2" t="n">
        <v>1</v>
      </c>
      <c r="B27" s="15" t="n">
        <v>0.04861111111111111</v>
      </c>
      <c r="C27" s="21" t="inlineStr">
        <is>
          <t>5v4</t>
        </is>
      </c>
      <c r="D27" s="1" t="inlineStr">
        <is>
          <t>COL</t>
        </is>
      </c>
      <c r="E27" s="1" t="n">
        <v>54</v>
      </c>
      <c r="F27" s="1" t="inlineStr">
        <is>
          <t>t</t>
        </is>
      </c>
      <c r="G27" s="1" t="n">
        <v>7</v>
      </c>
      <c r="H27" s="1" t="n">
        <v>13</v>
      </c>
      <c r="I27" s="1" t="n">
        <v>7</v>
      </c>
      <c r="J27" s="1" t="inlineStr">
        <is>
          <t>s</t>
        </is>
      </c>
      <c r="K27" s="1" t="inlineStr">
        <is>
          <t>opr</t>
        </is>
      </c>
      <c r="L27" s="1" t="inlineStr">
        <is>
          <t>oc</t>
        </is>
      </c>
      <c r="Q27" s="1" t="inlineStr">
        <is>
          <t>oz</t>
        </is>
      </c>
      <c r="R27" s="1" t="inlineStr">
        <is>
          <t>oz faceoff</t>
        </is>
      </c>
      <c r="U27" s="1" t="n">
        <v>1</v>
      </c>
      <c r="V27" s="1" t="n">
        <v>29</v>
      </c>
      <c r="W27" s="1" t="n">
        <v>20984</v>
      </c>
      <c r="X27" s="1" t="n">
        <v>46087</v>
      </c>
      <c r="AK27" s="7" t="n"/>
      <c r="AL27" s="7" t="n"/>
    </row>
    <row r="28">
      <c r="A28" s="7" t="n">
        <v>1</v>
      </c>
      <c r="B28" s="14" t="n">
        <v>0.001388888888888889</v>
      </c>
      <c r="C28" s="21" t="inlineStr">
        <is>
          <t>5v4</t>
        </is>
      </c>
      <c r="D28" s="1" t="inlineStr">
        <is>
          <t>COL</t>
        </is>
      </c>
      <c r="E28" s="1" t="n">
        <v>29</v>
      </c>
      <c r="F28" s="1" t="inlineStr">
        <is>
          <t>o</t>
        </is>
      </c>
      <c r="G28" s="1" t="n">
        <v>88</v>
      </c>
      <c r="H28" s="1" t="n">
        <v>8</v>
      </c>
      <c r="J28" s="1" t="inlineStr">
        <is>
          <t>oc</t>
        </is>
      </c>
      <c r="K28" s="1" t="inlineStr">
        <is>
          <t>opr</t>
        </is>
      </c>
      <c r="M28" s="1" t="inlineStr">
        <is>
          <t>y</t>
        </is>
      </c>
      <c r="N28" s="1" t="inlineStr">
        <is>
          <t>y</t>
        </is>
      </c>
      <c r="T28" s="1" t="inlineStr">
        <is>
          <t>y</t>
        </is>
      </c>
      <c r="U28" s="1" t="n">
        <v>1</v>
      </c>
      <c r="V28" s="1" t="n">
        <v>29</v>
      </c>
      <c r="W28" s="1" t="n">
        <v>20984</v>
      </c>
      <c r="X28" s="1" t="n">
        <v>46087</v>
      </c>
      <c r="AK28" s="7" t="n"/>
      <c r="AL28" s="7" t="n"/>
    </row>
    <row r="29">
      <c r="A29" s="7" t="n">
        <v>2</v>
      </c>
      <c r="B29" s="14" t="n">
        <v>0.7854166666666667</v>
      </c>
      <c r="C29" s="21" t="inlineStr">
        <is>
          <t>5v5</t>
        </is>
      </c>
      <c r="D29" s="1" t="inlineStr">
        <is>
          <t>COL</t>
        </is>
      </c>
      <c r="E29" s="1" t="n">
        <v>13</v>
      </c>
      <c r="F29" s="1" t="inlineStr">
        <is>
          <t>w</t>
        </is>
      </c>
      <c r="G29" s="1" t="n">
        <v>7</v>
      </c>
      <c r="J29" s="1" t="inlineStr">
        <is>
          <t>nr</t>
        </is>
      </c>
      <c r="N29" s="1" t="inlineStr">
        <is>
          <t>y</t>
        </is>
      </c>
      <c r="P29" s="1" t="inlineStr">
        <is>
          <t>r</t>
        </is>
      </c>
      <c r="Q29" s="1" t="inlineStr">
        <is>
          <t>nz</t>
        </is>
      </c>
      <c r="R29" s="1" t="inlineStr">
        <is>
          <t>nz regroup</t>
        </is>
      </c>
      <c r="U29" s="1" t="n">
        <v>1</v>
      </c>
      <c r="V29" s="1" t="n">
        <v>29</v>
      </c>
      <c r="W29" s="1" t="n">
        <v>20984</v>
      </c>
      <c r="X29" s="1" t="n">
        <v>46087</v>
      </c>
      <c r="AK29" s="7" t="n"/>
      <c r="AL29" s="7" t="n"/>
    </row>
    <row r="30">
      <c r="A30" s="2" t="n">
        <v>2</v>
      </c>
      <c r="B30" s="15" t="n">
        <v>0.7680555555555556</v>
      </c>
      <c r="C30" s="21" t="inlineStr">
        <is>
          <t>5v5</t>
        </is>
      </c>
      <c r="D30" s="1" t="inlineStr">
        <is>
          <t>COL</t>
        </is>
      </c>
      <c r="E30" s="1" t="n">
        <v>84</v>
      </c>
      <c r="F30" s="1" t="inlineStr">
        <is>
          <t>w</t>
        </is>
      </c>
      <c r="G30" s="1" t="n">
        <v>11</v>
      </c>
      <c r="J30" s="1" t="inlineStr">
        <is>
          <t>oelpr</t>
        </is>
      </c>
      <c r="P30" s="1" t="inlineStr">
        <is>
          <t>f</t>
        </is>
      </c>
      <c r="Q30" s="1" t="inlineStr">
        <is>
          <t>oz</t>
        </is>
      </c>
      <c r="U30" s="1" t="n">
        <v>1</v>
      </c>
      <c r="V30" s="1" t="n">
        <v>29</v>
      </c>
      <c r="W30" s="1" t="n">
        <v>20984</v>
      </c>
      <c r="X30" s="1" t="n">
        <v>46087</v>
      </c>
      <c r="AK30" s="7" t="n"/>
      <c r="AL30" s="7" t="n"/>
    </row>
    <row r="31">
      <c r="A31" s="7" t="n">
        <v>2</v>
      </c>
      <c r="B31" s="14" t="n">
        <v>0.7555555555555555</v>
      </c>
      <c r="C31" s="21" t="inlineStr">
        <is>
          <t>5v5</t>
        </is>
      </c>
      <c r="D31" s="1" t="inlineStr">
        <is>
          <t>DAL</t>
        </is>
      </c>
      <c r="E31" s="1" t="n">
        <v>14</v>
      </c>
      <c r="F31" s="1" t="inlineStr">
        <is>
          <t>w</t>
        </is>
      </c>
      <c r="G31" s="1" t="n">
        <v>49</v>
      </c>
      <c r="J31" s="1" t="inlineStr">
        <is>
          <t>oelc</t>
        </is>
      </c>
      <c r="M31" s="1" t="inlineStr">
        <is>
          <t>y</t>
        </is>
      </c>
      <c r="N31" s="1" t="inlineStr">
        <is>
          <t>y</t>
        </is>
      </c>
      <c r="P31" s="1" t="inlineStr">
        <is>
          <t>f</t>
        </is>
      </c>
      <c r="Q31" s="1" t="inlineStr">
        <is>
          <t>oz</t>
        </is>
      </c>
      <c r="T31" s="1" t="inlineStr">
        <is>
          <t>y</t>
        </is>
      </c>
      <c r="U31" s="1" t="n">
        <v>1</v>
      </c>
      <c r="V31" s="1" t="n">
        <v>39</v>
      </c>
      <c r="W31" s="1" t="n">
        <v>20984</v>
      </c>
      <c r="X31" s="1" t="n">
        <v>46087</v>
      </c>
      <c r="AK31" s="7" t="n"/>
      <c r="AL31" s="7" t="n"/>
    </row>
    <row r="32">
      <c r="A32" s="2" t="n">
        <v>2</v>
      </c>
      <c r="B32" s="15" t="n">
        <v>0.7090277777777778</v>
      </c>
      <c r="C32" s="21" t="inlineStr">
        <is>
          <t>5v5</t>
        </is>
      </c>
      <c r="D32" s="1" t="inlineStr">
        <is>
          <t>DAL</t>
        </is>
      </c>
      <c r="E32" s="1" t="n">
        <v>15</v>
      </c>
      <c r="F32" s="1" t="inlineStr">
        <is>
          <t>w</t>
        </is>
      </c>
      <c r="P32" s="1" t="inlineStr">
        <is>
          <t>f</t>
        </is>
      </c>
      <c r="Q32" s="1" t="inlineStr">
        <is>
          <t>oz</t>
        </is>
      </c>
      <c r="U32" s="1" t="n">
        <v>2</v>
      </c>
      <c r="V32" s="1" t="n">
        <v>39</v>
      </c>
      <c r="W32" s="1" t="n">
        <v>20984</v>
      </c>
      <c r="X32" s="1" t="n">
        <v>46087</v>
      </c>
      <c r="AK32" s="7" t="n"/>
      <c r="AL32" s="7" t="n"/>
    </row>
    <row r="33">
      <c r="A33" s="2" t="n">
        <v>2</v>
      </c>
      <c r="B33" s="15" t="n">
        <v>0.6916666666666667</v>
      </c>
      <c r="C33" s="21" t="inlineStr">
        <is>
          <t>5v5</t>
        </is>
      </c>
      <c r="D33" s="1" t="inlineStr">
        <is>
          <t>COL</t>
        </is>
      </c>
      <c r="E33" s="1" t="n">
        <v>7</v>
      </c>
      <c r="F33" s="1" t="inlineStr">
        <is>
          <t>O</t>
        </is>
      </c>
      <c r="G33" s="1" t="n">
        <v>29</v>
      </c>
      <c r="H33" s="1" t="n">
        <v>88</v>
      </c>
      <c r="J33" s="1" t="inlineStr">
        <is>
          <t>opl</t>
        </is>
      </c>
      <c r="K33" s="1" t="inlineStr">
        <is>
          <t>nr</t>
        </is>
      </c>
      <c r="N33" s="1" t="inlineStr">
        <is>
          <t>Y</t>
        </is>
      </c>
      <c r="P33" s="1" t="inlineStr">
        <is>
          <t>r</t>
        </is>
      </c>
      <c r="Q33" s="1" t="inlineStr">
        <is>
          <t>dz</t>
        </is>
      </c>
      <c r="R33" s="1" t="inlineStr">
        <is>
          <t>controlled breakout</t>
        </is>
      </c>
      <c r="U33" s="1" t="n">
        <v>2</v>
      </c>
      <c r="V33" s="1" t="n">
        <v>29</v>
      </c>
      <c r="W33" s="1" t="n">
        <v>20984</v>
      </c>
      <c r="X33" s="1" t="n">
        <v>46087</v>
      </c>
      <c r="AK33" s="7" t="n"/>
      <c r="AL33" s="7" t="n"/>
    </row>
    <row r="34">
      <c r="A34" s="7" t="n">
        <v>2</v>
      </c>
      <c r="B34" s="15" t="n">
        <v>0.6847222222222222</v>
      </c>
      <c r="C34" s="21" t="inlineStr">
        <is>
          <t>5v5</t>
        </is>
      </c>
      <c r="D34" s="1" t="inlineStr">
        <is>
          <t>COL</t>
        </is>
      </c>
      <c r="E34" s="1" t="n">
        <v>29</v>
      </c>
      <c r="F34" s="1" t="inlineStr">
        <is>
          <t>O</t>
        </is>
      </c>
      <c r="G34" s="1" t="n">
        <v>88</v>
      </c>
      <c r="J34" s="1" t="inlineStr">
        <is>
          <t>oc</t>
        </is>
      </c>
      <c r="M34" s="1" t="inlineStr">
        <is>
          <t>Y</t>
        </is>
      </c>
      <c r="N34" s="1" t="inlineStr">
        <is>
          <t>Y</t>
        </is>
      </c>
      <c r="P34" s="1" t="inlineStr">
        <is>
          <t>f</t>
        </is>
      </c>
      <c r="Q34" s="1" t="inlineStr">
        <is>
          <t>oz</t>
        </is>
      </c>
      <c r="U34" s="1" t="n">
        <v>2</v>
      </c>
      <c r="V34" s="1" t="n">
        <v>29</v>
      </c>
      <c r="W34" s="1" t="n">
        <v>20984</v>
      </c>
      <c r="X34" s="1" t="n">
        <v>46087</v>
      </c>
      <c r="AK34" s="7" t="n"/>
      <c r="AL34" s="7" t="n"/>
    </row>
    <row r="35">
      <c r="A35" s="2" t="n">
        <v>2</v>
      </c>
      <c r="B35" s="15" t="n">
        <v>0.6513888888888889</v>
      </c>
      <c r="C35" s="21" t="inlineStr">
        <is>
          <t>5v5</t>
        </is>
      </c>
      <c r="D35" s="1" t="inlineStr">
        <is>
          <t>DAL</t>
        </is>
      </c>
      <c r="E35" s="1" t="n">
        <v>22</v>
      </c>
      <c r="F35" s="1" t="inlineStr">
        <is>
          <t>o</t>
        </is>
      </c>
      <c r="G35" s="1" t="n">
        <v>73</v>
      </c>
      <c r="H35" s="1" t="n">
        <v>22</v>
      </c>
      <c r="I35" s="1" t="n">
        <v>49</v>
      </c>
      <c r="J35" s="1" t="inlineStr">
        <is>
          <t>orrr</t>
        </is>
      </c>
      <c r="K35" s="1" t="inlineStr">
        <is>
          <t>or</t>
        </is>
      </c>
      <c r="L35" s="1" t="inlineStr">
        <is>
          <t>or</t>
        </is>
      </c>
      <c r="M35" s="1" t="inlineStr">
        <is>
          <t>y</t>
        </is>
      </c>
      <c r="N35" s="1" t="inlineStr">
        <is>
          <t>y</t>
        </is>
      </c>
      <c r="P35" s="1" t="inlineStr">
        <is>
          <t>f</t>
        </is>
      </c>
      <c r="Q35" s="1" t="inlineStr">
        <is>
          <t>oz</t>
        </is>
      </c>
      <c r="U35" s="1" t="n">
        <v>2</v>
      </c>
      <c r="V35" s="1" t="n">
        <v>39</v>
      </c>
      <c r="W35" s="1" t="n">
        <v>20984</v>
      </c>
      <c r="X35" s="1" t="n">
        <v>46087</v>
      </c>
      <c r="AK35" s="7" t="n"/>
      <c r="AL35" s="7" t="n"/>
    </row>
    <row r="36">
      <c r="A36" s="7" t="n">
        <v>2</v>
      </c>
      <c r="B36" s="15" t="n">
        <v>0.6506944444444445</v>
      </c>
      <c r="C36" s="21" t="inlineStr">
        <is>
          <t>5v5</t>
        </is>
      </c>
      <c r="D36" s="1" t="inlineStr">
        <is>
          <t>DAL</t>
        </is>
      </c>
      <c r="E36" s="1" t="n">
        <v>49</v>
      </c>
      <c r="F36" s="1" t="inlineStr">
        <is>
          <t>o</t>
        </is>
      </c>
      <c r="G36" s="1" t="n">
        <v>22</v>
      </c>
      <c r="J36" s="1" t="inlineStr">
        <is>
          <t>oell</t>
        </is>
      </c>
      <c r="M36" s="1" t="inlineStr">
        <is>
          <t>y</t>
        </is>
      </c>
      <c r="N36" s="1" t="inlineStr">
        <is>
          <t>y</t>
        </is>
      </c>
      <c r="P36" s="1" t="inlineStr">
        <is>
          <t>f</t>
        </is>
      </c>
      <c r="Q36" s="1" t="inlineStr">
        <is>
          <t>oz</t>
        </is>
      </c>
      <c r="U36" s="1" t="n">
        <v>2</v>
      </c>
      <c r="V36" s="1" t="n">
        <v>39</v>
      </c>
      <c r="W36" s="1" t="n">
        <v>20984</v>
      </c>
      <c r="X36" s="1" t="n">
        <v>46087</v>
      </c>
      <c r="AK36" s="7" t="n"/>
      <c r="AL36" s="7" t="n"/>
    </row>
    <row r="37">
      <c r="A37" s="7" t="n">
        <v>2</v>
      </c>
      <c r="B37" s="15" t="n">
        <v>0.6006944444444444</v>
      </c>
      <c r="C37" s="21" t="inlineStr">
        <is>
          <t>5v5</t>
        </is>
      </c>
      <c r="D37" s="1" t="inlineStr">
        <is>
          <t>DAL</t>
        </is>
      </c>
      <c r="E37" s="1" t="n">
        <v>18</v>
      </c>
      <c r="F37" s="1" t="inlineStr">
        <is>
          <t>o</t>
        </is>
      </c>
      <c r="G37" s="1" t="n">
        <v>6</v>
      </c>
      <c r="H37" s="1" t="n">
        <v>14</v>
      </c>
      <c r="I37" s="1" t="n">
        <v>6</v>
      </c>
      <c r="J37" s="1" t="inlineStr">
        <is>
          <t>orrl</t>
        </is>
      </c>
      <c r="K37" s="1" t="inlineStr">
        <is>
          <t>nl</t>
        </is>
      </c>
      <c r="L37" s="1" t="inlineStr">
        <is>
          <t>nc</t>
        </is>
      </c>
      <c r="M37" s="1" t="inlineStr">
        <is>
          <t>y</t>
        </is>
      </c>
      <c r="N37" s="1" t="inlineStr">
        <is>
          <t>y</t>
        </is>
      </c>
      <c r="P37" s="1" t="inlineStr">
        <is>
          <t>r</t>
        </is>
      </c>
      <c r="Q37" s="1" t="inlineStr">
        <is>
          <t>dz</t>
        </is>
      </c>
      <c r="R37" s="1" t="inlineStr">
        <is>
          <t>dz exit</t>
        </is>
      </c>
      <c r="U37" s="1" t="n">
        <v>2</v>
      </c>
      <c r="V37" s="1" t="n">
        <v>39</v>
      </c>
      <c r="W37" s="1" t="n">
        <v>20984</v>
      </c>
      <c r="X37" s="1" t="n">
        <v>46087</v>
      </c>
      <c r="AK37" s="7" t="n"/>
      <c r="AL37" s="7" t="n"/>
    </row>
    <row r="38">
      <c r="A38" s="7" t="n">
        <v>2</v>
      </c>
      <c r="B38" s="15" t="n">
        <v>0.5354166666666667</v>
      </c>
      <c r="C38" s="21" t="inlineStr">
        <is>
          <t>5v5</t>
        </is>
      </c>
      <c r="D38" s="1" t="inlineStr">
        <is>
          <t>COL</t>
        </is>
      </c>
      <c r="E38" s="1" t="n">
        <v>92</v>
      </c>
      <c r="F38" s="1" t="inlineStr">
        <is>
          <t>w</t>
        </is>
      </c>
      <c r="G38" s="1" t="n">
        <v>8</v>
      </c>
      <c r="H38" s="1" t="n">
        <v>7</v>
      </c>
      <c r="J38" s="1" t="inlineStr">
        <is>
          <t>or</t>
        </is>
      </c>
      <c r="K38" s="1" t="inlineStr">
        <is>
          <t>ol</t>
        </is>
      </c>
      <c r="M38" s="1" t="inlineStr">
        <is>
          <t>y</t>
        </is>
      </c>
      <c r="N38" s="1" t="inlineStr">
        <is>
          <t>y</t>
        </is>
      </c>
      <c r="Q38" s="1" t="inlineStr">
        <is>
          <t>oz</t>
        </is>
      </c>
      <c r="R38" s="1" t="inlineStr">
        <is>
          <t>oz faceoff</t>
        </is>
      </c>
      <c r="U38" s="1" t="n">
        <v>2</v>
      </c>
      <c r="V38" s="1" t="n">
        <v>29</v>
      </c>
      <c r="W38" s="1" t="n">
        <v>20984</v>
      </c>
      <c r="X38" s="1" t="n">
        <v>46087</v>
      </c>
      <c r="AK38" s="7" t="n"/>
      <c r="AL38" s="7" t="n"/>
    </row>
    <row r="39">
      <c r="A39" s="2" t="n">
        <v>2</v>
      </c>
      <c r="B39" s="15" t="n">
        <v>0.4958333333333333</v>
      </c>
      <c r="C39" s="21" t="inlineStr">
        <is>
          <t>5v5</t>
        </is>
      </c>
      <c r="D39" s="1" t="inlineStr">
        <is>
          <t>COL</t>
        </is>
      </c>
      <c r="E39" s="1" t="n">
        <v>88</v>
      </c>
      <c r="F39" s="1" t="inlineStr">
        <is>
          <t>w</t>
        </is>
      </c>
      <c r="G39" s="1" t="n">
        <v>29</v>
      </c>
      <c r="H39" s="1" t="n">
        <v>92</v>
      </c>
      <c r="I39" s="1" t="n">
        <v>7</v>
      </c>
      <c r="J39" s="1" t="inlineStr">
        <is>
          <t>oc</t>
        </is>
      </c>
      <c r="K39" s="1" t="inlineStr">
        <is>
          <t>oc</t>
        </is>
      </c>
      <c r="L39" s="1" t="inlineStr">
        <is>
          <t>nl</t>
        </is>
      </c>
      <c r="M39" s="1" t="inlineStr">
        <is>
          <t>y</t>
        </is>
      </c>
      <c r="N39" s="1" t="inlineStr">
        <is>
          <t>y</t>
        </is>
      </c>
      <c r="P39" s="1" t="inlineStr">
        <is>
          <t>r</t>
        </is>
      </c>
      <c r="Q39" s="1" t="inlineStr">
        <is>
          <t>nz</t>
        </is>
      </c>
      <c r="R39" s="1" t="inlineStr">
        <is>
          <t>nz regroup</t>
        </is>
      </c>
      <c r="T39" s="1" t="inlineStr">
        <is>
          <t>y</t>
        </is>
      </c>
      <c r="U39" s="1" t="n">
        <v>2</v>
      </c>
      <c r="V39" s="1" t="n">
        <v>29</v>
      </c>
      <c r="W39" s="1" t="n">
        <v>20984</v>
      </c>
      <c r="X39" s="1" t="n">
        <v>46087</v>
      </c>
      <c r="AK39" s="7" t="n"/>
      <c r="AL39" s="7" t="n"/>
    </row>
    <row r="40">
      <c r="A40" s="7" t="n">
        <v>2</v>
      </c>
      <c r="B40" s="15" t="n">
        <v>0.4298611111111111</v>
      </c>
      <c r="C40" s="21" t="inlineStr">
        <is>
          <t>5v4</t>
        </is>
      </c>
      <c r="D40" s="1" t="inlineStr">
        <is>
          <t>COL</t>
        </is>
      </c>
      <c r="E40" s="1" t="n">
        <v>20</v>
      </c>
      <c r="F40" s="1" t="inlineStr">
        <is>
          <t>w</t>
        </is>
      </c>
      <c r="G40" s="1" t="n">
        <v>29</v>
      </c>
      <c r="J40" s="1" t="inlineStr">
        <is>
          <t>orrl</t>
        </is>
      </c>
      <c r="M40" s="1" t="inlineStr">
        <is>
          <t>y</t>
        </is>
      </c>
      <c r="N40" s="1" t="inlineStr">
        <is>
          <t>y</t>
        </is>
      </c>
      <c r="U40" s="1" t="n">
        <v>1</v>
      </c>
      <c r="V40" s="1" t="n">
        <v>29</v>
      </c>
      <c r="W40" s="1" t="n">
        <v>20984</v>
      </c>
      <c r="X40" s="1" t="n">
        <v>46087</v>
      </c>
      <c r="AK40" s="7" t="n"/>
      <c r="AL40" s="7" t="n"/>
    </row>
    <row r="41">
      <c r="A41" s="7" t="n">
        <v>2</v>
      </c>
      <c r="B41" s="14" t="n">
        <v>0.3395833333333333</v>
      </c>
      <c r="C41" s="21" t="inlineStr">
        <is>
          <t>5v5</t>
        </is>
      </c>
      <c r="D41" s="1" t="inlineStr">
        <is>
          <t>COL</t>
        </is>
      </c>
      <c r="E41" s="1" t="n">
        <v>13</v>
      </c>
      <c r="F41" s="1" t="inlineStr">
        <is>
          <t>o</t>
        </is>
      </c>
      <c r="G41" s="1" t="n">
        <v>29</v>
      </c>
      <c r="J41" s="1" t="inlineStr">
        <is>
          <t>oelc</t>
        </is>
      </c>
      <c r="M41" s="1" t="inlineStr">
        <is>
          <t>y</t>
        </is>
      </c>
      <c r="N41" s="1" t="inlineStr">
        <is>
          <t>y</t>
        </is>
      </c>
      <c r="P41" s="1" t="inlineStr">
        <is>
          <t>c</t>
        </is>
      </c>
      <c r="Q41" s="1" t="inlineStr">
        <is>
          <t>oz</t>
        </is>
      </c>
      <c r="U41" s="1" t="n">
        <v>1</v>
      </c>
      <c r="V41" s="1" t="n">
        <v>29</v>
      </c>
      <c r="W41" s="1" t="n">
        <v>20984</v>
      </c>
      <c r="X41" s="1" t="n">
        <v>46087</v>
      </c>
      <c r="AK41" s="7" t="n"/>
      <c r="AL41" s="7" t="n"/>
    </row>
    <row r="42">
      <c r="A42" s="2" t="n">
        <v>2</v>
      </c>
      <c r="B42" s="15" t="n">
        <v>0.3243055555555556</v>
      </c>
      <c r="C42" s="21" t="inlineStr">
        <is>
          <t>5v5</t>
        </is>
      </c>
      <c r="D42" s="1" t="inlineStr">
        <is>
          <t>COL</t>
        </is>
      </c>
      <c r="E42" s="1" t="n">
        <v>29</v>
      </c>
      <c r="F42" s="1" t="inlineStr">
        <is>
          <t>o</t>
        </is>
      </c>
      <c r="G42" s="1" t="n">
        <v>88</v>
      </c>
      <c r="J42" s="1" t="inlineStr">
        <is>
          <t>or</t>
        </is>
      </c>
      <c r="P42" s="1" t="inlineStr">
        <is>
          <t>c</t>
        </is>
      </c>
      <c r="Q42" s="1" t="inlineStr">
        <is>
          <t>oz</t>
        </is>
      </c>
      <c r="U42" s="1" t="n">
        <v>1</v>
      </c>
      <c r="V42" s="1" t="n">
        <v>29</v>
      </c>
      <c r="W42" s="1" t="n">
        <v>20984</v>
      </c>
      <c r="X42" s="1" t="n">
        <v>46087</v>
      </c>
      <c r="AK42" s="7" t="n"/>
      <c r="AL42" s="7" t="n"/>
    </row>
    <row r="43">
      <c r="A43" s="7" t="n">
        <v>2</v>
      </c>
      <c r="B43" s="15" t="n">
        <v>0.1284722222222222</v>
      </c>
      <c r="C43" s="21" t="inlineStr">
        <is>
          <t>5v5</t>
        </is>
      </c>
      <c r="D43" s="1" t="inlineStr">
        <is>
          <t>DAL</t>
        </is>
      </c>
      <c r="E43" s="1" t="n">
        <v>14</v>
      </c>
      <c r="F43" s="1" t="inlineStr">
        <is>
          <t>w</t>
        </is>
      </c>
      <c r="N43" s="1" t="inlineStr">
        <is>
          <t>y</t>
        </is>
      </c>
      <c r="P43" s="1" t="inlineStr">
        <is>
          <t>f</t>
        </is>
      </c>
      <c r="Q43" s="1" t="inlineStr">
        <is>
          <t>oz</t>
        </is>
      </c>
      <c r="U43" s="1" t="n">
        <v>1</v>
      </c>
      <c r="V43" s="1" t="n">
        <v>39</v>
      </c>
      <c r="W43" s="1" t="n">
        <v>20984</v>
      </c>
      <c r="X43" s="1" t="n">
        <v>46087</v>
      </c>
      <c r="AK43" s="7" t="n"/>
      <c r="AL43" s="7" t="n"/>
    </row>
    <row r="44">
      <c r="A44" s="2" t="n">
        <v>2</v>
      </c>
      <c r="B44" s="15" t="n">
        <v>0.1076388888888889</v>
      </c>
      <c r="C44" s="21" t="inlineStr">
        <is>
          <t>5v5</t>
        </is>
      </c>
      <c r="D44" s="1" t="inlineStr">
        <is>
          <t>COL</t>
        </is>
      </c>
      <c r="E44" s="1" t="n">
        <v>29</v>
      </c>
      <c r="F44" s="1" t="inlineStr">
        <is>
          <t>o</t>
        </is>
      </c>
      <c r="G44" s="1" t="n">
        <v>94</v>
      </c>
      <c r="J44" s="1" t="inlineStr">
        <is>
          <t>orrl</t>
        </is>
      </c>
      <c r="M44" s="1" t="inlineStr">
        <is>
          <t>y</t>
        </is>
      </c>
      <c r="N44" s="1" t="inlineStr">
        <is>
          <t>y</t>
        </is>
      </c>
      <c r="P44" s="1" t="inlineStr">
        <is>
          <t>f</t>
        </is>
      </c>
      <c r="Q44" s="1" t="inlineStr">
        <is>
          <t>oz</t>
        </is>
      </c>
      <c r="U44" s="1" t="n">
        <v>1</v>
      </c>
      <c r="V44" s="1" t="n">
        <v>29</v>
      </c>
      <c r="W44" s="1" t="n">
        <v>20984</v>
      </c>
      <c r="X44" s="1" t="n">
        <v>46087</v>
      </c>
      <c r="AK44" s="7" t="n"/>
      <c r="AL44" s="7" t="n"/>
    </row>
    <row r="45">
      <c r="A45" s="7" t="n">
        <v>2</v>
      </c>
      <c r="B45" s="14" t="n">
        <v>0.1041666666666667</v>
      </c>
      <c r="C45" s="21" t="inlineStr">
        <is>
          <t>5v5</t>
        </is>
      </c>
      <c r="D45" s="1" t="inlineStr">
        <is>
          <t>COL</t>
        </is>
      </c>
      <c r="E45" s="1" t="n">
        <v>42</v>
      </c>
      <c r="F45" s="1" t="inlineStr">
        <is>
          <t>w</t>
        </is>
      </c>
      <c r="M45" s="1" t="inlineStr">
        <is>
          <t>y</t>
        </is>
      </c>
      <c r="N45" s="1" t="inlineStr">
        <is>
          <t>y</t>
        </is>
      </c>
      <c r="P45" s="1" t="inlineStr">
        <is>
          <t>f</t>
        </is>
      </c>
      <c r="Q45" s="1" t="inlineStr">
        <is>
          <t>oz</t>
        </is>
      </c>
      <c r="U45" s="1" t="n">
        <v>1</v>
      </c>
      <c r="V45" s="1" t="n">
        <v>29</v>
      </c>
      <c r="W45" s="1" t="n">
        <v>20984</v>
      </c>
      <c r="X45" s="1" t="n">
        <v>46087</v>
      </c>
      <c r="AK45" s="7" t="n"/>
      <c r="AL45" s="7" t="n"/>
    </row>
    <row r="46">
      <c r="A46" s="7" t="n">
        <v>2</v>
      </c>
      <c r="B46" s="15" t="n">
        <v>0.09930555555555555</v>
      </c>
      <c r="C46" s="21" t="inlineStr">
        <is>
          <t>5v5</t>
        </is>
      </c>
      <c r="D46" s="1" t="inlineStr">
        <is>
          <t>COL</t>
        </is>
      </c>
      <c r="E46" s="1" t="n">
        <v>54</v>
      </c>
      <c r="F46" s="1" t="inlineStr">
        <is>
          <t>w</t>
        </is>
      </c>
      <c r="G46" s="1" t="n">
        <v>42</v>
      </c>
      <c r="J46" s="1" t="inlineStr">
        <is>
          <t>oc</t>
        </is>
      </c>
      <c r="N46" s="1" t="inlineStr">
        <is>
          <t>y</t>
        </is>
      </c>
      <c r="P46" s="1" t="inlineStr">
        <is>
          <t>f</t>
        </is>
      </c>
      <c r="Q46" s="1" t="inlineStr">
        <is>
          <t>oz</t>
        </is>
      </c>
      <c r="U46" s="1" t="n">
        <v>1</v>
      </c>
      <c r="V46" s="1" t="n">
        <v>29</v>
      </c>
      <c r="W46" s="1" t="n">
        <v>20984</v>
      </c>
      <c r="X46" s="1" t="n">
        <v>46087</v>
      </c>
      <c r="AK46" s="7" t="n"/>
      <c r="AL46" s="7" t="n"/>
    </row>
    <row r="47">
      <c r="A47" s="2" t="n">
        <v>2</v>
      </c>
      <c r="B47" s="15" t="n">
        <v>0.09444444444444444</v>
      </c>
      <c r="C47" s="21" t="inlineStr">
        <is>
          <t>5v5</t>
        </is>
      </c>
      <c r="D47" s="1" t="inlineStr">
        <is>
          <t>COL</t>
        </is>
      </c>
      <c r="E47" s="1" t="n">
        <v>88</v>
      </c>
      <c r="F47" s="1" t="inlineStr">
        <is>
          <t>o</t>
        </is>
      </c>
      <c r="G47" s="1" t="n">
        <v>7</v>
      </c>
      <c r="H47" s="1" t="n">
        <v>8</v>
      </c>
      <c r="J47" s="1" t="inlineStr">
        <is>
          <t>oc</t>
        </is>
      </c>
      <c r="K47" s="1" t="inlineStr">
        <is>
          <t>or</t>
        </is>
      </c>
      <c r="N47" s="1" t="inlineStr">
        <is>
          <t>y</t>
        </is>
      </c>
      <c r="Q47" s="1" t="inlineStr">
        <is>
          <t>oz</t>
        </is>
      </c>
      <c r="R47" s="1" t="inlineStr">
        <is>
          <t>oz faceoff</t>
        </is>
      </c>
      <c r="U47" s="1" t="n">
        <v>1</v>
      </c>
      <c r="V47" s="1" t="n">
        <v>29</v>
      </c>
      <c r="W47" s="1" t="n">
        <v>20984</v>
      </c>
      <c r="X47" s="1" t="n">
        <v>46087</v>
      </c>
      <c r="AK47" s="7" t="n"/>
      <c r="AL47" s="7" t="n"/>
    </row>
    <row r="48">
      <c r="A48" s="7" t="n">
        <v>2</v>
      </c>
      <c r="B48" s="14" t="n">
        <v>0.075</v>
      </c>
      <c r="C48" s="21" t="inlineStr">
        <is>
          <t>5v5</t>
        </is>
      </c>
      <c r="D48" s="1" t="inlineStr">
        <is>
          <t>DAL</t>
        </is>
      </c>
      <c r="E48" s="1" t="n">
        <v>4</v>
      </c>
      <c r="F48" s="1" t="inlineStr">
        <is>
          <t>W</t>
        </is>
      </c>
      <c r="G48" s="1" t="n">
        <v>49</v>
      </c>
      <c r="J48" s="1" t="inlineStr">
        <is>
          <t>oc</t>
        </is>
      </c>
      <c r="M48" s="1" t="inlineStr">
        <is>
          <t>Y</t>
        </is>
      </c>
      <c r="N48" s="1" t="inlineStr">
        <is>
          <t>Y</t>
        </is>
      </c>
      <c r="P48" s="1" t="inlineStr">
        <is>
          <t>r</t>
        </is>
      </c>
      <c r="Q48" s="1" t="inlineStr">
        <is>
          <t>dz</t>
        </is>
      </c>
      <c r="R48" s="1" t="inlineStr">
        <is>
          <t>dz exit</t>
        </is>
      </c>
      <c r="U48" s="1" t="n">
        <v>1</v>
      </c>
      <c r="V48" s="1" t="n">
        <v>39</v>
      </c>
      <c r="W48" s="1" t="n">
        <v>20984</v>
      </c>
      <c r="X48" s="1" t="n">
        <v>46087</v>
      </c>
      <c r="AK48" s="7" t="n"/>
      <c r="AL48" s="7" t="n"/>
    </row>
    <row r="49">
      <c r="A49" s="7" t="n">
        <v>2</v>
      </c>
      <c r="B49" s="15" t="n">
        <v>0.01319444444444444</v>
      </c>
      <c r="C49" s="21" t="inlineStr">
        <is>
          <t>5v5</t>
        </is>
      </c>
      <c r="D49" s="1" t="inlineStr">
        <is>
          <t>DAL</t>
        </is>
      </c>
      <c r="E49" s="1" t="n">
        <v>95</v>
      </c>
      <c r="F49" s="1" t="inlineStr">
        <is>
          <t>w</t>
        </is>
      </c>
      <c r="G49" s="1" t="n">
        <v>55</v>
      </c>
      <c r="J49" s="1" t="inlineStr">
        <is>
          <t>nsc</t>
        </is>
      </c>
      <c r="M49" s="1" t="inlineStr">
        <is>
          <t>y</t>
        </is>
      </c>
      <c r="N49" s="1" t="inlineStr">
        <is>
          <t>y</t>
        </is>
      </c>
      <c r="P49" s="1" t="inlineStr">
        <is>
          <t>r</t>
        </is>
      </c>
      <c r="Q49" s="1" t="inlineStr">
        <is>
          <t>nz</t>
        </is>
      </c>
      <c r="R49" s="1" t="inlineStr">
        <is>
          <t>nz reload</t>
        </is>
      </c>
      <c r="U49" s="1" t="n">
        <v>1</v>
      </c>
      <c r="V49" s="1" t="n">
        <v>39</v>
      </c>
      <c r="W49" s="1" t="n">
        <v>20984</v>
      </c>
      <c r="X49" s="1" t="n">
        <v>46087</v>
      </c>
      <c r="AK49" s="7" t="n"/>
      <c r="AL49" s="7" t="n"/>
    </row>
    <row r="50">
      <c r="A50" s="7" t="n">
        <v>3</v>
      </c>
      <c r="B50" s="15" t="n">
        <v>0.7777777777777778</v>
      </c>
      <c r="C50" s="21" t="inlineStr">
        <is>
          <t>5v4</t>
        </is>
      </c>
      <c r="D50" s="1" t="inlineStr">
        <is>
          <t>DAL</t>
        </is>
      </c>
      <c r="E50" s="1" t="n">
        <v>14</v>
      </c>
      <c r="F50" s="1" t="inlineStr">
        <is>
          <t>t</t>
        </is>
      </c>
      <c r="G50" s="1" t="n">
        <v>95</v>
      </c>
      <c r="H50" s="1" t="n">
        <v>53</v>
      </c>
      <c r="J50" s="1" t="inlineStr">
        <is>
          <t>oc</t>
        </is>
      </c>
      <c r="K50" s="1" t="inlineStr">
        <is>
          <t>or</t>
        </is>
      </c>
      <c r="M50" s="1" t="inlineStr">
        <is>
          <t>y</t>
        </is>
      </c>
      <c r="Q50" s="1" t="inlineStr">
        <is>
          <t>oz</t>
        </is>
      </c>
      <c r="R50" s="1" t="inlineStr">
        <is>
          <t>oz faceoff</t>
        </is>
      </c>
      <c r="U50" s="1" t="n">
        <v>1</v>
      </c>
      <c r="V50" s="1" t="n">
        <v>39</v>
      </c>
      <c r="W50" s="1" t="n">
        <v>20984</v>
      </c>
      <c r="X50" s="1" t="n">
        <v>46087</v>
      </c>
      <c r="AK50" s="7" t="n"/>
      <c r="AL50" s="7" t="n"/>
    </row>
    <row r="51">
      <c r="A51" s="2" t="n">
        <v>3</v>
      </c>
      <c r="B51" s="15" t="n">
        <v>0.7645833333333333</v>
      </c>
      <c r="C51" s="21" t="inlineStr">
        <is>
          <t>5v4</t>
        </is>
      </c>
      <c r="D51" s="1" t="inlineStr">
        <is>
          <t>DAL</t>
        </is>
      </c>
      <c r="E51" s="1" t="n">
        <v>55</v>
      </c>
      <c r="F51" s="1" t="inlineStr">
        <is>
          <t>T</t>
        </is>
      </c>
      <c r="G51" s="1" t="n">
        <v>5</v>
      </c>
      <c r="J51" s="1" t="inlineStr">
        <is>
          <t>s</t>
        </is>
      </c>
      <c r="U51" s="1" t="n">
        <v>1</v>
      </c>
      <c r="V51" s="1" t="n">
        <v>39</v>
      </c>
      <c r="W51" s="1" t="n">
        <v>20984</v>
      </c>
      <c r="X51" s="1" t="n">
        <v>46087</v>
      </c>
      <c r="AK51" s="7" t="n"/>
      <c r="AL51" s="7" t="n"/>
    </row>
    <row r="52">
      <c r="A52" s="7" t="n">
        <v>3</v>
      </c>
      <c r="B52" s="14" t="n">
        <v>0.7597222222222222</v>
      </c>
      <c r="C52" s="21" t="inlineStr">
        <is>
          <t>5v5</t>
        </is>
      </c>
      <c r="D52" s="1" t="inlineStr">
        <is>
          <t>DAL</t>
        </is>
      </c>
      <c r="E52" s="1" t="n">
        <v>49</v>
      </c>
      <c r="F52" s="1" t="inlineStr">
        <is>
          <t>T</t>
        </is>
      </c>
      <c r="G52" s="1" t="n">
        <v>5</v>
      </c>
      <c r="H52" s="1" t="n">
        <v>55</v>
      </c>
      <c r="I52" s="1" t="n">
        <v>22</v>
      </c>
      <c r="J52" s="1" t="inlineStr">
        <is>
          <t>or</t>
        </is>
      </c>
      <c r="K52" s="1" t="inlineStr">
        <is>
          <t>ol</t>
        </is>
      </c>
      <c r="L52" s="1" t="inlineStr">
        <is>
          <t>opl</t>
        </is>
      </c>
      <c r="M52" s="1" t="inlineStr">
        <is>
          <t>Y</t>
        </is>
      </c>
      <c r="N52" s="1" t="inlineStr">
        <is>
          <t>Y</t>
        </is>
      </c>
      <c r="P52" s="1" t="inlineStr">
        <is>
          <t>c</t>
        </is>
      </c>
      <c r="Q52" s="1" t="inlineStr">
        <is>
          <t>oz</t>
        </is>
      </c>
      <c r="U52" s="1" t="n">
        <v>1</v>
      </c>
      <c r="V52" s="1" t="n">
        <v>39</v>
      </c>
      <c r="W52" s="1" t="n">
        <v>20984</v>
      </c>
      <c r="X52" s="1" t="n">
        <v>46087</v>
      </c>
      <c r="AK52" s="7" t="n"/>
      <c r="AL52" s="7" t="n"/>
    </row>
    <row r="53">
      <c r="A53" s="7" t="n">
        <v>3</v>
      </c>
      <c r="B53" s="14" t="n">
        <v>0.7201388888888889</v>
      </c>
      <c r="C53" s="21" t="inlineStr">
        <is>
          <t>5v5</t>
        </is>
      </c>
      <c r="D53" s="1" t="inlineStr">
        <is>
          <t>DAL</t>
        </is>
      </c>
      <c r="E53" s="1" t="n">
        <v>21</v>
      </c>
      <c r="F53" s="1" t="inlineStr">
        <is>
          <t>W</t>
        </is>
      </c>
      <c r="G53" s="1" t="n">
        <v>15</v>
      </c>
      <c r="J53" s="1" t="inlineStr">
        <is>
          <t>oelr</t>
        </is>
      </c>
      <c r="M53" s="1" t="inlineStr">
        <is>
          <t>y</t>
        </is>
      </c>
      <c r="N53" s="1" t="inlineStr">
        <is>
          <t>y</t>
        </is>
      </c>
      <c r="P53" s="1" t="inlineStr">
        <is>
          <t>f</t>
        </is>
      </c>
      <c r="Q53" s="1" t="inlineStr">
        <is>
          <t>oz</t>
        </is>
      </c>
      <c r="U53" s="1" t="n">
        <v>1</v>
      </c>
      <c r="V53" s="1" t="n">
        <v>39</v>
      </c>
      <c r="W53" s="1" t="n">
        <v>20984</v>
      </c>
      <c r="X53" s="1" t="n">
        <v>46087</v>
      </c>
      <c r="AK53" s="7" t="n"/>
      <c r="AL53" s="7" t="n"/>
    </row>
    <row r="54">
      <c r="A54" s="2" t="n">
        <v>3</v>
      </c>
      <c r="B54" s="15" t="n">
        <v>0.6881944444444444</v>
      </c>
      <c r="C54" s="21" t="inlineStr">
        <is>
          <t>5v5</t>
        </is>
      </c>
      <c r="D54" s="1" t="inlineStr">
        <is>
          <t>COL</t>
        </is>
      </c>
      <c r="E54" s="1" t="n">
        <v>84</v>
      </c>
      <c r="F54" s="1" t="inlineStr">
        <is>
          <t>S</t>
        </is>
      </c>
      <c r="N54" s="1" t="inlineStr">
        <is>
          <t>Y</t>
        </is>
      </c>
      <c r="P54" s="1" t="inlineStr">
        <is>
          <t>f</t>
        </is>
      </c>
      <c r="Q54" s="1" t="inlineStr">
        <is>
          <t>oz</t>
        </is>
      </c>
      <c r="U54" s="1" t="n">
        <v>1</v>
      </c>
      <c r="V54" s="1" t="n">
        <v>29</v>
      </c>
      <c r="W54" s="1" t="n">
        <v>20984</v>
      </c>
      <c r="X54" s="1" t="n">
        <v>46087</v>
      </c>
      <c r="AK54" s="7" t="n"/>
      <c r="AL54" s="7" t="n"/>
    </row>
    <row r="55">
      <c r="A55" s="7" t="n">
        <v>3</v>
      </c>
      <c r="B55" s="15" t="n">
        <v>0.6736111111111112</v>
      </c>
      <c r="C55" s="21" t="inlineStr">
        <is>
          <t>5v5</t>
        </is>
      </c>
      <c r="D55" s="1" t="inlineStr">
        <is>
          <t>DAL</t>
        </is>
      </c>
      <c r="E55" s="1" t="n">
        <v>55</v>
      </c>
      <c r="F55" s="1" t="inlineStr">
        <is>
          <t>w</t>
        </is>
      </c>
      <c r="N55" s="1" t="inlineStr">
        <is>
          <t>y</t>
        </is>
      </c>
      <c r="P55" s="1" t="inlineStr">
        <is>
          <t>f</t>
        </is>
      </c>
      <c r="Q55" s="1" t="inlineStr">
        <is>
          <t>oz</t>
        </is>
      </c>
      <c r="U55" s="1" t="n">
        <v>1</v>
      </c>
      <c r="V55" s="1" t="n">
        <v>39</v>
      </c>
      <c r="W55" s="1" t="n">
        <v>20984</v>
      </c>
      <c r="X55" s="1" t="n">
        <v>46087</v>
      </c>
      <c r="AK55" s="7" t="n"/>
      <c r="AL55" s="7" t="n"/>
    </row>
    <row r="56">
      <c r="A56" s="7" t="n">
        <v>3</v>
      </c>
      <c r="B56" s="15" t="n">
        <v>0.5715277777777777</v>
      </c>
      <c r="C56" s="21" t="inlineStr">
        <is>
          <t>5v4</t>
        </is>
      </c>
      <c r="D56" s="1" t="inlineStr">
        <is>
          <t>DAL</t>
        </is>
      </c>
      <c r="E56" s="1" t="n">
        <v>21</v>
      </c>
      <c r="F56" s="1" t="inlineStr">
        <is>
          <t>b</t>
        </is>
      </c>
      <c r="G56" s="1" t="n">
        <v>53</v>
      </c>
      <c r="J56" s="1" t="inlineStr">
        <is>
          <t>nl</t>
        </is>
      </c>
      <c r="P56" s="1" t="inlineStr">
        <is>
          <t>r</t>
        </is>
      </c>
      <c r="Q56" s="1" t="inlineStr">
        <is>
          <t>nz</t>
        </is>
      </c>
      <c r="U56" s="1" t="n">
        <v>1</v>
      </c>
      <c r="V56" s="1" t="n">
        <v>39</v>
      </c>
      <c r="W56" s="1" t="n">
        <v>20984</v>
      </c>
      <c r="X56" s="1" t="n">
        <v>46087</v>
      </c>
      <c r="AK56" s="7" t="n"/>
      <c r="AL56" s="7" t="n"/>
    </row>
    <row r="57">
      <c r="A57" s="7" t="n">
        <v>3</v>
      </c>
      <c r="B57" s="14" t="n">
        <v>0.5326388888888889</v>
      </c>
      <c r="C57" s="21" t="inlineStr">
        <is>
          <t>5v4</t>
        </is>
      </c>
      <c r="D57" s="1" t="inlineStr">
        <is>
          <t>DAL</t>
        </is>
      </c>
      <c r="E57" s="1" t="n">
        <v>95</v>
      </c>
      <c r="F57" s="1" t="inlineStr">
        <is>
          <t>w</t>
        </is>
      </c>
      <c r="G57" s="1" t="n">
        <v>53</v>
      </c>
      <c r="H57" s="1" t="n">
        <v>95</v>
      </c>
      <c r="J57" s="1" t="inlineStr">
        <is>
          <t>nr</t>
        </is>
      </c>
      <c r="K57" s="1" t="inlineStr">
        <is>
          <t>nr</t>
        </is>
      </c>
      <c r="M57" s="1" t="inlineStr">
        <is>
          <t>y</t>
        </is>
      </c>
      <c r="N57" s="1" t="inlineStr">
        <is>
          <t>y</t>
        </is>
      </c>
      <c r="P57" s="1" t="inlineStr">
        <is>
          <t>r</t>
        </is>
      </c>
      <c r="Q57" s="1" t="inlineStr">
        <is>
          <t>nz</t>
        </is>
      </c>
      <c r="U57" s="1" t="n">
        <v>1</v>
      </c>
      <c r="V57" s="1" t="n">
        <v>39</v>
      </c>
      <c r="W57" s="1" t="n">
        <v>20984</v>
      </c>
      <c r="X57" s="1" t="n">
        <v>46087</v>
      </c>
      <c r="AK57" s="7" t="n"/>
      <c r="AL57" s="7" t="n"/>
    </row>
    <row r="58">
      <c r="A58" s="7" t="n">
        <v>3</v>
      </c>
      <c r="B58" s="14" t="n">
        <v>0.5270833333333333</v>
      </c>
      <c r="C58" s="21" t="inlineStr">
        <is>
          <t>5v4</t>
        </is>
      </c>
      <c r="D58" s="1" t="inlineStr">
        <is>
          <t>DAL</t>
        </is>
      </c>
      <c r="E58" s="1" t="n">
        <v>21</v>
      </c>
      <c r="F58" s="1" t="inlineStr">
        <is>
          <t>w</t>
        </is>
      </c>
      <c r="U58" s="1" t="n">
        <v>1</v>
      </c>
      <c r="V58" s="1" t="n">
        <v>39</v>
      </c>
      <c r="W58" s="1" t="n">
        <v>20984</v>
      </c>
      <c r="X58" s="1" t="n">
        <v>46087</v>
      </c>
      <c r="AK58" s="7" t="n"/>
      <c r="AL58" s="7" t="n"/>
    </row>
    <row r="59">
      <c r="A59" s="2" t="n">
        <v>3</v>
      </c>
      <c r="B59" s="15" t="n">
        <v>0.25625</v>
      </c>
      <c r="C59" s="21" t="inlineStr">
        <is>
          <t>5v5</t>
        </is>
      </c>
      <c r="D59" s="1" t="inlineStr">
        <is>
          <t>COL</t>
        </is>
      </c>
      <c r="E59" s="1" t="n">
        <v>7</v>
      </c>
      <c r="F59" s="1" t="inlineStr">
        <is>
          <t>O</t>
        </is>
      </c>
      <c r="G59" s="1" t="n">
        <v>92</v>
      </c>
      <c r="H59" s="1" t="n">
        <v>29</v>
      </c>
      <c r="J59" s="1" t="inlineStr">
        <is>
          <t>orrc</t>
        </is>
      </c>
      <c r="K59" s="1" t="inlineStr">
        <is>
          <t>ol</t>
        </is>
      </c>
      <c r="M59" s="1" t="inlineStr">
        <is>
          <t>y</t>
        </is>
      </c>
      <c r="N59" s="1" t="inlineStr">
        <is>
          <t>y</t>
        </is>
      </c>
      <c r="P59" s="1" t="inlineStr">
        <is>
          <t>f</t>
        </is>
      </c>
      <c r="Q59" s="1" t="inlineStr">
        <is>
          <t>oz</t>
        </is>
      </c>
      <c r="U59" s="1" t="n">
        <v>1</v>
      </c>
      <c r="V59" s="1" t="n">
        <v>29</v>
      </c>
      <c r="W59" s="1" t="n">
        <v>20984</v>
      </c>
      <c r="X59" s="1" t="n">
        <v>46087</v>
      </c>
      <c r="AK59" s="7" t="n"/>
      <c r="AL59" s="7" t="n"/>
    </row>
    <row r="60">
      <c r="A60" s="2" t="n">
        <v>3</v>
      </c>
      <c r="B60" s="15" t="n">
        <v>0.2243055555555556</v>
      </c>
      <c r="C60" s="21" t="inlineStr">
        <is>
          <t>5v5</t>
        </is>
      </c>
      <c r="D60" s="1" t="inlineStr">
        <is>
          <t>COL</t>
        </is>
      </c>
      <c r="E60" s="1" t="n">
        <v>11</v>
      </c>
      <c r="F60" s="1" t="inlineStr">
        <is>
          <t>T</t>
        </is>
      </c>
      <c r="G60" s="1" t="n">
        <v>70</v>
      </c>
      <c r="H60" s="1" t="n">
        <v>20</v>
      </c>
      <c r="J60" s="1" t="inlineStr">
        <is>
          <t>s</t>
        </is>
      </c>
      <c r="K60" s="1" t="inlineStr">
        <is>
          <t>opr</t>
        </is>
      </c>
      <c r="U60" s="1" t="n">
        <v>1</v>
      </c>
      <c r="V60" s="1" t="n">
        <v>29</v>
      </c>
      <c r="W60" s="1" t="n">
        <v>20984</v>
      </c>
      <c r="X60" s="1" t="n">
        <v>46087</v>
      </c>
      <c r="AK60" s="7" t="n"/>
      <c r="AL60" s="7" t="n"/>
    </row>
    <row r="61">
      <c r="A61" s="2" t="n">
        <v>3</v>
      </c>
      <c r="B61" s="15" t="n">
        <v>0.1680555555555556</v>
      </c>
      <c r="C61" s="21" t="inlineStr">
        <is>
          <t>5v4</t>
        </is>
      </c>
      <c r="D61" s="1" t="inlineStr">
        <is>
          <t>COL</t>
        </is>
      </c>
      <c r="E61" s="1" t="n">
        <v>8</v>
      </c>
      <c r="F61" s="1" t="inlineStr">
        <is>
          <t>O</t>
        </is>
      </c>
      <c r="G61" s="1" t="n">
        <v>29</v>
      </c>
      <c r="H61" s="1" t="n">
        <v>11</v>
      </c>
      <c r="J61" s="1" t="inlineStr">
        <is>
          <t>or</t>
        </is>
      </c>
      <c r="K61" s="1" t="inlineStr">
        <is>
          <t>or</t>
        </is>
      </c>
      <c r="N61" s="1" t="inlineStr">
        <is>
          <t>Y</t>
        </is>
      </c>
      <c r="O61" s="1" t="inlineStr">
        <is>
          <t>Y</t>
        </is>
      </c>
      <c r="U61" s="1" t="n">
        <v>1</v>
      </c>
      <c r="V61" s="1" t="n">
        <v>29</v>
      </c>
      <c r="W61" s="1" t="n">
        <v>20984</v>
      </c>
      <c r="X61" s="1" t="n">
        <v>46087</v>
      </c>
      <c r="AK61" s="7" t="n"/>
      <c r="AL61" s="7" t="n"/>
    </row>
    <row r="62">
      <c r="A62" s="2" t="n">
        <v>3</v>
      </c>
      <c r="B62" s="15" t="n">
        <v>0.1652777777777778</v>
      </c>
      <c r="C62" s="21" t="inlineStr">
        <is>
          <t>5v4</t>
        </is>
      </c>
      <c r="D62" s="1" t="inlineStr">
        <is>
          <t>COL</t>
        </is>
      </c>
      <c r="E62" s="1" t="n">
        <v>11</v>
      </c>
      <c r="F62" s="1" t="inlineStr">
        <is>
          <t>O</t>
        </is>
      </c>
      <c r="G62" s="1" t="n">
        <v>88</v>
      </c>
      <c r="J62" s="1" t="inlineStr">
        <is>
          <t>ol</t>
        </is>
      </c>
      <c r="M62" s="1" t="inlineStr">
        <is>
          <t>y</t>
        </is>
      </c>
      <c r="N62" s="1" t="inlineStr">
        <is>
          <t>y</t>
        </is>
      </c>
      <c r="U62" s="1" t="n">
        <v>1</v>
      </c>
      <c r="V62" s="1" t="n">
        <v>29</v>
      </c>
      <c r="W62" s="1" t="n">
        <v>20984</v>
      </c>
      <c r="X62" s="1" t="n">
        <v>46087</v>
      </c>
      <c r="AK62" s="7" t="n"/>
      <c r="AL62" s="7" t="n"/>
    </row>
    <row r="63">
      <c r="A63" s="2" t="n">
        <v>3</v>
      </c>
      <c r="B63" s="15" t="n">
        <v>0.1395833333333333</v>
      </c>
      <c r="C63" s="21" t="inlineStr">
        <is>
          <t>5v4</t>
        </is>
      </c>
      <c r="D63" s="1" t="inlineStr">
        <is>
          <t>COL</t>
        </is>
      </c>
      <c r="E63" s="1" t="n">
        <v>13</v>
      </c>
      <c r="F63" s="1" t="inlineStr">
        <is>
          <t>w</t>
        </is>
      </c>
      <c r="G63" s="1" t="n">
        <v>7</v>
      </c>
      <c r="J63" s="1" t="inlineStr">
        <is>
          <t>dc</t>
        </is>
      </c>
      <c r="M63" s="1" t="inlineStr">
        <is>
          <t>y</t>
        </is>
      </c>
      <c r="N63" s="1" t="inlineStr">
        <is>
          <t>y</t>
        </is>
      </c>
      <c r="P63" s="1" t="inlineStr">
        <is>
          <t>r</t>
        </is>
      </c>
      <c r="Q63" s="1" t="inlineStr">
        <is>
          <t>nz</t>
        </is>
      </c>
      <c r="R63" s="1" t="inlineStr">
        <is>
          <t>nz regroup</t>
        </is>
      </c>
      <c r="U63" s="1" t="n">
        <v>1</v>
      </c>
      <c r="V63" s="1" t="n">
        <v>29</v>
      </c>
      <c r="W63" s="1" t="n">
        <v>20984</v>
      </c>
      <c r="X63" s="1" t="n">
        <v>46087</v>
      </c>
      <c r="AK63" s="7" t="n"/>
      <c r="AL63" s="7" t="n"/>
    </row>
    <row r="64">
      <c r="A64" s="2" t="n">
        <v>3</v>
      </c>
      <c r="B64" s="15" t="n">
        <v>0.1347222222222222</v>
      </c>
      <c r="C64" s="21" t="inlineStr">
        <is>
          <t>5v5</t>
        </is>
      </c>
      <c r="D64" s="1" t="inlineStr">
        <is>
          <t>COL</t>
        </is>
      </c>
      <c r="E64" s="1" t="n">
        <v>7</v>
      </c>
      <c r="F64" s="1" t="inlineStr">
        <is>
          <t>w</t>
        </is>
      </c>
      <c r="G64" s="1" t="n">
        <v>13</v>
      </c>
      <c r="J64" s="1" t="inlineStr">
        <is>
          <t>opl</t>
        </is>
      </c>
      <c r="N64" s="1" t="inlineStr">
        <is>
          <t>y</t>
        </is>
      </c>
      <c r="O64" s="1" t="inlineStr">
        <is>
          <t>y</t>
        </is>
      </c>
      <c r="P64" s="1" t="inlineStr">
        <is>
          <t>f</t>
        </is>
      </c>
      <c r="Q64" s="1" t="inlineStr">
        <is>
          <t>oz</t>
        </is>
      </c>
      <c r="U64" s="1" t="n">
        <v>1</v>
      </c>
      <c r="V64" s="1" t="n">
        <v>29</v>
      </c>
      <c r="W64" s="1" t="n">
        <v>20984</v>
      </c>
      <c r="X64" s="1" t="n">
        <v>46087</v>
      </c>
      <c r="AK64" s="7" t="n"/>
      <c r="AL64" s="7" t="n"/>
    </row>
    <row r="65">
      <c r="A65" s="2" t="n">
        <v>3</v>
      </c>
      <c r="B65" s="15" t="n">
        <v>0.1194444444444445</v>
      </c>
      <c r="C65" s="21" t="inlineStr">
        <is>
          <t>5v5</t>
        </is>
      </c>
      <c r="D65" s="1" t="inlineStr">
        <is>
          <t>COL</t>
        </is>
      </c>
      <c r="E65" s="1" t="n">
        <v>94</v>
      </c>
      <c r="F65" s="1" t="inlineStr">
        <is>
          <t>w</t>
        </is>
      </c>
      <c r="G65" s="1" t="n">
        <v>18</v>
      </c>
      <c r="J65" s="1" t="inlineStr">
        <is>
          <t>or</t>
        </is>
      </c>
      <c r="N65" s="1" t="inlineStr">
        <is>
          <t>y</t>
        </is>
      </c>
      <c r="O65" s="1" t="inlineStr">
        <is>
          <t>y</t>
        </is>
      </c>
      <c r="P65" s="1" t="inlineStr">
        <is>
          <t>f</t>
        </is>
      </c>
      <c r="Q65" s="1" t="inlineStr">
        <is>
          <t>oz</t>
        </is>
      </c>
      <c r="U65" s="1" t="n">
        <v>1</v>
      </c>
      <c r="V65" s="1" t="n">
        <v>29</v>
      </c>
      <c r="W65" s="1" t="n">
        <v>20984</v>
      </c>
      <c r="X65" s="1" t="n">
        <v>46087</v>
      </c>
      <c r="AK65" s="7" t="n"/>
      <c r="AL65" s="7" t="n"/>
    </row>
    <row r="66">
      <c r="A66" s="2" t="n">
        <v>1</v>
      </c>
      <c r="B66" s="15" t="n">
        <v>0.8006944444444445</v>
      </c>
      <c r="C66" s="21" t="inlineStr">
        <is>
          <t>5v5</t>
        </is>
      </c>
      <c r="Y66" s="16" t="inlineStr">
        <is>
          <t>D</t>
        </is>
      </c>
      <c r="Z66" s="16" t="inlineStr">
        <is>
          <t>13COL</t>
        </is>
      </c>
      <c r="AA66" s="16" t="inlineStr">
        <is>
          <t>5DAL</t>
        </is>
      </c>
      <c r="AC66" s="16" t="inlineStr">
        <is>
          <t>L</t>
        </is>
      </c>
      <c r="AD66" s="16" t="inlineStr">
        <is>
          <t>N</t>
        </is>
      </c>
      <c r="AE66" s="16" t="inlineStr">
        <is>
          <t>N</t>
        </is>
      </c>
      <c r="AF66" s="5" t="inlineStr">
        <is>
          <t>55DAL</t>
        </is>
      </c>
      <c r="AG66" s="5" t="inlineStr">
        <is>
          <t>MEX</t>
        </is>
      </c>
      <c r="AK66" s="7" t="n"/>
      <c r="AL66" s="7" t="n"/>
    </row>
    <row r="67">
      <c r="A67" s="2" t="n">
        <v>1</v>
      </c>
      <c r="B67" s="15" t="n">
        <v>0.7902777777777777</v>
      </c>
      <c r="C67" s="23" t="inlineStr">
        <is>
          <t>5v5</t>
        </is>
      </c>
      <c r="AF67" s="5" t="inlineStr">
        <is>
          <t>5DAL</t>
        </is>
      </c>
      <c r="AG67" s="5" t="inlineStr">
        <is>
          <t>EXC</t>
        </is>
      </c>
      <c r="AH67" s="5" t="inlineStr">
        <is>
          <t>N</t>
        </is>
      </c>
      <c r="AI67" s="5" t="inlineStr">
        <is>
          <t>14DAL</t>
        </is>
      </c>
      <c r="AJ67" s="5" t="inlineStr">
        <is>
          <t>CEX</t>
        </is>
      </c>
      <c r="AK67" s="7" t="n"/>
      <c r="AL67" s="7" t="n"/>
    </row>
    <row r="68">
      <c r="A68" s="2" t="n">
        <v>1</v>
      </c>
      <c r="B68" s="15" t="n">
        <v>0.7847222222222222</v>
      </c>
      <c r="C68" s="21" t="inlineStr">
        <is>
          <t>5v5</t>
        </is>
      </c>
      <c r="Y68" s="16" t="inlineStr">
        <is>
          <t>F</t>
        </is>
      </c>
      <c r="Z68" s="16" t="inlineStr">
        <is>
          <t>14DAL</t>
        </is>
      </c>
      <c r="AA68" s="16" t="inlineStr">
        <is>
          <t>N</t>
        </is>
      </c>
      <c r="AB68" s="16" t="inlineStr">
        <is>
          <t>N</t>
        </is>
      </c>
      <c r="AC68" s="16" t="inlineStr">
        <is>
          <t>R</t>
        </is>
      </c>
      <c r="AD68" s="16" t="inlineStr">
        <is>
          <t>N</t>
        </is>
      </c>
      <c r="AE68" s="16" t="inlineStr">
        <is>
          <t>N</t>
        </is>
      </c>
      <c r="AK68" s="7" t="n"/>
      <c r="AL68" s="7" t="n"/>
    </row>
    <row r="69">
      <c r="A69" s="2" t="n">
        <v>1</v>
      </c>
      <c r="B69" s="15" t="n">
        <v>0.7777777777777778</v>
      </c>
      <c r="C69" s="21" t="inlineStr">
        <is>
          <t>5v5</t>
        </is>
      </c>
      <c r="Y69" s="16" t="inlineStr">
        <is>
          <t>C</t>
        </is>
      </c>
      <c r="Z69" s="16" t="inlineStr">
        <is>
          <t>27COL</t>
        </is>
      </c>
      <c r="AA69" s="16" t="inlineStr">
        <is>
          <t>4DAL</t>
        </is>
      </c>
      <c r="AB69" s="16" t="inlineStr">
        <is>
          <t>N</t>
        </is>
      </c>
      <c r="AC69" s="16" t="inlineStr">
        <is>
          <t>L</t>
        </is>
      </c>
      <c r="AD69" s="16" t="inlineStr">
        <is>
          <t>N</t>
        </is>
      </c>
      <c r="AE69" s="16" t="inlineStr">
        <is>
          <t>y</t>
        </is>
      </c>
      <c r="AF69" s="5" t="inlineStr">
        <is>
          <t>46DAL</t>
        </is>
      </c>
      <c r="AG69" s="5" t="inlineStr">
        <is>
          <t>EXC</t>
        </is>
      </c>
      <c r="AH69" s="5" t="inlineStr">
        <is>
          <t>N</t>
        </is>
      </c>
      <c r="AI69" s="5" t="inlineStr">
        <is>
          <t>14DAL</t>
        </is>
      </c>
      <c r="AJ69" s="5" t="inlineStr">
        <is>
          <t>PEX</t>
        </is>
      </c>
      <c r="AK69" s="7" t="n"/>
      <c r="AL69" s="7" t="n"/>
    </row>
    <row r="70">
      <c r="A70" s="2" t="n">
        <v>1</v>
      </c>
      <c r="B70" s="15" t="n">
        <v>0.7708333333333334</v>
      </c>
      <c r="C70" s="21" t="inlineStr">
        <is>
          <t>5v5</t>
        </is>
      </c>
      <c r="Y70" s="16" t="inlineStr">
        <is>
          <t>C</t>
        </is>
      </c>
      <c r="Z70" s="16" t="inlineStr">
        <is>
          <t>18DAL</t>
        </is>
      </c>
      <c r="AA70" s="16" t="inlineStr">
        <is>
          <t>70COL</t>
        </is>
      </c>
      <c r="AB70" s="16" t="inlineStr">
        <is>
          <t>N</t>
        </is>
      </c>
      <c r="AC70" s="16" t="inlineStr">
        <is>
          <t>R</t>
        </is>
      </c>
      <c r="AD70" s="16" t="inlineStr">
        <is>
          <t>N</t>
        </is>
      </c>
      <c r="AE70" s="16" t="inlineStr">
        <is>
          <t>N</t>
        </is>
      </c>
      <c r="AK70" s="7" t="n"/>
      <c r="AL70" s="7" t="n"/>
    </row>
    <row r="71">
      <c r="A71" s="2" t="n">
        <v>1</v>
      </c>
      <c r="B71" s="15" t="n">
        <v>0.7659722222222223</v>
      </c>
      <c r="C71" s="21" t="inlineStr">
        <is>
          <t>5v5</t>
        </is>
      </c>
      <c r="Y71" s="16" t="inlineStr">
        <is>
          <t>D</t>
        </is>
      </c>
      <c r="Z71" s="16" t="inlineStr">
        <is>
          <t>10COL</t>
        </is>
      </c>
      <c r="AA71" s="16" t="inlineStr">
        <is>
          <t>N</t>
        </is>
      </c>
      <c r="AC71" s="16" t="inlineStr">
        <is>
          <t>R</t>
        </is>
      </c>
      <c r="AD71" s="16" t="inlineStr">
        <is>
          <t>N</t>
        </is>
      </c>
      <c r="AE71" s="16" t="inlineStr">
        <is>
          <t>N</t>
        </is>
      </c>
      <c r="AF71" s="5" t="inlineStr">
        <is>
          <t>27COL</t>
        </is>
      </c>
      <c r="AG71" s="5" t="inlineStr">
        <is>
          <t>EXC</t>
        </is>
      </c>
      <c r="AH71" s="5" t="inlineStr">
        <is>
          <t>N</t>
        </is>
      </c>
      <c r="AI71" s="5" t="inlineStr">
        <is>
          <t>10COL</t>
        </is>
      </c>
      <c r="AJ71" s="5" t="inlineStr">
        <is>
          <t>CEX</t>
        </is>
      </c>
      <c r="AK71" s="7" t="n"/>
      <c r="AL71" s="7" t="n"/>
    </row>
    <row r="72">
      <c r="A72" s="2" t="n">
        <v>1</v>
      </c>
      <c r="B72" s="15" t="n">
        <v>0.7395833333333334</v>
      </c>
      <c r="C72" s="21" t="inlineStr">
        <is>
          <t>5v5</t>
        </is>
      </c>
      <c r="Y72" s="16" t="inlineStr">
        <is>
          <t>X</t>
        </is>
      </c>
      <c r="Z72" s="16" t="inlineStr">
        <is>
          <t>COL</t>
        </is>
      </c>
      <c r="AK72" s="7" t="n"/>
      <c r="AL72" s="7" t="n"/>
    </row>
    <row r="73">
      <c r="A73" s="2" t="n">
        <v>1</v>
      </c>
      <c r="B73" s="15" t="n">
        <v>0.7131944444444445</v>
      </c>
      <c r="C73" s="21" t="inlineStr">
        <is>
          <t>5v4</t>
        </is>
      </c>
      <c r="Y73" s="16" t="inlineStr">
        <is>
          <t>C</t>
        </is>
      </c>
      <c r="Z73" s="16" t="inlineStr">
        <is>
          <t>29COL</t>
        </is>
      </c>
      <c r="AA73" s="16" t="inlineStr">
        <is>
          <t>4DAL</t>
        </is>
      </c>
      <c r="AB73" s="16" t="inlineStr">
        <is>
          <t>N</t>
        </is>
      </c>
      <c r="AC73" s="16" t="inlineStr">
        <is>
          <t>L</t>
        </is>
      </c>
      <c r="AD73" s="16" t="inlineStr">
        <is>
          <t>N</t>
        </is>
      </c>
      <c r="AE73" s="16" t="inlineStr">
        <is>
          <t>N</t>
        </is>
      </c>
      <c r="AK73" s="7" t="n"/>
      <c r="AL73" s="7" t="n"/>
    </row>
    <row r="74">
      <c r="A74" s="2" t="n">
        <v>1</v>
      </c>
      <c r="B74" s="15" t="n">
        <v>0.7041666666666667</v>
      </c>
      <c r="C74" s="21" t="inlineStr">
        <is>
          <t>4v5</t>
        </is>
      </c>
      <c r="Y74" s="16" t="inlineStr">
        <is>
          <t>C</t>
        </is>
      </c>
      <c r="Z74" s="16" t="inlineStr">
        <is>
          <t>53DAL</t>
        </is>
      </c>
      <c r="AA74" s="16" t="inlineStr">
        <is>
          <t>N</t>
        </is>
      </c>
      <c r="AB74" s="16" t="inlineStr">
        <is>
          <t>N</t>
        </is>
      </c>
      <c r="AC74" s="16" t="inlineStr">
        <is>
          <t>R</t>
        </is>
      </c>
      <c r="AD74" s="16" t="inlineStr">
        <is>
          <t>N</t>
        </is>
      </c>
      <c r="AE74" s="16" t="inlineStr">
        <is>
          <t>N</t>
        </is>
      </c>
      <c r="AK74" s="7" t="n"/>
      <c r="AL74" s="7" t="n"/>
    </row>
    <row r="75">
      <c r="A75" s="2" t="n">
        <v>1</v>
      </c>
      <c r="B75" s="15" t="n">
        <v>0.6979166666666666</v>
      </c>
      <c r="C75" s="21" t="inlineStr">
        <is>
          <t>5v4</t>
        </is>
      </c>
      <c r="Y75" s="16" t="inlineStr">
        <is>
          <t>D</t>
        </is>
      </c>
      <c r="Z75" s="16" t="inlineStr">
        <is>
          <t>11COL</t>
        </is>
      </c>
      <c r="AA75" s="16" t="inlineStr">
        <is>
          <t>4DAL</t>
        </is>
      </c>
      <c r="AB75" s="16" t="inlineStr">
        <is>
          <t>Y</t>
        </is>
      </c>
      <c r="AC75" s="16" t="inlineStr">
        <is>
          <t>L</t>
        </is>
      </c>
      <c r="AD75" s="16" t="inlineStr">
        <is>
          <t>N</t>
        </is>
      </c>
      <c r="AE75" s="16" t="inlineStr">
        <is>
          <t>Y</t>
        </is>
      </c>
      <c r="AK75" s="7" t="n"/>
      <c r="AL75" s="7" t="n"/>
    </row>
    <row r="76">
      <c r="A76" s="2" t="n">
        <v>1</v>
      </c>
      <c r="B76" s="15" t="n">
        <v>0.6736111111111112</v>
      </c>
      <c r="C76" s="21" t="inlineStr">
        <is>
          <t>5v5</t>
        </is>
      </c>
      <c r="AF76" s="5" t="inlineStr">
        <is>
          <t>55DAL</t>
        </is>
      </c>
      <c r="AG76" s="5" t="inlineStr">
        <is>
          <t>EXC</t>
        </is>
      </c>
      <c r="AH76" s="5" t="inlineStr">
        <is>
          <t>94COL</t>
        </is>
      </c>
      <c r="AI76" s="5" t="inlineStr">
        <is>
          <t>14DAL</t>
        </is>
      </c>
      <c r="AJ76" s="5" t="inlineStr">
        <is>
          <t>CLE</t>
        </is>
      </c>
      <c r="AK76" s="7" t="n"/>
      <c r="AL76" s="7" t="n"/>
    </row>
    <row r="77">
      <c r="A77" s="2" t="n">
        <v>1</v>
      </c>
      <c r="B77" s="15" t="n">
        <v>0.6645833333333333</v>
      </c>
      <c r="C77" s="21" t="inlineStr">
        <is>
          <t>5v5</t>
        </is>
      </c>
      <c r="Y77" s="16" t="inlineStr">
        <is>
          <t>D</t>
        </is>
      </c>
      <c r="Z77" s="16" t="inlineStr">
        <is>
          <t>42COL</t>
        </is>
      </c>
      <c r="AA77" s="16" t="inlineStr">
        <is>
          <t>N</t>
        </is>
      </c>
      <c r="AC77" s="16" t="inlineStr">
        <is>
          <t>R</t>
        </is>
      </c>
      <c r="AD77" s="16" t="inlineStr">
        <is>
          <t>N</t>
        </is>
      </c>
      <c r="AE77" s="16" t="inlineStr">
        <is>
          <t>N</t>
        </is>
      </c>
      <c r="AF77" s="5" t="inlineStr">
        <is>
          <t>14DAL</t>
        </is>
      </c>
      <c r="AG77" s="5" t="inlineStr">
        <is>
          <t>EXC</t>
        </is>
      </c>
      <c r="AH77" s="5" t="inlineStr">
        <is>
          <t>N</t>
        </is>
      </c>
      <c r="AI77" s="5" t="inlineStr">
        <is>
          <t>95DAL</t>
        </is>
      </c>
      <c r="AJ77" s="5" t="inlineStr">
        <is>
          <t>CLE</t>
        </is>
      </c>
      <c r="AK77" s="7" t="n"/>
      <c r="AL77" s="7" t="n"/>
    </row>
    <row r="78">
      <c r="A78" s="2" t="n">
        <v>1</v>
      </c>
      <c r="B78" s="15" t="n">
        <v>0.65625</v>
      </c>
      <c r="C78" s="21" t="inlineStr">
        <is>
          <t>5v5</t>
        </is>
      </c>
      <c r="Y78" s="16" t="inlineStr">
        <is>
          <t>D</t>
        </is>
      </c>
      <c r="Z78" s="16" t="inlineStr">
        <is>
          <t>42COL</t>
        </is>
      </c>
      <c r="AA78" s="16" t="inlineStr">
        <is>
          <t>N</t>
        </is>
      </c>
      <c r="AC78" s="16" t="inlineStr">
        <is>
          <t>R</t>
        </is>
      </c>
      <c r="AD78" s="16" t="inlineStr">
        <is>
          <t>N</t>
        </is>
      </c>
      <c r="AE78" s="16" t="inlineStr">
        <is>
          <t>N</t>
        </is>
      </c>
      <c r="AF78" s="5" t="inlineStr">
        <is>
          <t>46DAL</t>
        </is>
      </c>
      <c r="AG78" s="5" t="inlineStr">
        <is>
          <t>BOT</t>
        </is>
      </c>
      <c r="AH78" s="5" t="inlineStr">
        <is>
          <t>20COL</t>
        </is>
      </c>
      <c r="AK78" s="7" t="n"/>
      <c r="AL78" s="7" t="n"/>
    </row>
    <row r="79">
      <c r="A79" s="2" t="n">
        <v>1</v>
      </c>
      <c r="B79" s="15" t="n">
        <v>0.6493055555555556</v>
      </c>
      <c r="C79" s="21" t="inlineStr">
        <is>
          <t>5v5</t>
        </is>
      </c>
      <c r="AF79" s="5" t="inlineStr">
        <is>
          <t>6DAL</t>
        </is>
      </c>
      <c r="AG79" s="5" t="inlineStr">
        <is>
          <t>EXC</t>
        </is>
      </c>
      <c r="AH79" s="5" t="inlineStr">
        <is>
          <t>N</t>
        </is>
      </c>
      <c r="AI79" s="5" t="inlineStr">
        <is>
          <t>46DAL</t>
        </is>
      </c>
      <c r="AJ79" s="5" t="inlineStr">
        <is>
          <t>MEX</t>
        </is>
      </c>
      <c r="AK79" s="7" t="n"/>
      <c r="AL79" s="7" t="n"/>
    </row>
    <row r="80">
      <c r="A80" s="2" t="n">
        <v>1</v>
      </c>
      <c r="B80" s="15" t="n">
        <v>0.6423611111111112</v>
      </c>
      <c r="C80" s="21" t="inlineStr">
        <is>
          <t>5v5</t>
        </is>
      </c>
      <c r="Y80" s="16" t="inlineStr">
        <is>
          <t>D</t>
        </is>
      </c>
      <c r="Z80" s="16" t="inlineStr">
        <is>
          <t>10COL</t>
        </is>
      </c>
      <c r="AA80" s="16" t="inlineStr">
        <is>
          <t>46DAL</t>
        </is>
      </c>
      <c r="AC80" s="16" t="inlineStr">
        <is>
          <t>L</t>
        </is>
      </c>
      <c r="AD80" s="16" t="inlineStr">
        <is>
          <t>N</t>
        </is>
      </c>
      <c r="AE80" s="16" t="inlineStr">
        <is>
          <t>N</t>
        </is>
      </c>
      <c r="AF80" s="5" t="inlineStr">
        <is>
          <t>6DAL</t>
        </is>
      </c>
      <c r="AG80" s="5" t="inlineStr">
        <is>
          <t>EXC</t>
        </is>
      </c>
      <c r="AH80" s="5" t="inlineStr">
        <is>
          <t>70COL</t>
        </is>
      </c>
      <c r="AI80" s="5" t="inlineStr">
        <is>
          <t>21DAL</t>
        </is>
      </c>
      <c r="AJ80" s="5" t="inlineStr">
        <is>
          <t>MEX</t>
        </is>
      </c>
      <c r="AK80" s="7" t="n"/>
      <c r="AL80" s="7" t="n"/>
    </row>
    <row r="81">
      <c r="A81" s="2" t="n">
        <v>1</v>
      </c>
      <c r="B81" s="15" t="n">
        <v>0.6340277777777777</v>
      </c>
      <c r="C81" s="21" t="inlineStr">
        <is>
          <t>5v5</t>
        </is>
      </c>
      <c r="Y81" s="16" t="inlineStr">
        <is>
          <t>F</t>
        </is>
      </c>
      <c r="Z81" s="16" t="inlineStr">
        <is>
          <t>10COL</t>
        </is>
      </c>
      <c r="AA81" s="16" t="inlineStr">
        <is>
          <t>21DAL</t>
        </is>
      </c>
      <c r="AC81" s="16" t="inlineStr">
        <is>
          <t>C</t>
        </is>
      </c>
      <c r="AD81" s="16" t="inlineStr">
        <is>
          <t>N</t>
        </is>
      </c>
      <c r="AE81" s="16" t="inlineStr">
        <is>
          <t>N</t>
        </is>
      </c>
      <c r="AK81" s="7" t="n"/>
      <c r="AL81" s="7" t="n"/>
    </row>
    <row r="82">
      <c r="A82" s="2" t="n">
        <v>1</v>
      </c>
      <c r="B82" s="15" t="n">
        <v>0.63125</v>
      </c>
      <c r="C82" s="21" t="inlineStr">
        <is>
          <t>5v5</t>
        </is>
      </c>
      <c r="Y82" s="16" t="inlineStr">
        <is>
          <t>D</t>
        </is>
      </c>
      <c r="Z82" s="16" t="inlineStr">
        <is>
          <t>21DAL</t>
        </is>
      </c>
      <c r="AA82" s="16" t="inlineStr">
        <is>
          <t>70COL</t>
        </is>
      </c>
      <c r="AC82" s="16" t="inlineStr">
        <is>
          <t>L</t>
        </is>
      </c>
      <c r="AD82" s="16" t="inlineStr">
        <is>
          <t>N</t>
        </is>
      </c>
      <c r="AE82" s="16" t="inlineStr">
        <is>
          <t>N</t>
        </is>
      </c>
      <c r="AF82" s="5" t="inlineStr">
        <is>
          <t>27COL</t>
        </is>
      </c>
      <c r="AG82" s="5" t="inlineStr">
        <is>
          <t>EXC</t>
        </is>
      </c>
      <c r="AH82" s="5" t="inlineStr">
        <is>
          <t>21DAL</t>
        </is>
      </c>
      <c r="AI82" s="5" t="inlineStr">
        <is>
          <t>13COL</t>
        </is>
      </c>
      <c r="AJ82" s="5" t="inlineStr">
        <is>
          <t>PEX</t>
        </is>
      </c>
      <c r="AK82" s="7" t="n"/>
      <c r="AL82" s="7" t="n"/>
    </row>
    <row r="83">
      <c r="A83" s="2" t="n">
        <v>1</v>
      </c>
      <c r="B83" s="15" t="n">
        <v>0.6243055555555556</v>
      </c>
      <c r="C83" s="21" t="inlineStr">
        <is>
          <t>5v5</t>
        </is>
      </c>
      <c r="Y83" s="16" t="inlineStr">
        <is>
          <t>D</t>
        </is>
      </c>
      <c r="Z83" s="16" t="inlineStr">
        <is>
          <t>92COL</t>
        </is>
      </c>
      <c r="AA83" s="16" t="inlineStr">
        <is>
          <t>23DAL</t>
        </is>
      </c>
      <c r="AC83" s="16" t="inlineStr">
        <is>
          <t>R</t>
        </is>
      </c>
      <c r="AD83" s="16" t="inlineStr">
        <is>
          <t>N</t>
        </is>
      </c>
      <c r="AE83" s="16" t="inlineStr">
        <is>
          <t>N</t>
        </is>
      </c>
      <c r="AF83" s="5" t="inlineStr">
        <is>
          <t>22DAL</t>
        </is>
      </c>
      <c r="AG83" s="5" t="inlineStr">
        <is>
          <t>CLE</t>
        </is>
      </c>
      <c r="AK83" s="7" t="n"/>
      <c r="AL83" s="7" t="n"/>
    </row>
    <row r="84">
      <c r="A84" s="2" t="n">
        <v>1</v>
      </c>
      <c r="B84" s="15" t="n">
        <v>0.6076388888888888</v>
      </c>
      <c r="C84" s="21" t="inlineStr">
        <is>
          <t>5v5</t>
        </is>
      </c>
      <c r="Y84" s="16" t="inlineStr">
        <is>
          <t>C</t>
        </is>
      </c>
      <c r="Z84" s="16" t="inlineStr">
        <is>
          <t>49DAL</t>
        </is>
      </c>
      <c r="AA84" s="16" t="inlineStr">
        <is>
          <t>7COL</t>
        </is>
      </c>
      <c r="AB84" s="16" t="inlineStr">
        <is>
          <t>N</t>
        </is>
      </c>
      <c r="AC84" s="16" t="inlineStr">
        <is>
          <t>R</t>
        </is>
      </c>
      <c r="AD84" s="16" t="inlineStr">
        <is>
          <t>N</t>
        </is>
      </c>
      <c r="AE84" s="16" t="inlineStr">
        <is>
          <t>N</t>
        </is>
      </c>
      <c r="AF84" s="5" t="inlineStr">
        <is>
          <t>29COL</t>
        </is>
      </c>
      <c r="AG84" s="5" t="inlineStr">
        <is>
          <t>FEX</t>
        </is>
      </c>
      <c r="AK84" s="7" t="n"/>
      <c r="AL84" s="7" t="n"/>
    </row>
    <row r="85">
      <c r="A85" s="2" t="n">
        <v>1</v>
      </c>
      <c r="B85" s="15" t="n">
        <v>0.5534722222222223</v>
      </c>
      <c r="C85" s="21" t="inlineStr">
        <is>
          <t>5v4</t>
        </is>
      </c>
      <c r="Y85" s="16" t="inlineStr">
        <is>
          <t>C</t>
        </is>
      </c>
      <c r="Z85" s="16" t="inlineStr">
        <is>
          <t>24DAL</t>
        </is>
      </c>
      <c r="AA85" s="16" t="inlineStr">
        <is>
          <t>8COL</t>
        </is>
      </c>
      <c r="AB85" s="16" t="inlineStr">
        <is>
          <t>Y</t>
        </is>
      </c>
      <c r="AC85" s="16" t="inlineStr">
        <is>
          <t>L</t>
        </is>
      </c>
      <c r="AD85" s="16" t="inlineStr">
        <is>
          <t>N</t>
        </is>
      </c>
      <c r="AE85" s="16" t="inlineStr">
        <is>
          <t>y</t>
        </is>
      </c>
      <c r="AK85" s="7" t="n"/>
      <c r="AL85" s="7" t="n"/>
    </row>
    <row r="86">
      <c r="A86" s="2" t="n">
        <v>1</v>
      </c>
      <c r="B86" s="15" t="n">
        <v>0.5256944444444445</v>
      </c>
      <c r="C86" s="21" t="inlineStr">
        <is>
          <t>5v5</t>
        </is>
      </c>
      <c r="Y86" s="16" t="inlineStr">
        <is>
          <t>F</t>
        </is>
      </c>
      <c r="Z86" s="16" t="inlineStr">
        <is>
          <t>88COL</t>
        </is>
      </c>
      <c r="AA86" s="16" t="inlineStr">
        <is>
          <t>N</t>
        </is>
      </c>
      <c r="AC86" s="16" t="inlineStr">
        <is>
          <t>C</t>
        </is>
      </c>
      <c r="AD86" s="16" t="inlineStr">
        <is>
          <t>N</t>
        </is>
      </c>
      <c r="AE86" s="16" t="inlineStr">
        <is>
          <t>N</t>
        </is>
      </c>
      <c r="AK86" s="7" t="n"/>
      <c r="AL86" s="7" t="n"/>
    </row>
    <row r="87">
      <c r="A87" s="2" t="n">
        <v>1</v>
      </c>
      <c r="B87" s="15" t="n">
        <v>0.51875</v>
      </c>
      <c r="C87" s="21" t="inlineStr">
        <is>
          <t>5v5</t>
        </is>
      </c>
      <c r="Y87" s="16" t="inlineStr">
        <is>
          <t>D</t>
        </is>
      </c>
      <c r="Z87" s="16" t="inlineStr">
        <is>
          <t>22DAL</t>
        </is>
      </c>
      <c r="AA87" s="16" t="inlineStr">
        <is>
          <t>N</t>
        </is>
      </c>
      <c r="AC87" s="16" t="inlineStr">
        <is>
          <t>R</t>
        </is>
      </c>
      <c r="AD87" s="16" t="inlineStr">
        <is>
          <t>N</t>
        </is>
      </c>
      <c r="AE87" s="16" t="inlineStr">
        <is>
          <t>N</t>
        </is>
      </c>
      <c r="AF87" s="5" t="inlineStr">
        <is>
          <t>29COL</t>
        </is>
      </c>
      <c r="AG87" s="5" t="inlineStr">
        <is>
          <t>EXC</t>
        </is>
      </c>
      <c r="AH87" s="5" t="inlineStr">
        <is>
          <t>N</t>
        </is>
      </c>
      <c r="AJ87" s="5" t="inlineStr">
        <is>
          <t>CLE</t>
        </is>
      </c>
      <c r="AK87" s="7" t="n"/>
      <c r="AL87" s="7" t="n"/>
    </row>
    <row r="88">
      <c r="A88" s="2" t="n">
        <v>1</v>
      </c>
      <c r="B88" s="15" t="n">
        <v>0.5090277777777777</v>
      </c>
      <c r="C88" s="21" t="inlineStr">
        <is>
          <t>5v5</t>
        </is>
      </c>
      <c r="AF88" s="5" t="inlineStr">
        <is>
          <t>55DAL</t>
        </is>
      </c>
      <c r="AG88" s="5" t="inlineStr">
        <is>
          <t>EXC</t>
        </is>
      </c>
      <c r="AH88" s="5" t="inlineStr">
        <is>
          <t>N</t>
        </is>
      </c>
      <c r="AI88" s="5" t="inlineStr">
        <is>
          <t>23DAL</t>
        </is>
      </c>
      <c r="AJ88" s="5" t="inlineStr">
        <is>
          <t>CLE</t>
        </is>
      </c>
      <c r="AK88" s="7" t="n"/>
      <c r="AL88" s="7" t="n"/>
    </row>
    <row r="89">
      <c r="A89" s="2" t="n">
        <v>1</v>
      </c>
      <c r="B89" s="15" t="n">
        <v>0.5055555555555555</v>
      </c>
      <c r="C89" s="21" t="inlineStr">
        <is>
          <t>5v5</t>
        </is>
      </c>
      <c r="AF89" s="5" t="inlineStr">
        <is>
          <t>39COL</t>
        </is>
      </c>
      <c r="AG89" s="5" t="inlineStr">
        <is>
          <t>FEX</t>
        </is>
      </c>
      <c r="AK89" s="7" t="n"/>
      <c r="AL89" s="7" t="n"/>
    </row>
    <row r="90">
      <c r="A90" s="2" t="n">
        <v>1</v>
      </c>
      <c r="B90" s="15" t="n">
        <v>0.4909722222222222</v>
      </c>
      <c r="C90" s="21" t="inlineStr">
        <is>
          <t>5v5</t>
        </is>
      </c>
      <c r="Y90" s="16" t="inlineStr">
        <is>
          <t>C</t>
        </is>
      </c>
      <c r="Z90" s="16" t="inlineStr">
        <is>
          <t>18DAL</t>
        </is>
      </c>
      <c r="AA90" s="16" t="inlineStr">
        <is>
          <t>N</t>
        </is>
      </c>
      <c r="AB90" s="16" t="inlineStr">
        <is>
          <t>N</t>
        </is>
      </c>
      <c r="AC90" s="16" t="inlineStr">
        <is>
          <t>L</t>
        </is>
      </c>
      <c r="AD90" s="16" t="inlineStr">
        <is>
          <t>N</t>
        </is>
      </c>
      <c r="AE90" s="16" t="inlineStr">
        <is>
          <t>N</t>
        </is>
      </c>
      <c r="AK90" s="7" t="n"/>
      <c r="AL90" s="7" t="n"/>
    </row>
    <row r="91">
      <c r="A91" s="2" t="n">
        <v>1</v>
      </c>
      <c r="B91" s="15" t="n">
        <v>0.4847222222222222</v>
      </c>
      <c r="C91" s="21" t="inlineStr">
        <is>
          <t>5v5</t>
        </is>
      </c>
      <c r="Y91" s="16" t="inlineStr">
        <is>
          <t>C</t>
        </is>
      </c>
      <c r="Z91" s="16" t="inlineStr">
        <is>
          <t>42COL</t>
        </is>
      </c>
      <c r="AA91" s="16" t="inlineStr">
        <is>
          <t>46DAL</t>
        </is>
      </c>
      <c r="AB91" s="16" t="inlineStr">
        <is>
          <t>N</t>
        </is>
      </c>
      <c r="AC91" s="16" t="inlineStr">
        <is>
          <t>L</t>
        </is>
      </c>
      <c r="AD91" s="16" t="inlineStr">
        <is>
          <t>N</t>
        </is>
      </c>
      <c r="AE91" s="16" t="inlineStr">
        <is>
          <t>N</t>
        </is>
      </c>
      <c r="AF91" s="5" t="inlineStr">
        <is>
          <t>95DAL</t>
        </is>
      </c>
      <c r="AG91" s="5" t="inlineStr">
        <is>
          <t>FEX</t>
        </is>
      </c>
      <c r="AH91" s="5" t="inlineStr">
        <is>
          <t>20COL</t>
        </is>
      </c>
      <c r="AK91" s="7" t="n"/>
      <c r="AL91" s="7" t="n"/>
    </row>
    <row r="92">
      <c r="A92" s="2" t="n">
        <v>1</v>
      </c>
      <c r="B92" s="15" t="n">
        <v>0.4520833333333333</v>
      </c>
      <c r="C92" s="21" t="inlineStr">
        <is>
          <t>5v5</t>
        </is>
      </c>
      <c r="Y92" s="16" t="inlineStr">
        <is>
          <t>F</t>
        </is>
      </c>
      <c r="Z92" s="16" t="inlineStr">
        <is>
          <t>73DAL</t>
        </is>
      </c>
      <c r="AA92" s="16" t="inlineStr">
        <is>
          <t>N</t>
        </is>
      </c>
      <c r="AC92" s="16" t="inlineStr">
        <is>
          <t>R</t>
        </is>
      </c>
      <c r="AD92" s="16" t="inlineStr">
        <is>
          <t>N</t>
        </is>
      </c>
      <c r="AE92" s="16" t="inlineStr">
        <is>
          <t>N</t>
        </is>
      </c>
      <c r="AF92" s="5" t="inlineStr">
        <is>
          <t>29DAL</t>
        </is>
      </c>
      <c r="AG92" s="5" t="inlineStr">
        <is>
          <t>EXC</t>
        </is>
      </c>
      <c r="AH92" s="5" t="inlineStr">
        <is>
          <t>N</t>
        </is>
      </c>
      <c r="AI92" s="5" t="inlineStr">
        <is>
          <t>55DAL</t>
        </is>
      </c>
      <c r="AJ92" s="5" t="inlineStr">
        <is>
          <t>PEX</t>
        </is>
      </c>
      <c r="AK92" s="7" t="n"/>
      <c r="AL92" s="7" t="n"/>
    </row>
    <row r="93">
      <c r="A93" s="2" t="n">
        <v>1</v>
      </c>
      <c r="B93" s="15" t="n">
        <v>0.4472222222222222</v>
      </c>
      <c r="C93" s="21" t="inlineStr">
        <is>
          <t>5v5</t>
        </is>
      </c>
      <c r="Y93" s="16" t="inlineStr">
        <is>
          <t>D</t>
        </is>
      </c>
      <c r="Z93" s="16" t="inlineStr">
        <is>
          <t>20COL</t>
        </is>
      </c>
      <c r="AA93" s="16" t="inlineStr">
        <is>
          <t>N</t>
        </is>
      </c>
      <c r="AC93" s="16" t="inlineStr">
        <is>
          <t>R</t>
        </is>
      </c>
      <c r="AD93" s="16" t="inlineStr">
        <is>
          <t>N</t>
        </is>
      </c>
      <c r="AE93" s="16" t="inlineStr">
        <is>
          <t>N</t>
        </is>
      </c>
      <c r="AK93" s="7" t="n"/>
      <c r="AL93" s="7" t="n"/>
    </row>
    <row r="94">
      <c r="A94" s="2" t="n">
        <v>1</v>
      </c>
      <c r="B94" s="15" t="n">
        <v>0.4375</v>
      </c>
      <c r="C94" s="21" t="inlineStr">
        <is>
          <t>5v5</t>
        </is>
      </c>
      <c r="Y94" s="16" t="inlineStr">
        <is>
          <t>D</t>
        </is>
      </c>
      <c r="Z94" s="16" t="inlineStr">
        <is>
          <t>18COL</t>
        </is>
      </c>
      <c r="AA94" s="16" t="inlineStr">
        <is>
          <t>N</t>
        </is>
      </c>
      <c r="AC94" s="16" t="inlineStr">
        <is>
          <t>L</t>
        </is>
      </c>
      <c r="AD94" s="16" t="inlineStr">
        <is>
          <t>N</t>
        </is>
      </c>
      <c r="AE94" s="16" t="inlineStr">
        <is>
          <t>N</t>
        </is>
      </c>
      <c r="AF94" s="5" t="inlineStr">
        <is>
          <t>55DAL</t>
        </is>
      </c>
      <c r="AG94" s="5" t="inlineStr">
        <is>
          <t>EXC</t>
        </is>
      </c>
      <c r="AH94" s="5" t="inlineStr">
        <is>
          <t>N</t>
        </is>
      </c>
      <c r="AI94" s="5" t="inlineStr">
        <is>
          <t>73DAL</t>
        </is>
      </c>
      <c r="AJ94" s="5" t="inlineStr">
        <is>
          <t>PEX</t>
        </is>
      </c>
      <c r="AK94" s="7" t="n"/>
      <c r="AL94" s="7" t="n"/>
    </row>
    <row r="95">
      <c r="A95" s="2" t="n">
        <v>1</v>
      </c>
      <c r="B95" s="15" t="n">
        <v>0.425</v>
      </c>
      <c r="C95" s="21" t="inlineStr">
        <is>
          <t>5v5</t>
        </is>
      </c>
      <c r="Y95" s="16" t="inlineStr">
        <is>
          <t>D</t>
        </is>
      </c>
      <c r="Z95" s="16" t="inlineStr">
        <is>
          <t>11DAL</t>
        </is>
      </c>
      <c r="AA95" s="16" t="inlineStr">
        <is>
          <t>7COL</t>
        </is>
      </c>
      <c r="AC95" s="16" t="inlineStr">
        <is>
          <t>L</t>
        </is>
      </c>
      <c r="AD95" s="16" t="inlineStr">
        <is>
          <t>21DAL</t>
        </is>
      </c>
      <c r="AE95" s="16" t="inlineStr">
        <is>
          <t>y</t>
        </is>
      </c>
      <c r="AF95" s="5" t="inlineStr">
        <is>
          <t>55DAL</t>
        </is>
      </c>
      <c r="AG95" s="5" t="inlineStr">
        <is>
          <t>EXC</t>
        </is>
      </c>
      <c r="AH95" s="5" t="inlineStr">
        <is>
          <t>N</t>
        </is>
      </c>
      <c r="AI95" s="5" t="inlineStr">
        <is>
          <t>5DAL</t>
        </is>
      </c>
      <c r="AJ95" s="5" t="inlineStr">
        <is>
          <t>PEX</t>
        </is>
      </c>
      <c r="AK95" s="7" t="n"/>
      <c r="AL95" s="7" t="n"/>
    </row>
    <row r="96">
      <c r="A96" s="2" t="n">
        <v>1</v>
      </c>
      <c r="B96" s="15" t="n">
        <v>0.38125</v>
      </c>
      <c r="C96" s="21" t="inlineStr">
        <is>
          <t>5v5</t>
        </is>
      </c>
      <c r="Y96" s="16" t="inlineStr">
        <is>
          <t>C</t>
        </is>
      </c>
      <c r="Z96" s="16" t="inlineStr">
        <is>
          <t>18DAL</t>
        </is>
      </c>
      <c r="AA96" s="16" t="inlineStr">
        <is>
          <t>29COL</t>
        </is>
      </c>
      <c r="AB96" s="16" t="inlineStr">
        <is>
          <t>N</t>
        </is>
      </c>
      <c r="AC96" s="16" t="inlineStr">
        <is>
          <t>R</t>
        </is>
      </c>
      <c r="AD96" s="16" t="inlineStr">
        <is>
          <t>N</t>
        </is>
      </c>
      <c r="AE96" s="16" t="inlineStr">
        <is>
          <t>y</t>
        </is>
      </c>
      <c r="AK96" s="7" t="n"/>
      <c r="AL96" s="7" t="n"/>
    </row>
    <row r="97">
      <c r="A97" s="2" t="n">
        <v>1</v>
      </c>
      <c r="B97" s="15" t="n">
        <v>0.3701388888888889</v>
      </c>
      <c r="C97" s="21" t="inlineStr">
        <is>
          <t>5v5</t>
        </is>
      </c>
      <c r="Y97" s="16" t="inlineStr">
        <is>
          <t>C</t>
        </is>
      </c>
      <c r="Z97" s="16" t="inlineStr">
        <is>
          <t>55DAL</t>
        </is>
      </c>
      <c r="AA97" s="16" t="inlineStr">
        <is>
          <t>N</t>
        </is>
      </c>
      <c r="AB97" s="16" t="inlineStr">
        <is>
          <t>N</t>
        </is>
      </c>
      <c r="AC97" s="16" t="inlineStr">
        <is>
          <t>L</t>
        </is>
      </c>
      <c r="AD97" s="16" t="inlineStr">
        <is>
          <t>N</t>
        </is>
      </c>
      <c r="AE97" s="16" t="inlineStr">
        <is>
          <t>N</t>
        </is>
      </c>
      <c r="AF97" s="5" t="inlineStr">
        <is>
          <t>70COL</t>
        </is>
      </c>
      <c r="AG97" s="5" t="inlineStr">
        <is>
          <t>BOT</t>
        </is>
      </c>
      <c r="AH97" s="5" t="inlineStr">
        <is>
          <t>18DAL</t>
        </is>
      </c>
      <c r="AK97" s="7" t="n"/>
      <c r="AL97" s="7" t="n"/>
    </row>
    <row r="98">
      <c r="A98" s="2" t="n">
        <v>1</v>
      </c>
      <c r="B98" s="15" t="n">
        <v>0.3527777777777778</v>
      </c>
      <c r="C98" s="21" t="inlineStr">
        <is>
          <t>5v5</t>
        </is>
      </c>
      <c r="Y98" s="16" t="inlineStr">
        <is>
          <t>C</t>
        </is>
      </c>
      <c r="Z98" s="16" t="inlineStr">
        <is>
          <t>88COL</t>
        </is>
      </c>
      <c r="AA98" s="16" t="inlineStr">
        <is>
          <t>6DAL</t>
        </is>
      </c>
      <c r="AB98" s="16" t="inlineStr">
        <is>
          <t>N</t>
        </is>
      </c>
      <c r="AC98" s="16" t="inlineStr">
        <is>
          <t>R</t>
        </is>
      </c>
      <c r="AD98" s="16" t="inlineStr">
        <is>
          <t>N</t>
        </is>
      </c>
      <c r="AE98" s="16" t="inlineStr">
        <is>
          <t>N</t>
        </is>
      </c>
      <c r="AK98" s="7" t="n"/>
      <c r="AL98" s="7" t="n"/>
    </row>
    <row r="99">
      <c r="A99" s="2" t="n">
        <v>1</v>
      </c>
      <c r="B99" s="15" t="n">
        <v>0.3465277777777778</v>
      </c>
      <c r="C99" s="21" t="inlineStr">
        <is>
          <t>5v5</t>
        </is>
      </c>
      <c r="Y99" s="16" t="inlineStr">
        <is>
          <t>C</t>
        </is>
      </c>
      <c r="Z99" s="16" t="inlineStr">
        <is>
          <t>73DAL</t>
        </is>
      </c>
      <c r="AA99" s="16" t="inlineStr">
        <is>
          <t>42COL</t>
        </is>
      </c>
      <c r="AB99" s="16" t="inlineStr">
        <is>
          <t>N</t>
        </is>
      </c>
      <c r="AC99" s="16" t="inlineStr">
        <is>
          <t>R</t>
        </is>
      </c>
      <c r="AD99" s="16" t="inlineStr">
        <is>
          <t>N</t>
        </is>
      </c>
      <c r="AE99" s="16" t="inlineStr">
        <is>
          <t>N</t>
        </is>
      </c>
      <c r="AK99" s="7" t="n"/>
      <c r="AL99" s="7" t="n"/>
    </row>
    <row r="100">
      <c r="A100" s="2" t="n">
        <v>1</v>
      </c>
      <c r="B100" s="15" t="n">
        <v>0.3395833333333333</v>
      </c>
      <c r="C100" s="21" t="inlineStr">
        <is>
          <t>5v5</t>
        </is>
      </c>
      <c r="Y100" s="16" t="inlineStr">
        <is>
          <t>C</t>
        </is>
      </c>
      <c r="Z100" s="16" t="inlineStr">
        <is>
          <t>11COL</t>
        </is>
      </c>
      <c r="AA100" s="16" t="inlineStr">
        <is>
          <t>4DAL</t>
        </is>
      </c>
      <c r="AB100" s="16" t="inlineStr">
        <is>
          <t>N</t>
        </is>
      </c>
      <c r="AC100" s="16" t="inlineStr">
        <is>
          <t>L</t>
        </is>
      </c>
      <c r="AD100" s="16" t="inlineStr">
        <is>
          <t>N</t>
        </is>
      </c>
      <c r="AE100" s="16" t="inlineStr">
        <is>
          <t>N</t>
        </is>
      </c>
      <c r="AF100" s="5" t="inlineStr">
        <is>
          <t>49DAL</t>
        </is>
      </c>
      <c r="AG100" s="5" t="inlineStr">
        <is>
          <t>FEX</t>
        </is>
      </c>
      <c r="AK100" s="7" t="n"/>
      <c r="AL100" s="7" t="n"/>
    </row>
    <row r="101">
      <c r="A101" s="2" t="n">
        <v>1</v>
      </c>
      <c r="B101" s="15" t="n">
        <v>0.3291666666666667</v>
      </c>
      <c r="C101" s="21" t="inlineStr">
        <is>
          <t>5v5</t>
        </is>
      </c>
      <c r="Y101" s="16" t="inlineStr">
        <is>
          <t>D</t>
        </is>
      </c>
      <c r="Z101" s="16" t="inlineStr">
        <is>
          <t>22DAL</t>
        </is>
      </c>
      <c r="AA101" s="16" t="inlineStr">
        <is>
          <t>N</t>
        </is>
      </c>
      <c r="AC101" s="16" t="inlineStr">
        <is>
          <t>L</t>
        </is>
      </c>
      <c r="AD101" s="16" t="inlineStr">
        <is>
          <t>N</t>
        </is>
      </c>
      <c r="AE101" s="16" t="inlineStr">
        <is>
          <t>N</t>
        </is>
      </c>
      <c r="AF101" s="5" t="inlineStr">
        <is>
          <t>22DAL</t>
        </is>
      </c>
      <c r="AG101" s="5" t="inlineStr">
        <is>
          <t>CEX</t>
        </is>
      </c>
      <c r="AK101" s="7" t="n"/>
      <c r="AL101" s="7" t="n"/>
    </row>
    <row r="102">
      <c r="A102" s="2" t="n">
        <v>1</v>
      </c>
      <c r="B102" s="15" t="n">
        <v>0.3034722222222222</v>
      </c>
      <c r="C102" s="21" t="inlineStr">
        <is>
          <t>5v5</t>
        </is>
      </c>
      <c r="Y102" s="16" t="inlineStr">
        <is>
          <t>C</t>
        </is>
      </c>
      <c r="Z102" s="16" t="inlineStr">
        <is>
          <t>17COL</t>
        </is>
      </c>
      <c r="AA102" s="16" t="inlineStr">
        <is>
          <t>55DAL</t>
        </is>
      </c>
      <c r="AB102" s="16" t="inlineStr">
        <is>
          <t>N</t>
        </is>
      </c>
      <c r="AC102" s="16" t="inlineStr">
        <is>
          <t>R</t>
        </is>
      </c>
      <c r="AD102" s="16" t="inlineStr">
        <is>
          <t>N</t>
        </is>
      </c>
      <c r="AE102" s="16" t="inlineStr">
        <is>
          <t>N</t>
        </is>
      </c>
      <c r="AF102" s="5" t="inlineStr">
        <is>
          <t>21DAL</t>
        </is>
      </c>
      <c r="AG102" s="5" t="inlineStr">
        <is>
          <t>CEX</t>
        </is>
      </c>
      <c r="AK102" s="7" t="n"/>
      <c r="AL102" s="7" t="n"/>
    </row>
    <row r="103">
      <c r="A103" s="2" t="n">
        <v>1</v>
      </c>
      <c r="B103" s="15" t="n">
        <v>0.2777777777777778</v>
      </c>
      <c r="C103" s="21" t="inlineStr">
        <is>
          <t>5v5</t>
        </is>
      </c>
      <c r="Y103" s="16" t="inlineStr">
        <is>
          <t>D</t>
        </is>
      </c>
      <c r="Z103" s="16" t="inlineStr">
        <is>
          <t>22DAL</t>
        </is>
      </c>
      <c r="AA103" s="16" t="inlineStr">
        <is>
          <t>N</t>
        </is>
      </c>
      <c r="AC103" s="16" t="inlineStr">
        <is>
          <t>R</t>
        </is>
      </c>
      <c r="AD103" s="16" t="inlineStr">
        <is>
          <t>N</t>
        </is>
      </c>
      <c r="AE103" s="16" t="inlineStr">
        <is>
          <t>N</t>
        </is>
      </c>
      <c r="AF103" s="5" t="inlineStr">
        <is>
          <t>84COL</t>
        </is>
      </c>
      <c r="AG103" s="5" t="inlineStr">
        <is>
          <t>EXC</t>
        </is>
      </c>
      <c r="AH103" s="5" t="inlineStr">
        <is>
          <t>N</t>
        </is>
      </c>
      <c r="AI103" s="5" t="inlineStr">
        <is>
          <t>20COL</t>
        </is>
      </c>
      <c r="AJ103" s="5" t="inlineStr">
        <is>
          <t>PEX</t>
        </is>
      </c>
      <c r="AK103" s="7" t="n"/>
      <c r="AL103" s="7" t="n"/>
    </row>
    <row r="104">
      <c r="A104" s="2" t="n">
        <v>1</v>
      </c>
      <c r="B104" s="15" t="n">
        <v>0.2708333333333333</v>
      </c>
      <c r="C104" s="21" t="inlineStr">
        <is>
          <t>5v5</t>
        </is>
      </c>
      <c r="Y104" s="16" t="inlineStr">
        <is>
          <t>D</t>
        </is>
      </c>
      <c r="Z104" s="16" t="inlineStr">
        <is>
          <t>13COL</t>
        </is>
      </c>
      <c r="AA104" s="16" t="inlineStr">
        <is>
          <t>55DAL</t>
        </is>
      </c>
      <c r="AC104" s="16" t="inlineStr">
        <is>
          <t>R</t>
        </is>
      </c>
      <c r="AD104" s="16" t="inlineStr">
        <is>
          <t>N</t>
        </is>
      </c>
      <c r="AE104" s="16" t="inlineStr">
        <is>
          <t>N</t>
        </is>
      </c>
      <c r="AF104" s="5" t="inlineStr">
        <is>
          <t>5DAL</t>
        </is>
      </c>
      <c r="AG104" s="5" t="inlineStr">
        <is>
          <t>EXC</t>
        </is>
      </c>
      <c r="AH104" s="5" t="inlineStr">
        <is>
          <t>N</t>
        </is>
      </c>
      <c r="AI104" s="5" t="inlineStr">
        <is>
          <t>55DAL</t>
        </is>
      </c>
      <c r="AJ104" s="5" t="inlineStr">
        <is>
          <t>MEX</t>
        </is>
      </c>
      <c r="AK104" s="7" t="n"/>
      <c r="AL104" s="7" t="n"/>
    </row>
    <row r="105">
      <c r="A105" s="2" t="n">
        <v>1</v>
      </c>
      <c r="B105" s="15" t="n">
        <v>0.2555555555555555</v>
      </c>
      <c r="C105" s="21" t="inlineStr">
        <is>
          <t>5v5</t>
        </is>
      </c>
      <c r="AF105" s="5" t="inlineStr">
        <is>
          <t>55DAL</t>
        </is>
      </c>
      <c r="AG105" s="5" t="inlineStr">
        <is>
          <t>EXC</t>
        </is>
      </c>
      <c r="AH105" s="5" t="inlineStr">
        <is>
          <t>N</t>
        </is>
      </c>
      <c r="AI105" s="5" t="inlineStr">
        <is>
          <t>55DAL</t>
        </is>
      </c>
      <c r="AJ105" s="5" t="inlineStr">
        <is>
          <t>MEX</t>
        </is>
      </c>
      <c r="AK105" s="7" t="n"/>
      <c r="AL105" s="7" t="n"/>
    </row>
    <row r="106">
      <c r="A106" s="2" t="n">
        <v>1</v>
      </c>
      <c r="B106" s="15" t="n">
        <v>0.2409722222222222</v>
      </c>
      <c r="C106" s="21" t="inlineStr">
        <is>
          <t>5v5</t>
        </is>
      </c>
      <c r="Y106" s="16" t="inlineStr">
        <is>
          <t>D</t>
        </is>
      </c>
      <c r="Z106" s="16" t="inlineStr">
        <is>
          <t>14DAL</t>
        </is>
      </c>
      <c r="AA106" s="16" t="inlineStr">
        <is>
          <t>27COL</t>
        </is>
      </c>
      <c r="AC106" s="16" t="inlineStr">
        <is>
          <t>L</t>
        </is>
      </c>
      <c r="AD106" s="16" t="inlineStr">
        <is>
          <t>N</t>
        </is>
      </c>
      <c r="AE106" s="16" t="inlineStr">
        <is>
          <t>Y</t>
        </is>
      </c>
      <c r="AF106" s="5" t="inlineStr">
        <is>
          <t>10COL</t>
        </is>
      </c>
      <c r="AG106" s="5" t="inlineStr">
        <is>
          <t>BOT</t>
        </is>
      </c>
      <c r="AH106" s="5" t="inlineStr">
        <is>
          <t>18DAL</t>
        </is>
      </c>
      <c r="AK106" s="7" t="n"/>
      <c r="AL106" s="7" t="n"/>
    </row>
    <row r="107">
      <c r="A107" s="2" t="n">
        <v>1</v>
      </c>
      <c r="B107" s="15" t="n">
        <v>0.2270833333333333</v>
      </c>
      <c r="C107" s="21" t="inlineStr">
        <is>
          <t>5v5</t>
        </is>
      </c>
      <c r="AF107" s="5" t="inlineStr">
        <is>
          <t>70COL</t>
        </is>
      </c>
      <c r="AG107" s="5" t="inlineStr">
        <is>
          <t>CLE</t>
        </is>
      </c>
      <c r="AK107" s="7" t="n"/>
      <c r="AL107" s="7" t="n"/>
    </row>
    <row r="108">
      <c r="A108" s="2" t="n">
        <v>1</v>
      </c>
      <c r="B108" s="15" t="n">
        <v>0.2152777777777778</v>
      </c>
      <c r="C108" s="21" t="inlineStr">
        <is>
          <t>5v5</t>
        </is>
      </c>
      <c r="Y108" s="16" t="inlineStr">
        <is>
          <t>C</t>
        </is>
      </c>
      <c r="Z108" s="16" t="inlineStr">
        <is>
          <t>53DAL</t>
        </is>
      </c>
      <c r="AA108" s="16" t="inlineStr">
        <is>
          <t>27COL</t>
        </is>
      </c>
      <c r="AB108" s="16" t="inlineStr">
        <is>
          <t>N</t>
        </is>
      </c>
      <c r="AC108" s="16" t="inlineStr">
        <is>
          <t>R</t>
        </is>
      </c>
      <c r="AD108" s="16" t="inlineStr">
        <is>
          <t>N</t>
        </is>
      </c>
      <c r="AE108" s="16" t="inlineStr">
        <is>
          <t>N</t>
        </is>
      </c>
      <c r="AF108" s="5" t="inlineStr">
        <is>
          <t>11COL</t>
        </is>
      </c>
      <c r="AG108" s="5" t="inlineStr">
        <is>
          <t>CLE</t>
        </is>
      </c>
      <c r="AK108" s="7" t="n"/>
      <c r="AL108" s="7" t="n"/>
    </row>
    <row r="109">
      <c r="A109" s="2" t="n">
        <v>1</v>
      </c>
      <c r="B109" s="15" t="n">
        <v>0.1979166666666667</v>
      </c>
      <c r="C109" s="21" t="inlineStr">
        <is>
          <t>5v5</t>
        </is>
      </c>
      <c r="Y109" s="16" t="inlineStr">
        <is>
          <t>C</t>
        </is>
      </c>
      <c r="Z109" s="16" t="inlineStr">
        <is>
          <t>53DAL</t>
        </is>
      </c>
      <c r="AA109" s="16" t="inlineStr">
        <is>
          <t>N</t>
        </is>
      </c>
      <c r="AB109" s="16" t="inlineStr">
        <is>
          <t>Y</t>
        </is>
      </c>
      <c r="AC109" s="16" t="inlineStr">
        <is>
          <t>R</t>
        </is>
      </c>
      <c r="AD109" s="16" t="inlineStr">
        <is>
          <t>N</t>
        </is>
      </c>
      <c r="AE109" s="16" t="inlineStr">
        <is>
          <t>N</t>
        </is>
      </c>
      <c r="AF109" s="5" t="inlineStr">
        <is>
          <t>27COL</t>
        </is>
      </c>
      <c r="AG109" s="5" t="inlineStr">
        <is>
          <t>EXC</t>
        </is>
      </c>
      <c r="AH109" s="5" t="inlineStr">
        <is>
          <t>N</t>
        </is>
      </c>
      <c r="AI109" s="5" t="inlineStr">
        <is>
          <t>13COL</t>
        </is>
      </c>
      <c r="AJ109" s="5" t="inlineStr">
        <is>
          <t>CEX</t>
        </is>
      </c>
      <c r="AK109" s="7" t="n"/>
      <c r="AL109" s="7" t="n"/>
    </row>
    <row r="110">
      <c r="A110" s="2" t="n">
        <v>1</v>
      </c>
      <c r="B110" s="15" t="n">
        <v>0.1888888888888889</v>
      </c>
      <c r="C110" s="21" t="inlineStr">
        <is>
          <t>5v5</t>
        </is>
      </c>
      <c r="Y110" s="16" t="inlineStr">
        <is>
          <t>C</t>
        </is>
      </c>
      <c r="Z110" s="16" t="inlineStr">
        <is>
          <t>13COL</t>
        </is>
      </c>
      <c r="AA110" s="16" t="inlineStr">
        <is>
          <t>5DAL</t>
        </is>
      </c>
      <c r="AB110" s="16" t="inlineStr">
        <is>
          <t>N</t>
        </is>
      </c>
      <c r="AC110" s="16" t="inlineStr">
        <is>
          <t>C</t>
        </is>
      </c>
      <c r="AD110" s="16" t="inlineStr">
        <is>
          <t>N</t>
        </is>
      </c>
      <c r="AE110" s="16" t="inlineStr">
        <is>
          <t>N</t>
        </is>
      </c>
      <c r="AK110" s="7" t="n"/>
      <c r="AL110" s="7" t="n"/>
    </row>
    <row r="111">
      <c r="A111" s="2" t="n">
        <v>1</v>
      </c>
      <c r="B111" s="15" t="n">
        <v>0.1826388888888889</v>
      </c>
      <c r="C111" s="21" t="inlineStr">
        <is>
          <t>5v5</t>
        </is>
      </c>
      <c r="Y111" s="16" t="inlineStr">
        <is>
          <t>C</t>
        </is>
      </c>
      <c r="Z111" s="16" t="inlineStr">
        <is>
          <t>55DAL</t>
        </is>
      </c>
      <c r="AA111" s="16" t="inlineStr">
        <is>
          <t>42COL</t>
        </is>
      </c>
      <c r="AB111" s="16" t="inlineStr">
        <is>
          <t>N</t>
        </is>
      </c>
      <c r="AC111" s="16" t="inlineStr">
        <is>
          <t>L</t>
        </is>
      </c>
      <c r="AD111" s="16" t="inlineStr">
        <is>
          <t>N</t>
        </is>
      </c>
      <c r="AE111" s="16" t="inlineStr">
        <is>
          <t>N</t>
        </is>
      </c>
      <c r="AF111" s="5" t="inlineStr">
        <is>
          <t>84COL</t>
        </is>
      </c>
      <c r="AG111" s="5" t="inlineStr">
        <is>
          <t>EXC</t>
        </is>
      </c>
      <c r="AH111" s="5" t="inlineStr">
        <is>
          <t>N</t>
        </is>
      </c>
      <c r="AI111" s="5" t="inlineStr">
        <is>
          <t>42COL</t>
        </is>
      </c>
      <c r="AJ111" s="5" t="inlineStr">
        <is>
          <t>PEX</t>
        </is>
      </c>
      <c r="AK111" s="7" t="n"/>
      <c r="AL111" s="7" t="n"/>
    </row>
    <row r="112">
      <c r="A112" s="2" t="n">
        <v>1</v>
      </c>
      <c r="B112" s="15" t="n">
        <v>0.1736111111111111</v>
      </c>
      <c r="C112" s="21" t="inlineStr">
        <is>
          <t>5v5</t>
        </is>
      </c>
      <c r="Y112" s="16" t="inlineStr">
        <is>
          <t>D</t>
        </is>
      </c>
      <c r="Z112" s="16" t="inlineStr">
        <is>
          <t>92COL</t>
        </is>
      </c>
      <c r="AA112" s="16" t="inlineStr">
        <is>
          <t>N</t>
        </is>
      </c>
      <c r="AC112" s="16" t="inlineStr">
        <is>
          <t>L</t>
        </is>
      </c>
      <c r="AD112" s="16" t="inlineStr">
        <is>
          <t>N</t>
        </is>
      </c>
      <c r="AE112" s="16" t="inlineStr">
        <is>
          <t>N</t>
        </is>
      </c>
      <c r="AF112" s="5" t="inlineStr">
        <is>
          <t>29DAL</t>
        </is>
      </c>
      <c r="AG112" s="5" t="inlineStr">
        <is>
          <t>EXC</t>
        </is>
      </c>
      <c r="AH112" s="5" t="inlineStr">
        <is>
          <t>N</t>
        </is>
      </c>
      <c r="AI112" s="5" t="inlineStr">
        <is>
          <t>55DAL</t>
        </is>
      </c>
      <c r="AJ112" s="5" t="inlineStr">
        <is>
          <t>PEX</t>
        </is>
      </c>
      <c r="AK112" s="7" t="n"/>
      <c r="AL112" s="7" t="n"/>
    </row>
    <row r="113">
      <c r="A113" s="2" t="n">
        <v>1</v>
      </c>
      <c r="B113" s="15" t="n">
        <v>0.1673611111111111</v>
      </c>
      <c r="C113" s="21" t="inlineStr">
        <is>
          <t>5v5</t>
        </is>
      </c>
      <c r="Y113" s="16" t="inlineStr">
        <is>
          <t>D</t>
        </is>
      </c>
      <c r="Z113" s="16" t="inlineStr">
        <is>
          <t>49DAL</t>
        </is>
      </c>
      <c r="AA113" s="16" t="inlineStr">
        <is>
          <t>N</t>
        </is>
      </c>
      <c r="AC113" s="16" t="inlineStr">
        <is>
          <t>R</t>
        </is>
      </c>
      <c r="AD113" s="16" t="inlineStr">
        <is>
          <t>N</t>
        </is>
      </c>
      <c r="AE113" s="16" t="inlineStr">
        <is>
          <t>Y</t>
        </is>
      </c>
      <c r="AF113" s="5" t="inlineStr">
        <is>
          <t>39COL</t>
        </is>
      </c>
      <c r="AG113" s="5" t="inlineStr">
        <is>
          <t>BOT</t>
        </is>
      </c>
      <c r="AH113" s="5" t="inlineStr">
        <is>
          <t>22DAL</t>
        </is>
      </c>
      <c r="AK113" s="7" t="n"/>
      <c r="AL113" s="7" t="n"/>
    </row>
    <row r="114">
      <c r="A114" s="2" t="n">
        <v>1</v>
      </c>
      <c r="B114" s="15" t="n">
        <v>0.1506944444444444</v>
      </c>
      <c r="C114" s="21" t="inlineStr">
        <is>
          <t>5v5</t>
        </is>
      </c>
      <c r="AF114" s="5" t="inlineStr">
        <is>
          <t>8COL</t>
        </is>
      </c>
      <c r="AG114" s="5" t="inlineStr">
        <is>
          <t>CEX</t>
        </is>
      </c>
      <c r="AH114" s="5" t="inlineStr">
        <is>
          <t>49DAL</t>
        </is>
      </c>
      <c r="AK114" s="7" t="n"/>
      <c r="AL114" s="7" t="n"/>
    </row>
    <row r="115">
      <c r="A115" s="2" t="n">
        <v>1</v>
      </c>
      <c r="B115" s="15" t="n">
        <v>0.1375</v>
      </c>
      <c r="C115" s="21" t="inlineStr">
        <is>
          <t>5v5</t>
        </is>
      </c>
      <c r="Y115" s="16" t="inlineStr">
        <is>
          <t>C</t>
        </is>
      </c>
      <c r="Z115" s="16" t="inlineStr">
        <is>
          <t>8COL</t>
        </is>
      </c>
      <c r="AA115" s="16" t="inlineStr">
        <is>
          <t>23DAL</t>
        </is>
      </c>
      <c r="AB115" s="16" t="inlineStr">
        <is>
          <t>N</t>
        </is>
      </c>
      <c r="AC115" s="16" t="inlineStr">
        <is>
          <t>R</t>
        </is>
      </c>
      <c r="AD115" s="16" t="inlineStr">
        <is>
          <t>N</t>
        </is>
      </c>
      <c r="AE115" s="16" t="inlineStr">
        <is>
          <t>N</t>
        </is>
      </c>
      <c r="AK115" s="7" t="n"/>
      <c r="AL115" s="7" t="n"/>
    </row>
    <row r="116">
      <c r="A116" s="2" t="n">
        <v>1</v>
      </c>
      <c r="B116" s="15" t="n">
        <v>0.09722222222222222</v>
      </c>
      <c r="C116" s="21" t="inlineStr">
        <is>
          <t>5v4</t>
        </is>
      </c>
      <c r="Y116" s="16" t="inlineStr">
        <is>
          <t>C</t>
        </is>
      </c>
      <c r="Z116" s="16" t="inlineStr">
        <is>
          <t>29COL</t>
        </is>
      </c>
      <c r="AA116" s="16" t="inlineStr">
        <is>
          <t>N</t>
        </is>
      </c>
      <c r="AB116" s="16" t="inlineStr">
        <is>
          <t>Y</t>
        </is>
      </c>
      <c r="AC116" s="16" t="inlineStr">
        <is>
          <t>L</t>
        </is>
      </c>
      <c r="AD116" s="16" t="inlineStr">
        <is>
          <t>N</t>
        </is>
      </c>
      <c r="AE116" s="16" t="inlineStr">
        <is>
          <t>y</t>
        </is>
      </c>
      <c r="AK116" s="7" t="n"/>
      <c r="AL116" s="7" t="n"/>
    </row>
    <row r="117">
      <c r="A117" s="2" t="n">
        <v>1</v>
      </c>
      <c r="B117" s="15" t="n">
        <v>0.03958333333333333</v>
      </c>
      <c r="C117" s="21" t="inlineStr">
        <is>
          <t>5v5</t>
        </is>
      </c>
      <c r="Y117" s="16" t="inlineStr">
        <is>
          <t>D</t>
        </is>
      </c>
      <c r="Z117" s="16" t="inlineStr">
        <is>
          <t>54COL</t>
        </is>
      </c>
      <c r="AA117" s="16" t="inlineStr">
        <is>
          <t>55DAL</t>
        </is>
      </c>
      <c r="AC117" s="16" t="inlineStr">
        <is>
          <t>R</t>
        </is>
      </c>
      <c r="AD117" s="16" t="inlineStr">
        <is>
          <t>N</t>
        </is>
      </c>
      <c r="AE117" s="16" t="inlineStr">
        <is>
          <t>N</t>
        </is>
      </c>
      <c r="AF117" s="5" t="inlineStr">
        <is>
          <t>5DAL</t>
        </is>
      </c>
      <c r="AG117" s="5" t="inlineStr">
        <is>
          <t>CLE</t>
        </is>
      </c>
      <c r="AK117" s="7" t="n"/>
      <c r="AL117" s="7" t="n"/>
    </row>
    <row r="118">
      <c r="A118" s="2" t="n">
        <v>1</v>
      </c>
      <c r="B118" s="15" t="n">
        <v>0.02430555555555556</v>
      </c>
      <c r="C118" s="21" t="inlineStr">
        <is>
          <t>5v5</t>
        </is>
      </c>
      <c r="Y118" s="16" t="inlineStr">
        <is>
          <t>F</t>
        </is>
      </c>
      <c r="Z118" s="16" t="inlineStr">
        <is>
          <t>18COL</t>
        </is>
      </c>
      <c r="AA118" s="16" t="inlineStr">
        <is>
          <t>5DAL</t>
        </is>
      </c>
      <c r="AB118" s="16" t="inlineStr">
        <is>
          <t>N</t>
        </is>
      </c>
      <c r="AC118" s="16" t="inlineStr">
        <is>
          <t>L</t>
        </is>
      </c>
      <c r="AD118" s="16" t="inlineStr">
        <is>
          <t>N</t>
        </is>
      </c>
      <c r="AE118" s="16" t="inlineStr">
        <is>
          <t>N</t>
        </is>
      </c>
      <c r="AK118" s="7" t="n"/>
      <c r="AL118" s="7" t="n"/>
    </row>
    <row r="119">
      <c r="A119" s="2" t="n">
        <v>1</v>
      </c>
      <c r="B119" s="15" t="n">
        <v>0.01736111111111111</v>
      </c>
      <c r="C119" s="21" t="inlineStr">
        <is>
          <t>5v5</t>
        </is>
      </c>
      <c r="Y119" s="16" t="inlineStr">
        <is>
          <t>D</t>
        </is>
      </c>
      <c r="Z119" s="16" t="inlineStr">
        <is>
          <t>21DAL</t>
        </is>
      </c>
      <c r="AA119" s="16" t="inlineStr">
        <is>
          <t>N</t>
        </is>
      </c>
      <c r="AC119" s="16" t="inlineStr">
        <is>
          <t>C</t>
        </is>
      </c>
      <c r="AD119" s="16" t="inlineStr">
        <is>
          <t>N</t>
        </is>
      </c>
      <c r="AE119" s="16" t="inlineStr">
        <is>
          <t>N</t>
        </is>
      </c>
      <c r="AF119" s="5" t="inlineStr">
        <is>
          <t>70COL</t>
        </is>
      </c>
      <c r="AG119" s="5" t="inlineStr">
        <is>
          <t>EXC</t>
        </is>
      </c>
      <c r="AH119" s="5" t="inlineStr">
        <is>
          <t>N</t>
        </is>
      </c>
      <c r="AI119" s="5" t="inlineStr">
        <is>
          <t>10COL</t>
        </is>
      </c>
      <c r="AJ119" s="5" t="inlineStr">
        <is>
          <t>PEX</t>
        </is>
      </c>
      <c r="AK119" s="7" t="n"/>
      <c r="AL119" s="7" t="n"/>
    </row>
    <row r="120">
      <c r="A120" s="2" t="n">
        <v>1</v>
      </c>
      <c r="B120" s="15" t="n">
        <v>0.01041666666666667</v>
      </c>
      <c r="C120" s="21" t="inlineStr">
        <is>
          <t>5v5</t>
        </is>
      </c>
      <c r="Y120" s="16" t="inlineStr">
        <is>
          <t>F</t>
        </is>
      </c>
      <c r="Z120" s="16" t="inlineStr">
        <is>
          <t>17COL</t>
        </is>
      </c>
      <c r="AA120" s="16" t="inlineStr">
        <is>
          <t>N</t>
        </is>
      </c>
      <c r="AC120" s="16" t="inlineStr">
        <is>
          <t>C</t>
        </is>
      </c>
      <c r="AD120" s="16" t="inlineStr">
        <is>
          <t>N</t>
        </is>
      </c>
      <c r="AE120" s="16" t="inlineStr">
        <is>
          <t>N</t>
        </is>
      </c>
      <c r="AK120" s="7" t="n"/>
      <c r="AL120" s="7" t="n"/>
    </row>
    <row r="121">
      <c r="A121" s="2" t="n">
        <v>2</v>
      </c>
      <c r="B121" s="15" t="n">
        <v>0.8284722222222223</v>
      </c>
      <c r="C121" s="21" t="inlineStr">
        <is>
          <t>5v5</t>
        </is>
      </c>
      <c r="Y121" s="16" t="inlineStr">
        <is>
          <t>D</t>
        </is>
      </c>
      <c r="Z121" s="16" t="inlineStr">
        <is>
          <t>29COL</t>
        </is>
      </c>
      <c r="AA121" s="16" t="inlineStr">
        <is>
          <t>N</t>
        </is>
      </c>
      <c r="AC121" s="16" t="inlineStr">
        <is>
          <t>R</t>
        </is>
      </c>
      <c r="AD121" s="16" t="inlineStr">
        <is>
          <t>N</t>
        </is>
      </c>
      <c r="AE121" s="16" t="inlineStr">
        <is>
          <t>N</t>
        </is>
      </c>
      <c r="AF121" s="5" t="inlineStr">
        <is>
          <t>4DAL</t>
        </is>
      </c>
      <c r="AG121" s="5" t="inlineStr">
        <is>
          <t>MEX</t>
        </is>
      </c>
      <c r="AK121" s="7" t="n"/>
      <c r="AL121" s="7" t="n"/>
    </row>
    <row r="122">
      <c r="A122" s="2" t="n">
        <v>2</v>
      </c>
      <c r="B122" s="15" t="n">
        <v>0.8180555555555555</v>
      </c>
      <c r="C122" s="21" t="inlineStr">
        <is>
          <t>5v5</t>
        </is>
      </c>
      <c r="Y122" s="16" t="inlineStr">
        <is>
          <t>C</t>
        </is>
      </c>
      <c r="Z122" s="16" t="inlineStr">
        <is>
          <t>92COL</t>
        </is>
      </c>
      <c r="AA122" s="16" t="inlineStr">
        <is>
          <t>23DAL</t>
        </is>
      </c>
      <c r="AB122" s="16" t="inlineStr">
        <is>
          <t>N</t>
        </is>
      </c>
      <c r="AC122" s="16" t="inlineStr">
        <is>
          <t>R</t>
        </is>
      </c>
      <c r="AD122" s="16" t="inlineStr">
        <is>
          <t>N</t>
        </is>
      </c>
      <c r="AE122" s="16" t="inlineStr">
        <is>
          <t>N</t>
        </is>
      </c>
      <c r="AF122" s="5" t="inlineStr">
        <is>
          <t>23DAL</t>
        </is>
      </c>
      <c r="AG122" s="5" t="inlineStr">
        <is>
          <t>CLE</t>
        </is>
      </c>
      <c r="AH122" s="5" t="inlineStr">
        <is>
          <t>92COL</t>
        </is>
      </c>
      <c r="AK122" s="7" t="n"/>
      <c r="AL122" s="7" t="n"/>
    </row>
    <row r="123">
      <c r="A123" s="2" t="n">
        <v>2</v>
      </c>
      <c r="B123" s="15" t="n">
        <v>0.8104166666666667</v>
      </c>
      <c r="C123" s="21" t="inlineStr">
        <is>
          <t>5v5</t>
        </is>
      </c>
      <c r="Y123" s="16" t="inlineStr">
        <is>
          <t>C</t>
        </is>
      </c>
      <c r="Z123" s="16" t="inlineStr">
        <is>
          <t>4DAL</t>
        </is>
      </c>
      <c r="AA123" s="16" t="inlineStr">
        <is>
          <t>8COL</t>
        </is>
      </c>
      <c r="AB123" s="16" t="inlineStr">
        <is>
          <t>N</t>
        </is>
      </c>
      <c r="AC123" s="16" t="inlineStr">
        <is>
          <t>L</t>
        </is>
      </c>
      <c r="AD123" s="16" t="inlineStr">
        <is>
          <t>N</t>
        </is>
      </c>
      <c r="AE123" s="16" t="inlineStr">
        <is>
          <t>N</t>
        </is>
      </c>
      <c r="AF123" s="5" t="inlineStr">
        <is>
          <t>92COL</t>
        </is>
      </c>
      <c r="AG123" s="5" t="inlineStr">
        <is>
          <t>FEX</t>
        </is>
      </c>
      <c r="AH123" s="5" t="inlineStr">
        <is>
          <t>21DAL</t>
        </is>
      </c>
      <c r="AK123" s="7" t="n"/>
      <c r="AL123" s="7" t="n"/>
    </row>
    <row r="124">
      <c r="A124" s="2" t="n">
        <v>2</v>
      </c>
      <c r="B124" s="15" t="n">
        <v>0.7979166666666667</v>
      </c>
      <c r="C124" s="21" t="inlineStr">
        <is>
          <t>5v5</t>
        </is>
      </c>
      <c r="AF124" s="5" t="inlineStr">
        <is>
          <t>8COL</t>
        </is>
      </c>
      <c r="AG124" s="5" t="inlineStr">
        <is>
          <t>EXC</t>
        </is>
      </c>
      <c r="AH124" s="5" t="inlineStr">
        <is>
          <t>N</t>
        </is>
      </c>
      <c r="AI124" s="5" t="inlineStr">
        <is>
          <t>92COL</t>
        </is>
      </c>
      <c r="AJ124" s="5" t="inlineStr">
        <is>
          <t>MEX</t>
        </is>
      </c>
      <c r="AK124" s="7" t="n"/>
      <c r="AL124" s="7" t="n"/>
    </row>
    <row r="125">
      <c r="A125" s="2" t="n">
        <v>2</v>
      </c>
      <c r="B125" s="15" t="n">
        <v>0.7895833333333333</v>
      </c>
      <c r="C125" s="21" t="inlineStr">
        <is>
          <t>5v5</t>
        </is>
      </c>
      <c r="Y125" s="16" t="inlineStr">
        <is>
          <t>C</t>
        </is>
      </c>
      <c r="Z125" s="16" t="inlineStr">
        <is>
          <t>13COL</t>
        </is>
      </c>
      <c r="AA125" s="16" t="inlineStr">
        <is>
          <t>55DAL</t>
        </is>
      </c>
      <c r="AB125" s="16" t="inlineStr">
        <is>
          <t>N</t>
        </is>
      </c>
      <c r="AC125" s="16" t="inlineStr">
        <is>
          <t>R</t>
        </is>
      </c>
      <c r="AD125" s="16" t="inlineStr">
        <is>
          <t>N</t>
        </is>
      </c>
      <c r="AE125" s="16" t="inlineStr">
        <is>
          <t>N</t>
        </is>
      </c>
      <c r="AF125" s="5" t="inlineStr">
        <is>
          <t>5DAL</t>
        </is>
      </c>
      <c r="AG125" s="5" t="inlineStr">
        <is>
          <t>CLE</t>
        </is>
      </c>
      <c r="AK125" s="7" t="n"/>
      <c r="AL125" s="7" t="n"/>
    </row>
    <row r="126">
      <c r="A126" s="2" t="n">
        <v>2</v>
      </c>
      <c r="B126" s="15" t="n">
        <v>0.7763888888888889</v>
      </c>
      <c r="C126" s="21" t="inlineStr">
        <is>
          <t>5v5</t>
        </is>
      </c>
      <c r="Y126" s="16" t="inlineStr">
        <is>
          <t>D</t>
        </is>
      </c>
      <c r="Z126" s="16" t="inlineStr">
        <is>
          <t>11COL</t>
        </is>
      </c>
      <c r="AA126" s="16" t="inlineStr">
        <is>
          <t>N</t>
        </is>
      </c>
      <c r="AC126" s="16" t="inlineStr">
        <is>
          <t>L</t>
        </is>
      </c>
      <c r="AD126" s="16" t="inlineStr">
        <is>
          <t>N</t>
        </is>
      </c>
      <c r="AE126" s="16" t="inlineStr">
        <is>
          <t>N</t>
        </is>
      </c>
      <c r="AF126" s="5" t="inlineStr">
        <is>
          <t>55DAL</t>
        </is>
      </c>
      <c r="AG126" s="5" t="inlineStr">
        <is>
          <t>EXC</t>
        </is>
      </c>
      <c r="AH126" s="5" t="inlineStr">
        <is>
          <t>13COL</t>
        </is>
      </c>
      <c r="AI126" s="5" t="inlineStr">
        <is>
          <t>5DAL</t>
        </is>
      </c>
      <c r="AJ126" s="5" t="inlineStr">
        <is>
          <t>FEX</t>
        </is>
      </c>
      <c r="AK126" s="7" t="n"/>
      <c r="AL126" s="7" t="n"/>
    </row>
    <row r="127">
      <c r="A127" s="2" t="n">
        <v>2</v>
      </c>
      <c r="B127" s="15" t="n">
        <v>0.7597222222222222</v>
      </c>
      <c r="C127" s="21" t="inlineStr">
        <is>
          <t>5v5</t>
        </is>
      </c>
      <c r="Y127" s="16" t="inlineStr">
        <is>
          <t>D</t>
        </is>
      </c>
      <c r="Z127" s="16" t="inlineStr">
        <is>
          <t>22DAL</t>
        </is>
      </c>
      <c r="AA127" s="16" t="inlineStr">
        <is>
          <t>11COL</t>
        </is>
      </c>
      <c r="AC127" s="16" t="inlineStr">
        <is>
          <t>L</t>
        </is>
      </c>
      <c r="AD127" s="16" t="inlineStr">
        <is>
          <t>49DAL</t>
        </is>
      </c>
      <c r="AE127" s="16" t="inlineStr">
        <is>
          <t>Y</t>
        </is>
      </c>
      <c r="AF127" s="5" t="inlineStr">
        <is>
          <t>49DAL</t>
        </is>
      </c>
      <c r="AG127" s="5" t="inlineStr">
        <is>
          <t>PEX</t>
        </is>
      </c>
      <c r="AK127" s="7" t="n"/>
      <c r="AL127" s="7" t="n"/>
    </row>
    <row r="128">
      <c r="A128" s="2" t="n">
        <v>2</v>
      </c>
      <c r="B128" s="15" t="n">
        <v>0.7569444444444444</v>
      </c>
      <c r="C128" s="21" t="inlineStr">
        <is>
          <t>5v5</t>
        </is>
      </c>
      <c r="AF128" s="5" t="inlineStr">
        <is>
          <t>42COL</t>
        </is>
      </c>
      <c r="AG128" s="5" t="inlineStr">
        <is>
          <t>BOT</t>
        </is>
      </c>
      <c r="AH128" s="5" t="inlineStr">
        <is>
          <t>49DAL</t>
        </is>
      </c>
      <c r="AK128" s="7" t="n"/>
      <c r="AL128" s="7" t="n"/>
    </row>
    <row r="129">
      <c r="A129" s="2" t="n">
        <v>2</v>
      </c>
      <c r="B129" s="15" t="n">
        <v>0.7506944444444444</v>
      </c>
      <c r="C129" s="21" t="inlineStr">
        <is>
          <t>5v5</t>
        </is>
      </c>
      <c r="AF129" s="5" t="inlineStr">
        <is>
          <t>6DAL</t>
        </is>
      </c>
      <c r="AG129" s="5" t="inlineStr">
        <is>
          <t>EXC</t>
        </is>
      </c>
      <c r="AH129" s="5" t="inlineStr">
        <is>
          <t>27COL</t>
        </is>
      </c>
      <c r="AI129" s="5" t="inlineStr">
        <is>
          <t>14DAL</t>
        </is>
      </c>
      <c r="AJ129" s="5" t="inlineStr">
        <is>
          <t>MEX</t>
        </is>
      </c>
      <c r="AK129" s="7" t="n"/>
      <c r="AL129" s="7" t="n"/>
    </row>
    <row r="130">
      <c r="A130" s="2" t="n">
        <v>2</v>
      </c>
      <c r="B130" s="15" t="n">
        <v>0.7444444444444445</v>
      </c>
      <c r="C130" s="21" t="inlineStr">
        <is>
          <t>5v5</t>
        </is>
      </c>
      <c r="AF130" s="5" t="inlineStr">
        <is>
          <t>29DAL</t>
        </is>
      </c>
      <c r="AG130" s="5" t="inlineStr">
        <is>
          <t>EXC</t>
        </is>
      </c>
      <c r="AH130" s="5" t="inlineStr">
        <is>
          <t>N</t>
        </is>
      </c>
      <c r="AI130" s="5" t="inlineStr">
        <is>
          <t>18DAL</t>
        </is>
      </c>
      <c r="AJ130" s="5" t="inlineStr">
        <is>
          <t>MEX</t>
        </is>
      </c>
      <c r="AK130" s="7" t="n"/>
      <c r="AL130" s="7" t="n"/>
    </row>
    <row r="131">
      <c r="A131" s="2" t="n">
        <v>2</v>
      </c>
      <c r="B131" s="15" t="n">
        <v>0.7291666666666666</v>
      </c>
      <c r="C131" s="21" t="inlineStr">
        <is>
          <t>5v5</t>
        </is>
      </c>
      <c r="AF131" s="5" t="inlineStr">
        <is>
          <t>84COL</t>
        </is>
      </c>
      <c r="AG131" s="5" t="inlineStr">
        <is>
          <t>EXC</t>
        </is>
      </c>
      <c r="AH131" s="5" t="inlineStr">
        <is>
          <t>N</t>
        </is>
      </c>
      <c r="AI131" s="5" t="inlineStr">
        <is>
          <t>42COL</t>
        </is>
      </c>
      <c r="AJ131" s="5" t="inlineStr">
        <is>
          <t>CLE</t>
        </is>
      </c>
      <c r="AK131" s="7" t="n"/>
      <c r="AL131" s="7" t="n"/>
    </row>
    <row r="132">
      <c r="A132" s="2" t="n">
        <v>2</v>
      </c>
      <c r="B132" s="15" t="n">
        <v>0.71875</v>
      </c>
      <c r="C132" s="21" t="inlineStr">
        <is>
          <t>5v5</t>
        </is>
      </c>
      <c r="Y132" s="16" t="inlineStr">
        <is>
          <t>D</t>
        </is>
      </c>
      <c r="Z132" s="16" t="inlineStr">
        <is>
          <t>93COL</t>
        </is>
      </c>
      <c r="AA132" s="16" t="inlineStr">
        <is>
          <t>N</t>
        </is>
      </c>
      <c r="AC132" s="16" t="inlineStr">
        <is>
          <t>L</t>
        </is>
      </c>
      <c r="AD132" s="16" t="inlineStr">
        <is>
          <t>N</t>
        </is>
      </c>
      <c r="AE132" s="16" t="inlineStr">
        <is>
          <t>N</t>
        </is>
      </c>
      <c r="AF132" s="5" t="inlineStr">
        <is>
          <t>29DAL</t>
        </is>
      </c>
      <c r="AG132" s="5" t="inlineStr">
        <is>
          <t>EXC</t>
        </is>
      </c>
      <c r="AH132" s="5" t="inlineStr">
        <is>
          <t>N</t>
        </is>
      </c>
      <c r="AI132" s="5" t="inlineStr">
        <is>
          <t>15DAL</t>
        </is>
      </c>
      <c r="AJ132" s="5" t="inlineStr">
        <is>
          <t>PEX</t>
        </is>
      </c>
      <c r="AK132" s="7" t="n"/>
      <c r="AL132" s="7" t="n"/>
    </row>
    <row r="133">
      <c r="A133" s="2" t="n">
        <v>2</v>
      </c>
      <c r="B133" s="15" t="n">
        <v>0.7097222222222223</v>
      </c>
      <c r="C133" s="21" t="inlineStr">
        <is>
          <t>5v5</t>
        </is>
      </c>
      <c r="Y133" s="16" t="inlineStr">
        <is>
          <t>D</t>
        </is>
      </c>
      <c r="Z133" s="16" t="inlineStr">
        <is>
          <t>6DAL</t>
        </is>
      </c>
      <c r="AA133" s="16" t="inlineStr">
        <is>
          <t>N</t>
        </is>
      </c>
      <c r="AB133" s="16" t="inlineStr">
        <is>
          <t>N</t>
        </is>
      </c>
      <c r="AC133" s="16" t="inlineStr">
        <is>
          <t>L</t>
        </is>
      </c>
      <c r="AD133" s="16" t="inlineStr">
        <is>
          <t>15DAL</t>
        </is>
      </c>
      <c r="AE133" s="16" t="inlineStr">
        <is>
          <t>N</t>
        </is>
      </c>
      <c r="AK133" s="7" t="n"/>
      <c r="AL133" s="7" t="n"/>
    </row>
    <row r="134">
      <c r="A134" s="2" t="n">
        <v>2</v>
      </c>
      <c r="B134" s="15" t="n">
        <v>0.6944444444444444</v>
      </c>
      <c r="C134" s="21" t="inlineStr">
        <is>
          <t>5v5</t>
        </is>
      </c>
      <c r="Y134" s="16" t="inlineStr">
        <is>
          <t>C</t>
        </is>
      </c>
      <c r="Z134" s="16" t="inlineStr">
        <is>
          <t>88COL</t>
        </is>
      </c>
      <c r="AA134" s="16" t="inlineStr">
        <is>
          <t>4DAL</t>
        </is>
      </c>
      <c r="AB134" s="16" t="inlineStr">
        <is>
          <t>Y</t>
        </is>
      </c>
      <c r="AC134" s="16" t="inlineStr">
        <is>
          <t>L</t>
        </is>
      </c>
      <c r="AD134" s="16" t="inlineStr">
        <is>
          <t>N</t>
        </is>
      </c>
      <c r="AE134" s="16" t="inlineStr">
        <is>
          <t>Y</t>
        </is>
      </c>
      <c r="AF134" s="5" t="inlineStr">
        <is>
          <t>23DAL</t>
        </is>
      </c>
      <c r="AG134" s="5" t="inlineStr">
        <is>
          <t>FEX</t>
        </is>
      </c>
      <c r="AK134" s="7" t="n"/>
      <c r="AL134" s="7" t="n"/>
    </row>
    <row r="135">
      <c r="A135" s="2" t="n">
        <v>2</v>
      </c>
      <c r="B135" s="15" t="n">
        <v>0.6798611111111111</v>
      </c>
      <c r="C135" s="21" t="inlineStr">
        <is>
          <t>5v5</t>
        </is>
      </c>
      <c r="Y135" s="16" t="inlineStr">
        <is>
          <t>D</t>
        </is>
      </c>
      <c r="Z135" s="16" t="inlineStr">
        <is>
          <t>21DAL</t>
        </is>
      </c>
      <c r="AA135" s="16" t="inlineStr">
        <is>
          <t>N</t>
        </is>
      </c>
      <c r="AC135" s="16" t="inlineStr">
        <is>
          <t>L</t>
        </is>
      </c>
      <c r="AD135" s="16" t="inlineStr">
        <is>
          <t>21DAL</t>
        </is>
      </c>
      <c r="AE135" s="16" t="inlineStr">
        <is>
          <t>N</t>
        </is>
      </c>
      <c r="AF135" s="5" t="inlineStr">
        <is>
          <t>23DAL</t>
        </is>
      </c>
      <c r="AG135" s="5" t="inlineStr">
        <is>
          <t>PEX</t>
        </is>
      </c>
      <c r="AK135" s="7" t="n"/>
      <c r="AL135" s="7" t="n"/>
    </row>
    <row r="136">
      <c r="A136" s="2" t="n">
        <v>2</v>
      </c>
      <c r="B136" s="15" t="n">
        <v>0.6701388888888888</v>
      </c>
      <c r="C136" s="21" t="inlineStr">
        <is>
          <t>5v5</t>
        </is>
      </c>
      <c r="Y136" s="16" t="inlineStr">
        <is>
          <t>F</t>
        </is>
      </c>
      <c r="Z136" s="16" t="inlineStr">
        <is>
          <t>88COL</t>
        </is>
      </c>
      <c r="AA136" s="16" t="inlineStr">
        <is>
          <t>23DAL</t>
        </is>
      </c>
      <c r="AC136" s="16" t="inlineStr">
        <is>
          <t>R</t>
        </is>
      </c>
      <c r="AD136" s="16" t="inlineStr">
        <is>
          <t>N</t>
        </is>
      </c>
      <c r="AE136" s="16" t="inlineStr">
        <is>
          <t>N</t>
        </is>
      </c>
      <c r="AK136" s="7" t="n"/>
      <c r="AL136" s="7" t="n"/>
    </row>
    <row r="137">
      <c r="A137" s="2" t="n">
        <v>2</v>
      </c>
      <c r="B137" s="15" t="n">
        <v>0.65625</v>
      </c>
      <c r="C137" s="21" t="inlineStr">
        <is>
          <t>5v5</t>
        </is>
      </c>
      <c r="Y137" s="16" t="inlineStr">
        <is>
          <t>D</t>
        </is>
      </c>
      <c r="Z137" s="16" t="inlineStr">
        <is>
          <t>73DAL</t>
        </is>
      </c>
      <c r="AA137" s="16" t="inlineStr">
        <is>
          <t>7COL</t>
        </is>
      </c>
      <c r="AC137" s="16" t="inlineStr">
        <is>
          <t>L</t>
        </is>
      </c>
      <c r="AD137" s="16" t="inlineStr">
        <is>
          <t>N</t>
        </is>
      </c>
      <c r="AE137" s="16" t="inlineStr">
        <is>
          <t>Y</t>
        </is>
      </c>
      <c r="AF137" s="5" t="inlineStr">
        <is>
          <t>27COL</t>
        </is>
      </c>
      <c r="AG137" s="5" t="inlineStr">
        <is>
          <t>FEX</t>
        </is>
      </c>
      <c r="AK137" s="7" t="n"/>
      <c r="AL137" s="7" t="n"/>
    </row>
    <row r="138">
      <c r="A138" s="2" t="n">
        <v>2</v>
      </c>
      <c r="B138" s="15" t="n">
        <v>0.6527777777777778</v>
      </c>
      <c r="C138" s="21" t="inlineStr">
        <is>
          <t>5v5</t>
        </is>
      </c>
      <c r="Y138" s="16" t="inlineStr">
        <is>
          <t>D</t>
        </is>
      </c>
      <c r="Z138" s="16" t="inlineStr">
        <is>
          <t>13COL</t>
        </is>
      </c>
      <c r="AA138" s="16" t="inlineStr">
        <is>
          <t>5DAL</t>
        </is>
      </c>
      <c r="AC138" s="16" t="inlineStr">
        <is>
          <t>L</t>
        </is>
      </c>
      <c r="AD138" s="16" t="inlineStr">
        <is>
          <t>N</t>
        </is>
      </c>
      <c r="AE138" s="16" t="inlineStr">
        <is>
          <t>N</t>
        </is>
      </c>
      <c r="AF138" s="5" t="inlineStr">
        <is>
          <t>13COL</t>
        </is>
      </c>
      <c r="AG138" s="5" t="inlineStr">
        <is>
          <t>CEX</t>
        </is>
      </c>
      <c r="AK138" s="7" t="n"/>
      <c r="AL138" s="7" t="n"/>
    </row>
    <row r="139">
      <c r="A139" s="2" t="n">
        <v>2</v>
      </c>
      <c r="B139" s="15" t="n">
        <v>0.6423611111111112</v>
      </c>
      <c r="C139" s="21" t="inlineStr">
        <is>
          <t>5v5</t>
        </is>
      </c>
      <c r="AF139" s="5" t="inlineStr">
        <is>
          <t>55DAL</t>
        </is>
      </c>
      <c r="AG139" s="5" t="inlineStr">
        <is>
          <t>FEX</t>
        </is>
      </c>
      <c r="AK139" s="7" t="n"/>
      <c r="AL139" s="7" t="n"/>
    </row>
    <row r="140">
      <c r="A140" s="2" t="n">
        <v>2</v>
      </c>
      <c r="B140" s="15" t="n">
        <v>0.6319444444444444</v>
      </c>
      <c r="C140" s="21" t="inlineStr">
        <is>
          <t>5v5</t>
        </is>
      </c>
      <c r="Y140" s="16" t="inlineStr">
        <is>
          <t>C</t>
        </is>
      </c>
      <c r="Z140" s="16" t="inlineStr">
        <is>
          <t>5DAL</t>
        </is>
      </c>
      <c r="AA140" s="16" t="inlineStr">
        <is>
          <t>27COL</t>
        </is>
      </c>
      <c r="AB140" s="16" t="inlineStr">
        <is>
          <t>N</t>
        </is>
      </c>
      <c r="AC140" s="16" t="inlineStr">
        <is>
          <t>R</t>
        </is>
      </c>
      <c r="AD140" s="16" t="inlineStr">
        <is>
          <t>N</t>
        </is>
      </c>
      <c r="AE140" s="16" t="inlineStr">
        <is>
          <t>N</t>
        </is>
      </c>
      <c r="AF140" s="5" t="inlineStr">
        <is>
          <t>55DAL</t>
        </is>
      </c>
      <c r="AG140" s="5" t="inlineStr">
        <is>
          <t>PEX</t>
        </is>
      </c>
      <c r="AK140" s="7" t="n"/>
      <c r="AL140" s="7" t="n"/>
    </row>
    <row r="141">
      <c r="A141" s="2" t="n">
        <v>2</v>
      </c>
      <c r="B141" s="15" t="n">
        <v>0.6256944444444444</v>
      </c>
      <c r="C141" s="21" t="inlineStr">
        <is>
          <t>5v5</t>
        </is>
      </c>
      <c r="AF141" s="5" t="inlineStr">
        <is>
          <t>70COL</t>
        </is>
      </c>
      <c r="AG141" s="5" t="inlineStr">
        <is>
          <t>FEX</t>
        </is>
      </c>
      <c r="AK141" s="7" t="n"/>
      <c r="AL141" s="7" t="n"/>
    </row>
    <row r="142">
      <c r="A142" s="2" t="n">
        <v>2</v>
      </c>
      <c r="B142" s="15" t="n">
        <v>0.6173611111111111</v>
      </c>
      <c r="C142" s="21" t="inlineStr">
        <is>
          <t>5v5</t>
        </is>
      </c>
      <c r="Y142" s="16" t="inlineStr">
        <is>
          <t>D</t>
        </is>
      </c>
      <c r="Z142" s="16" t="inlineStr">
        <is>
          <t>54COL</t>
        </is>
      </c>
      <c r="AA142" s="16" t="inlineStr">
        <is>
          <t>N</t>
        </is>
      </c>
      <c r="AC142" s="16" t="inlineStr">
        <is>
          <t>R</t>
        </is>
      </c>
      <c r="AD142" s="16" t="inlineStr">
        <is>
          <t>N</t>
        </is>
      </c>
      <c r="AE142" s="16" t="inlineStr">
        <is>
          <t>N</t>
        </is>
      </c>
      <c r="AF142" s="5" t="inlineStr">
        <is>
          <t>27COL</t>
        </is>
      </c>
      <c r="AG142" s="5" t="inlineStr">
        <is>
          <t>EXC</t>
        </is>
      </c>
      <c r="AH142" s="5" t="inlineStr">
        <is>
          <t>N</t>
        </is>
      </c>
      <c r="AI142" s="5" t="inlineStr">
        <is>
          <t>70COL</t>
        </is>
      </c>
      <c r="AJ142" s="5" t="inlineStr">
        <is>
          <t>PEX</t>
        </is>
      </c>
      <c r="AK142" s="7" t="n"/>
      <c r="AL142" s="7" t="n"/>
    </row>
    <row r="143">
      <c r="A143" s="2" t="n">
        <v>2</v>
      </c>
      <c r="B143" s="15" t="n">
        <v>0.6076388888888888</v>
      </c>
      <c r="C143" s="21" t="inlineStr">
        <is>
          <t>5v5</t>
        </is>
      </c>
      <c r="AF143" s="5" t="inlineStr">
        <is>
          <t>46DAL</t>
        </is>
      </c>
      <c r="AG143" s="5" t="inlineStr">
        <is>
          <t>EXC</t>
        </is>
      </c>
      <c r="AH143" s="5" t="inlineStr">
        <is>
          <t>N</t>
        </is>
      </c>
      <c r="AI143" s="5" t="inlineStr">
        <is>
          <t>6DAL</t>
        </is>
      </c>
      <c r="AJ143" s="5" t="inlineStr">
        <is>
          <t>CEX</t>
        </is>
      </c>
      <c r="AK143" s="7" t="n"/>
      <c r="AL143" s="7" t="n"/>
    </row>
    <row r="144">
      <c r="A144" s="2" t="n">
        <v>2</v>
      </c>
      <c r="B144" s="15" t="n">
        <v>0.6027777777777777</v>
      </c>
      <c r="C144" s="21" t="inlineStr">
        <is>
          <t>5v5</t>
        </is>
      </c>
      <c r="Y144" s="16" t="inlineStr">
        <is>
          <t>C</t>
        </is>
      </c>
      <c r="Z144" s="16" t="inlineStr">
        <is>
          <t>14DAL</t>
        </is>
      </c>
      <c r="AA144" s="16" t="inlineStr">
        <is>
          <t>84COL</t>
        </is>
      </c>
      <c r="AB144" s="16" t="inlineStr">
        <is>
          <t>Y</t>
        </is>
      </c>
      <c r="AC144" s="16" t="inlineStr">
        <is>
          <t>L</t>
        </is>
      </c>
      <c r="AD144" s="16" t="inlineStr">
        <is>
          <t>N</t>
        </is>
      </c>
      <c r="AE144" s="16" t="inlineStr">
        <is>
          <t>Y</t>
        </is>
      </c>
      <c r="AF144" s="5" t="inlineStr">
        <is>
          <t>17COL</t>
        </is>
      </c>
      <c r="AG144" s="5" t="inlineStr">
        <is>
          <t>FEX</t>
        </is>
      </c>
      <c r="AH144" s="5" t="inlineStr">
        <is>
          <t>95DAL</t>
        </is>
      </c>
      <c r="AK144" s="7" t="n"/>
      <c r="AL144" s="7" t="n"/>
    </row>
    <row r="145">
      <c r="A145" s="2" t="n">
        <v>2</v>
      </c>
      <c r="B145" s="15" t="n">
        <v>0.59375</v>
      </c>
      <c r="C145" s="21" t="inlineStr">
        <is>
          <t>5v5</t>
        </is>
      </c>
      <c r="Y145" s="16" t="inlineStr">
        <is>
          <t>C</t>
        </is>
      </c>
      <c r="Z145" s="16" t="inlineStr">
        <is>
          <t>10COL</t>
        </is>
      </c>
      <c r="AA145" s="16" t="inlineStr">
        <is>
          <t>4DAL</t>
        </is>
      </c>
      <c r="AB145" s="16" t="inlineStr">
        <is>
          <t>Y</t>
        </is>
      </c>
      <c r="AC145" s="16" t="inlineStr">
        <is>
          <t>R</t>
        </is>
      </c>
      <c r="AD145" s="16" t="inlineStr">
        <is>
          <t>N</t>
        </is>
      </c>
      <c r="AE145" s="16" t="inlineStr">
        <is>
          <t>N</t>
        </is>
      </c>
      <c r="AF145" s="5" t="inlineStr">
        <is>
          <t>84COL</t>
        </is>
      </c>
      <c r="AG145" s="5" t="inlineStr">
        <is>
          <t>MEX</t>
        </is>
      </c>
      <c r="AK145" s="7" t="n"/>
      <c r="AL145" s="7" t="n"/>
    </row>
    <row r="146">
      <c r="A146" s="2" t="n">
        <v>2</v>
      </c>
      <c r="B146" s="15" t="n">
        <v>0.58125</v>
      </c>
      <c r="C146" s="21" t="inlineStr">
        <is>
          <t>5v5</t>
        </is>
      </c>
      <c r="Y146" s="16" t="inlineStr">
        <is>
          <t>D</t>
        </is>
      </c>
      <c r="Z146" s="16" t="inlineStr">
        <is>
          <t>15DAL</t>
        </is>
      </c>
      <c r="AA146" s="16" t="inlineStr">
        <is>
          <t>84COL</t>
        </is>
      </c>
      <c r="AC146" s="16" t="inlineStr">
        <is>
          <t>L</t>
        </is>
      </c>
      <c r="AD146" s="16" t="inlineStr">
        <is>
          <t>15DAL</t>
        </is>
      </c>
      <c r="AE146" s="16" t="inlineStr">
        <is>
          <t>N</t>
        </is>
      </c>
      <c r="AF146" s="5" t="inlineStr">
        <is>
          <t>15DAL</t>
        </is>
      </c>
      <c r="AG146" s="5" t="inlineStr">
        <is>
          <t>CEX</t>
        </is>
      </c>
      <c r="AK146" s="7" t="n"/>
      <c r="AL146" s="7" t="n"/>
    </row>
    <row r="147">
      <c r="A147" s="2" t="n">
        <v>2</v>
      </c>
      <c r="B147" s="15" t="n">
        <v>0.5722222222222222</v>
      </c>
      <c r="C147" s="21" t="inlineStr">
        <is>
          <t>5v5</t>
        </is>
      </c>
      <c r="Y147" s="16" t="inlineStr">
        <is>
          <t>F</t>
        </is>
      </c>
      <c r="Z147" s="16" t="inlineStr">
        <is>
          <t>29COL</t>
        </is>
      </c>
      <c r="AA147" s="16" t="inlineStr">
        <is>
          <t>N</t>
        </is>
      </c>
      <c r="AB147" s="16" t="inlineStr">
        <is>
          <t>N</t>
        </is>
      </c>
      <c r="AC147" s="16" t="inlineStr">
        <is>
          <t>C</t>
        </is>
      </c>
      <c r="AD147" s="16" t="inlineStr">
        <is>
          <t>N</t>
        </is>
      </c>
      <c r="AE147" s="16" t="inlineStr">
        <is>
          <t>N</t>
        </is>
      </c>
      <c r="AF147" s="5" t="inlineStr">
        <is>
          <t>42COL</t>
        </is>
      </c>
      <c r="AG147" s="5" t="inlineStr">
        <is>
          <t>PEX</t>
        </is>
      </c>
      <c r="AH147" s="5" t="inlineStr">
        <is>
          <t>11DAL</t>
        </is>
      </c>
      <c r="AK147" s="7" t="n"/>
      <c r="AL147" s="7" t="n"/>
    </row>
    <row r="148">
      <c r="A148" s="2" t="n">
        <v>2</v>
      </c>
      <c r="B148" s="15" t="n">
        <v>0.5555555555555556</v>
      </c>
      <c r="C148" s="21" t="inlineStr">
        <is>
          <t>5v5</t>
        </is>
      </c>
      <c r="Y148" s="16" t="inlineStr">
        <is>
          <t>C</t>
        </is>
      </c>
      <c r="Z148" s="16" t="inlineStr">
        <is>
          <t>7COL</t>
        </is>
      </c>
      <c r="AA148" s="16" t="inlineStr">
        <is>
          <t>4DAL</t>
        </is>
      </c>
      <c r="AB148" s="16" t="inlineStr">
        <is>
          <t>Y</t>
        </is>
      </c>
      <c r="AC148" s="16" t="inlineStr">
        <is>
          <t>C</t>
        </is>
      </c>
      <c r="AD148" s="16" t="inlineStr">
        <is>
          <t>N</t>
        </is>
      </c>
      <c r="AE148" s="16" t="inlineStr">
        <is>
          <t>N</t>
        </is>
      </c>
      <c r="AK148" s="7" t="n"/>
      <c r="AL148" s="7" t="n"/>
    </row>
    <row r="149">
      <c r="A149" s="2" t="n">
        <v>2</v>
      </c>
      <c r="B149" s="15" t="n">
        <v>0.5270833333333333</v>
      </c>
      <c r="C149" s="21" t="inlineStr">
        <is>
          <t>5v5</t>
        </is>
      </c>
      <c r="Y149" s="16" t="inlineStr">
        <is>
          <t>X</t>
        </is>
      </c>
      <c r="Z149" s="16" t="inlineStr">
        <is>
          <t>DAL</t>
        </is>
      </c>
      <c r="AD149" s="16" t="inlineStr">
        <is>
          <t>24DAL</t>
        </is>
      </c>
      <c r="AF149" s="5" t="inlineStr">
        <is>
          <t>21DAL</t>
        </is>
      </c>
      <c r="AG149" s="5" t="inlineStr">
        <is>
          <t>CLE</t>
        </is>
      </c>
      <c r="AK149" s="7" t="n"/>
      <c r="AL149" s="7" t="n"/>
    </row>
    <row r="150">
      <c r="A150" s="2" t="n">
        <v>2</v>
      </c>
      <c r="B150" s="15" t="n">
        <v>0.5104166666666666</v>
      </c>
      <c r="C150" s="21" t="inlineStr">
        <is>
          <t>5v5</t>
        </is>
      </c>
      <c r="Y150" s="16" t="inlineStr">
        <is>
          <t>C</t>
        </is>
      </c>
      <c r="Z150" s="16" t="inlineStr">
        <is>
          <t>92COL</t>
        </is>
      </c>
      <c r="AA150" s="16" t="inlineStr">
        <is>
          <t>4DAL</t>
        </is>
      </c>
      <c r="AB150" s="16" t="inlineStr">
        <is>
          <t>N</t>
        </is>
      </c>
      <c r="AC150" s="16" t="inlineStr">
        <is>
          <t>L</t>
        </is>
      </c>
      <c r="AD150" s="16" t="inlineStr">
        <is>
          <t>N</t>
        </is>
      </c>
      <c r="AE150" s="16" t="inlineStr">
        <is>
          <t>N</t>
        </is>
      </c>
      <c r="AF150" s="5" t="inlineStr">
        <is>
          <t>7COL</t>
        </is>
      </c>
      <c r="AG150" s="5" t="inlineStr">
        <is>
          <t>EXC</t>
        </is>
      </c>
      <c r="AH150" s="5" t="inlineStr">
        <is>
          <t>N</t>
        </is>
      </c>
      <c r="AI150" s="5" t="inlineStr">
        <is>
          <t>8COL</t>
        </is>
      </c>
      <c r="AJ150" s="5" t="inlineStr">
        <is>
          <t>PEX</t>
        </is>
      </c>
      <c r="AK150" s="7" t="n"/>
      <c r="AL150" s="7" t="n"/>
    </row>
    <row r="151">
      <c r="A151" s="2" t="n">
        <v>2</v>
      </c>
      <c r="B151" s="15" t="n">
        <v>0.5048611111111111</v>
      </c>
      <c r="C151" s="21" t="inlineStr">
        <is>
          <t>5v5</t>
        </is>
      </c>
      <c r="Y151" s="16" t="inlineStr">
        <is>
          <t>C</t>
        </is>
      </c>
      <c r="Z151" s="16" t="inlineStr">
        <is>
          <t>92COL</t>
        </is>
      </c>
      <c r="AA151" s="16" t="inlineStr">
        <is>
          <t>23DAL</t>
        </is>
      </c>
      <c r="AB151" s="16" t="inlineStr">
        <is>
          <t>Y</t>
        </is>
      </c>
      <c r="AC151" s="16" t="inlineStr">
        <is>
          <t>C</t>
        </is>
      </c>
      <c r="AD151" s="16" t="inlineStr">
        <is>
          <t>N</t>
        </is>
      </c>
      <c r="AE151" s="16" t="inlineStr">
        <is>
          <t>Y</t>
        </is>
      </c>
      <c r="AF151" s="5" t="inlineStr">
        <is>
          <t>4DAL</t>
        </is>
      </c>
      <c r="AG151" s="5" t="inlineStr">
        <is>
          <t>MEX</t>
        </is>
      </c>
      <c r="AK151" s="7" t="n"/>
      <c r="AL151" s="7" t="n"/>
    </row>
    <row r="152">
      <c r="A152" s="2" t="n">
        <v>2</v>
      </c>
      <c r="B152" s="15" t="n">
        <v>0.4791666666666667</v>
      </c>
      <c r="C152" s="21" t="inlineStr">
        <is>
          <t>4v5</t>
        </is>
      </c>
      <c r="Y152" s="16" t="inlineStr">
        <is>
          <t>C</t>
        </is>
      </c>
      <c r="Z152" s="16" t="inlineStr">
        <is>
          <t>49DAL</t>
        </is>
      </c>
      <c r="AK152" s="7" t="n"/>
      <c r="AL152" s="7" t="n"/>
    </row>
    <row r="153">
      <c r="A153" s="2" t="n">
        <v>2</v>
      </c>
      <c r="B153" s="15" t="n">
        <v>0.4743055555555555</v>
      </c>
      <c r="C153" s="21" t="inlineStr">
        <is>
          <t>5v4</t>
        </is>
      </c>
      <c r="Y153" s="16" t="inlineStr">
        <is>
          <t>C</t>
        </is>
      </c>
      <c r="Z153" s="16" t="inlineStr">
        <is>
          <t>29COL</t>
        </is>
      </c>
      <c r="AA153" s="16" t="inlineStr">
        <is>
          <t>4DAL</t>
        </is>
      </c>
      <c r="AB153" s="16" t="inlineStr">
        <is>
          <t>N</t>
        </is>
      </c>
      <c r="AC153" s="16" t="inlineStr">
        <is>
          <t>L</t>
        </is>
      </c>
      <c r="AD153" s="16" t="inlineStr">
        <is>
          <t>N</t>
        </is>
      </c>
      <c r="AE153" s="16" t="inlineStr">
        <is>
          <t>N</t>
        </is>
      </c>
      <c r="AK153" s="7" t="n"/>
      <c r="AL153" s="7" t="n"/>
    </row>
    <row r="154">
      <c r="A154" s="2" t="n">
        <v>2</v>
      </c>
      <c r="B154" s="15" t="n">
        <v>0.4444444444444444</v>
      </c>
      <c r="C154" s="21" t="inlineStr">
        <is>
          <t>5v4</t>
        </is>
      </c>
      <c r="Y154" s="16" t="inlineStr">
        <is>
          <t>F</t>
        </is>
      </c>
      <c r="Z154" s="16" t="inlineStr">
        <is>
          <t>11COL</t>
        </is>
      </c>
      <c r="AA154" s="16" t="inlineStr">
        <is>
          <t>24DAL</t>
        </is>
      </c>
      <c r="AK154" s="7" t="n"/>
      <c r="AL154" s="7" t="n"/>
    </row>
    <row r="155">
      <c r="A155" s="2" t="n">
        <v>2</v>
      </c>
      <c r="B155" s="15" t="n">
        <v>0.4409722222222222</v>
      </c>
      <c r="C155" s="21" t="inlineStr">
        <is>
          <t>4v5</t>
        </is>
      </c>
      <c r="Y155" s="16" t="inlineStr">
        <is>
          <t>C</t>
        </is>
      </c>
      <c r="Z155" s="16" t="inlineStr">
        <is>
          <t>24DAL</t>
        </is>
      </c>
      <c r="AK155" s="7" t="n"/>
      <c r="AL155" s="7" t="n"/>
    </row>
    <row r="156">
      <c r="A156" s="2" t="n">
        <v>2</v>
      </c>
      <c r="B156" s="15" t="n">
        <v>0.4326388888888889</v>
      </c>
      <c r="C156" s="21" t="inlineStr">
        <is>
          <t>5v4</t>
        </is>
      </c>
      <c r="Y156" s="16" t="inlineStr">
        <is>
          <t>C</t>
        </is>
      </c>
      <c r="Z156" s="16" t="inlineStr">
        <is>
          <t>8COL</t>
        </is>
      </c>
      <c r="AA156" s="16" t="inlineStr">
        <is>
          <t>6DAL</t>
        </is>
      </c>
      <c r="AB156" s="16" t="inlineStr">
        <is>
          <t>Y</t>
        </is>
      </c>
      <c r="AC156" s="16" t="inlineStr">
        <is>
          <t>R</t>
        </is>
      </c>
      <c r="AD156" s="16" t="inlineStr">
        <is>
          <t>N</t>
        </is>
      </c>
      <c r="AE156" s="16" t="inlineStr">
        <is>
          <t>Y</t>
        </is>
      </c>
      <c r="AK156" s="7" t="n"/>
      <c r="AL156" s="7" t="n"/>
    </row>
    <row r="157">
      <c r="A157" s="2" t="n">
        <v>2</v>
      </c>
      <c r="B157" s="15" t="n">
        <v>0.4152777777777778</v>
      </c>
      <c r="C157" s="21" t="inlineStr">
        <is>
          <t>5v4</t>
        </is>
      </c>
      <c r="Y157" s="16" t="inlineStr">
        <is>
          <t>F</t>
        </is>
      </c>
      <c r="Z157" s="16" t="inlineStr">
        <is>
          <t>54COL</t>
        </is>
      </c>
      <c r="AA157" s="16" t="inlineStr">
        <is>
          <t>N</t>
        </is>
      </c>
      <c r="AB157" s="16" t="inlineStr">
        <is>
          <t>N</t>
        </is>
      </c>
      <c r="AC157" s="16" t="inlineStr">
        <is>
          <t>R</t>
        </is>
      </c>
      <c r="AD157" s="16" t="inlineStr">
        <is>
          <t>N</t>
        </is>
      </c>
      <c r="AE157" s="16" t="inlineStr">
        <is>
          <t>N</t>
        </is>
      </c>
      <c r="AK157" s="7" t="n"/>
      <c r="AL157" s="7" t="n"/>
    </row>
    <row r="158">
      <c r="A158" s="2" t="n">
        <v>2</v>
      </c>
      <c r="B158" s="15" t="n">
        <v>0.40625</v>
      </c>
      <c r="C158" s="21" t="inlineStr">
        <is>
          <t>5v5</t>
        </is>
      </c>
      <c r="Y158" s="16" t="inlineStr">
        <is>
          <t>D</t>
        </is>
      </c>
      <c r="Z158" s="16" t="inlineStr">
        <is>
          <t>84COL</t>
        </is>
      </c>
      <c r="AA158" s="16" t="inlineStr">
        <is>
          <t>N</t>
        </is>
      </c>
      <c r="AC158" s="16" t="inlineStr">
        <is>
          <t>C</t>
        </is>
      </c>
      <c r="AD158" s="16" t="inlineStr">
        <is>
          <t>N</t>
        </is>
      </c>
      <c r="AE158" s="16" t="inlineStr">
        <is>
          <t>N</t>
        </is>
      </c>
      <c r="AF158" s="5" t="inlineStr">
        <is>
          <t>55DAL</t>
        </is>
      </c>
      <c r="AG158" s="5" t="inlineStr">
        <is>
          <t>EXC</t>
        </is>
      </c>
      <c r="AH158" s="5" t="inlineStr">
        <is>
          <t>N</t>
        </is>
      </c>
      <c r="AI158" s="5" t="inlineStr">
        <is>
          <t>6DAL</t>
        </is>
      </c>
      <c r="AJ158" s="5" t="inlineStr">
        <is>
          <t>MEX</t>
        </is>
      </c>
      <c r="AK158" s="7" t="n"/>
      <c r="AL158" s="7" t="n"/>
    </row>
    <row r="159">
      <c r="A159" s="2" t="n">
        <v>2</v>
      </c>
      <c r="B159" s="15" t="n">
        <v>0.3944444444444444</v>
      </c>
      <c r="C159" s="21" t="inlineStr">
        <is>
          <t>5v5</t>
        </is>
      </c>
      <c r="Y159" s="16" t="inlineStr">
        <is>
          <t>C</t>
        </is>
      </c>
      <c r="Z159" s="16" t="inlineStr">
        <is>
          <t>13COL</t>
        </is>
      </c>
      <c r="AA159" s="16" t="inlineStr">
        <is>
          <t>55DAL</t>
        </is>
      </c>
      <c r="AB159" s="16" t="inlineStr">
        <is>
          <t>N</t>
        </is>
      </c>
      <c r="AC159" s="16" t="inlineStr">
        <is>
          <t>L</t>
        </is>
      </c>
      <c r="AD159" s="16" t="inlineStr">
        <is>
          <t>N</t>
        </is>
      </c>
      <c r="AE159" s="16" t="inlineStr">
        <is>
          <t>N</t>
        </is>
      </c>
      <c r="AF159" s="5" t="inlineStr">
        <is>
          <t>55DAL</t>
        </is>
      </c>
      <c r="AG159" s="5" t="inlineStr">
        <is>
          <t>EXC</t>
        </is>
      </c>
      <c r="AH159" s="5" t="inlineStr">
        <is>
          <t>18COL</t>
        </is>
      </c>
      <c r="AI159" s="5" t="inlineStr">
        <is>
          <t>18DAL</t>
        </is>
      </c>
      <c r="AJ159" s="5" t="inlineStr">
        <is>
          <t>PEX</t>
        </is>
      </c>
      <c r="AK159" s="7" t="n"/>
      <c r="AL159" s="7" t="n"/>
    </row>
    <row r="160">
      <c r="A160" s="2" t="n">
        <v>2</v>
      </c>
      <c r="B160" s="15" t="n">
        <v>0.3854166666666667</v>
      </c>
      <c r="C160" s="21" t="inlineStr">
        <is>
          <t>5v5</t>
        </is>
      </c>
      <c r="Y160" s="16" t="inlineStr">
        <is>
          <t>D</t>
        </is>
      </c>
      <c r="Z160" s="16" t="inlineStr">
        <is>
          <t>95DAL</t>
        </is>
      </c>
      <c r="AA160" s="16" t="inlineStr">
        <is>
          <t>27COL</t>
        </is>
      </c>
      <c r="AC160" s="16" t="inlineStr">
        <is>
          <t>R</t>
        </is>
      </c>
      <c r="AD160" s="16" t="inlineStr">
        <is>
          <t>N</t>
        </is>
      </c>
      <c r="AE160" s="16" t="inlineStr">
        <is>
          <t>N</t>
        </is>
      </c>
      <c r="AF160" s="5" t="inlineStr">
        <is>
          <t>13COL</t>
        </is>
      </c>
      <c r="AG160" s="5" t="inlineStr">
        <is>
          <t>EXC</t>
        </is>
      </c>
      <c r="AH160" s="5" t="inlineStr">
        <is>
          <t>N</t>
        </is>
      </c>
      <c r="AI160" s="5" t="inlineStr">
        <is>
          <t>10COL</t>
        </is>
      </c>
      <c r="AJ160" s="5" t="inlineStr">
        <is>
          <t>MEX</t>
        </is>
      </c>
      <c r="AK160" s="7" t="n"/>
      <c r="AL160" s="7" t="n"/>
    </row>
    <row r="161">
      <c r="A161" s="2" t="n">
        <v>2</v>
      </c>
      <c r="B161" s="15" t="n">
        <v>0.36875</v>
      </c>
      <c r="C161" s="21" t="inlineStr">
        <is>
          <t>5v5</t>
        </is>
      </c>
      <c r="Y161" s="16" t="inlineStr">
        <is>
          <t>D</t>
        </is>
      </c>
      <c r="Z161" s="16" t="inlineStr">
        <is>
          <t>18DAL</t>
        </is>
      </c>
      <c r="AA161" s="16" t="inlineStr">
        <is>
          <t>N</t>
        </is>
      </c>
      <c r="AC161" s="16" t="inlineStr">
        <is>
          <t>R</t>
        </is>
      </c>
      <c r="AD161" s="16" t="inlineStr">
        <is>
          <t>N</t>
        </is>
      </c>
      <c r="AE161" s="16" t="inlineStr">
        <is>
          <t>N</t>
        </is>
      </c>
      <c r="AF161" s="5" t="inlineStr">
        <is>
          <t>42COL</t>
        </is>
      </c>
      <c r="AG161" s="5" t="inlineStr">
        <is>
          <t>EXC</t>
        </is>
      </c>
      <c r="AH161" s="5" t="inlineStr">
        <is>
          <t>95DAL</t>
        </is>
      </c>
      <c r="AI161" s="5" t="inlineStr">
        <is>
          <t>17COL</t>
        </is>
      </c>
      <c r="AJ161" s="5" t="inlineStr">
        <is>
          <t>FEX</t>
        </is>
      </c>
      <c r="AK161" s="7" t="n"/>
      <c r="AL161" s="7" t="n"/>
    </row>
    <row r="162">
      <c r="A162" s="2" t="n">
        <v>2</v>
      </c>
      <c r="B162" s="15" t="n">
        <v>0.3555555555555556</v>
      </c>
      <c r="C162" s="21" t="inlineStr">
        <is>
          <t>5v5</t>
        </is>
      </c>
      <c r="AF162" s="5" t="inlineStr">
        <is>
          <t>8COL</t>
        </is>
      </c>
      <c r="AG162" s="5" t="inlineStr">
        <is>
          <t>CLE</t>
        </is>
      </c>
      <c r="AK162" s="7" t="n"/>
      <c r="AL162" s="7" t="n"/>
    </row>
    <row r="163">
      <c r="A163" s="2" t="n">
        <v>2</v>
      </c>
      <c r="B163" s="15" t="n">
        <v>0.3527777777777778</v>
      </c>
      <c r="C163" s="21" t="inlineStr">
        <is>
          <t>5v5</t>
        </is>
      </c>
      <c r="Y163" s="16" t="inlineStr">
        <is>
          <t>X</t>
        </is>
      </c>
      <c r="Z163" s="16" t="inlineStr">
        <is>
          <t>COL</t>
        </is>
      </c>
      <c r="AD163" s="16" t="inlineStr">
        <is>
          <t>13COL</t>
        </is>
      </c>
      <c r="AF163" s="5" t="inlineStr">
        <is>
          <t>4DAL</t>
        </is>
      </c>
      <c r="AG163" s="5" t="inlineStr">
        <is>
          <t>FEX</t>
        </is>
      </c>
      <c r="AH163" s="5" t="inlineStr">
        <is>
          <t>29COL</t>
        </is>
      </c>
      <c r="AK163" s="7" t="n"/>
      <c r="AL163" s="7" t="n"/>
    </row>
    <row r="164">
      <c r="A164" s="2" t="n">
        <v>2</v>
      </c>
      <c r="B164" s="15" t="n">
        <v>0.3159722222222222</v>
      </c>
      <c r="C164" s="21" t="inlineStr">
        <is>
          <t>5v5</t>
        </is>
      </c>
      <c r="Y164" s="16" t="inlineStr">
        <is>
          <t>D</t>
        </is>
      </c>
      <c r="Z164" s="16" t="inlineStr">
        <is>
          <t>7COL</t>
        </is>
      </c>
      <c r="AA164" s="16" t="inlineStr">
        <is>
          <t>N</t>
        </is>
      </c>
      <c r="AC164" s="16" t="inlineStr">
        <is>
          <t>L</t>
        </is>
      </c>
      <c r="AD164" s="16" t="inlineStr">
        <is>
          <t>N</t>
        </is>
      </c>
      <c r="AE164" s="16" t="inlineStr">
        <is>
          <t>N</t>
        </is>
      </c>
      <c r="AF164" s="5" t="inlineStr">
        <is>
          <t>4DAL</t>
        </is>
      </c>
      <c r="AG164" s="5" t="inlineStr">
        <is>
          <t>BOT</t>
        </is>
      </c>
      <c r="AH164" s="5" t="inlineStr">
        <is>
          <t>10COL</t>
        </is>
      </c>
      <c r="AK164" s="7" t="n"/>
      <c r="AL164" s="7" t="n"/>
    </row>
    <row r="165">
      <c r="A165" s="2" t="n">
        <v>2</v>
      </c>
      <c r="B165" s="15" t="n">
        <v>0.2965277777777778</v>
      </c>
      <c r="C165" s="21" t="inlineStr">
        <is>
          <t>5v5</t>
        </is>
      </c>
      <c r="Y165" s="16" t="inlineStr">
        <is>
          <t>C</t>
        </is>
      </c>
      <c r="Z165" s="16" t="inlineStr">
        <is>
          <t>27COL</t>
        </is>
      </c>
      <c r="AA165" s="16" t="inlineStr">
        <is>
          <t>23DAL</t>
        </is>
      </c>
      <c r="AB165" s="16" t="inlineStr">
        <is>
          <t>N</t>
        </is>
      </c>
      <c r="AC165" s="16" t="inlineStr">
        <is>
          <t>R</t>
        </is>
      </c>
      <c r="AD165" s="16" t="inlineStr">
        <is>
          <t>N</t>
        </is>
      </c>
      <c r="AE165" s="16" t="inlineStr">
        <is>
          <t>N</t>
        </is>
      </c>
      <c r="AF165" s="5" t="inlineStr">
        <is>
          <t>23DAL</t>
        </is>
      </c>
      <c r="AG165" s="5" t="inlineStr">
        <is>
          <t>EXC</t>
        </is>
      </c>
      <c r="AH165" s="5" t="inlineStr">
        <is>
          <t>70COL</t>
        </is>
      </c>
      <c r="AI165" s="5" t="inlineStr">
        <is>
          <t>24DAL</t>
        </is>
      </c>
      <c r="AJ165" s="5" t="inlineStr">
        <is>
          <t>MEX</t>
        </is>
      </c>
      <c r="AK165" s="7" t="n"/>
      <c r="AL165" s="7" t="n"/>
    </row>
    <row r="166">
      <c r="A166" s="2" t="n">
        <v>2</v>
      </c>
      <c r="B166" s="15" t="n">
        <v>0.2777777777777778</v>
      </c>
      <c r="C166" s="21" t="inlineStr">
        <is>
          <t>5v5</t>
        </is>
      </c>
      <c r="Y166" s="16" t="inlineStr">
        <is>
          <t>D</t>
        </is>
      </c>
      <c r="Z166" s="16" t="inlineStr">
        <is>
          <t>73DAL</t>
        </is>
      </c>
      <c r="AA166" s="16" t="inlineStr">
        <is>
          <t>N</t>
        </is>
      </c>
      <c r="AC166" s="16" t="inlineStr">
        <is>
          <t>R</t>
        </is>
      </c>
      <c r="AD166" s="16" t="inlineStr">
        <is>
          <t>N</t>
        </is>
      </c>
      <c r="AE166" s="16" t="inlineStr">
        <is>
          <t>N</t>
        </is>
      </c>
      <c r="AF166" s="5" t="inlineStr">
        <is>
          <t>41COL</t>
        </is>
      </c>
      <c r="AG166" s="5" t="inlineStr">
        <is>
          <t>EXC</t>
        </is>
      </c>
      <c r="AH166" s="5" t="inlineStr">
        <is>
          <t>N</t>
        </is>
      </c>
      <c r="AI166" s="5" t="inlineStr">
        <is>
          <t>27COL</t>
        </is>
      </c>
      <c r="AJ166" s="5" t="inlineStr">
        <is>
          <t>PEX</t>
        </is>
      </c>
      <c r="AK166" s="7" t="n"/>
      <c r="AL166" s="7" t="n"/>
    </row>
    <row r="167">
      <c r="A167" s="2" t="n">
        <v>2</v>
      </c>
      <c r="B167" s="15" t="n">
        <v>0.2701388888888889</v>
      </c>
      <c r="C167" s="21" t="inlineStr">
        <is>
          <t>5v5</t>
        </is>
      </c>
      <c r="Y167" s="16" t="inlineStr">
        <is>
          <t>C</t>
        </is>
      </c>
      <c r="Z167" s="16" t="inlineStr">
        <is>
          <t>17COL</t>
        </is>
      </c>
      <c r="AA167" s="16" t="inlineStr">
        <is>
          <t>5DAL</t>
        </is>
      </c>
      <c r="AB167" s="16" t="inlineStr">
        <is>
          <t>N</t>
        </is>
      </c>
      <c r="AC167" s="16" t="inlineStr">
        <is>
          <t>C</t>
        </is>
      </c>
      <c r="AD167" s="16" t="inlineStr">
        <is>
          <t>N</t>
        </is>
      </c>
      <c r="AE167" s="16" t="inlineStr">
        <is>
          <t>N</t>
        </is>
      </c>
      <c r="AK167" s="7" t="n"/>
      <c r="AL167" s="7" t="n"/>
    </row>
    <row r="168">
      <c r="A168" s="2" t="n">
        <v>2</v>
      </c>
      <c r="B168" s="15" t="n">
        <v>0.2569444444444444</v>
      </c>
      <c r="C168" s="21" t="inlineStr">
        <is>
          <t>5v5</t>
        </is>
      </c>
      <c r="Y168" s="16" t="inlineStr">
        <is>
          <t>D</t>
        </is>
      </c>
      <c r="Z168" s="16" t="inlineStr">
        <is>
          <t>5DAL</t>
        </is>
      </c>
      <c r="AA168" s="16" t="inlineStr">
        <is>
          <t>N</t>
        </is>
      </c>
      <c r="AC168" s="16" t="inlineStr">
        <is>
          <t>R</t>
        </is>
      </c>
      <c r="AD168" s="16" t="inlineStr">
        <is>
          <t>N</t>
        </is>
      </c>
      <c r="AE168" s="16" t="inlineStr">
        <is>
          <t>N</t>
        </is>
      </c>
      <c r="AF168" s="5" t="inlineStr">
        <is>
          <t>84COL</t>
        </is>
      </c>
      <c r="AG168" s="5" t="inlineStr">
        <is>
          <t>FEX</t>
        </is>
      </c>
      <c r="AH168" s="5" t="inlineStr">
        <is>
          <t>10DAL</t>
        </is>
      </c>
      <c r="AK168" s="7" t="n"/>
      <c r="AL168" s="7" t="n"/>
    </row>
    <row r="169">
      <c r="A169" s="2" t="n">
        <v>2</v>
      </c>
      <c r="B169" s="15" t="n">
        <v>0.2409722222222222</v>
      </c>
      <c r="C169" s="21" t="inlineStr">
        <is>
          <t>5v5</t>
        </is>
      </c>
      <c r="Y169" s="16" t="inlineStr">
        <is>
          <t>D</t>
        </is>
      </c>
      <c r="Z169" s="16" t="inlineStr">
        <is>
          <t>11DAL</t>
        </is>
      </c>
      <c r="AA169" s="16" t="inlineStr">
        <is>
          <t>N</t>
        </is>
      </c>
      <c r="AC169" s="16" t="inlineStr">
        <is>
          <t>R</t>
        </is>
      </c>
      <c r="AD169" s="16" t="inlineStr">
        <is>
          <t>N</t>
        </is>
      </c>
      <c r="AE169" s="16" t="inlineStr">
        <is>
          <t>N</t>
        </is>
      </c>
      <c r="AF169" s="5" t="inlineStr">
        <is>
          <t>18COL</t>
        </is>
      </c>
      <c r="AG169" s="5" t="inlineStr">
        <is>
          <t>MEX</t>
        </is>
      </c>
      <c r="AH169" s="5" t="inlineStr">
        <is>
          <t>11DAL</t>
        </is>
      </c>
      <c r="AK169" s="7" t="n"/>
      <c r="AL169" s="7" t="n"/>
    </row>
    <row r="170">
      <c r="A170" s="2" t="n">
        <v>2</v>
      </c>
      <c r="B170" s="15" t="n">
        <v>0.2291666666666667</v>
      </c>
      <c r="C170" s="21" t="inlineStr">
        <is>
          <t>5v5</t>
        </is>
      </c>
      <c r="Y170" s="16" t="inlineStr">
        <is>
          <t>C</t>
        </is>
      </c>
      <c r="Z170" s="16" t="inlineStr">
        <is>
          <t>24DAL</t>
        </is>
      </c>
      <c r="AA170" s="16" t="inlineStr">
        <is>
          <t>84COL</t>
        </is>
      </c>
      <c r="AB170" s="16" t="inlineStr">
        <is>
          <t>N</t>
        </is>
      </c>
      <c r="AC170" s="16" t="inlineStr">
        <is>
          <t>L</t>
        </is>
      </c>
      <c r="AD170" s="16" t="inlineStr">
        <is>
          <t>N</t>
        </is>
      </c>
      <c r="AE170" s="16" t="inlineStr">
        <is>
          <t>N</t>
        </is>
      </c>
      <c r="AF170" s="5" t="inlineStr">
        <is>
          <t>92COL</t>
        </is>
      </c>
      <c r="AG170" s="5" t="inlineStr">
        <is>
          <t>CEX</t>
        </is>
      </c>
      <c r="AK170" s="7" t="n"/>
      <c r="AL170" s="7" t="n"/>
    </row>
    <row r="171">
      <c r="A171" s="2" t="n">
        <v>2</v>
      </c>
      <c r="B171" s="15" t="n">
        <v>0.2173611111111111</v>
      </c>
      <c r="C171" s="21" t="inlineStr">
        <is>
          <t>5v5</t>
        </is>
      </c>
      <c r="Y171" s="16" t="inlineStr">
        <is>
          <t>D</t>
        </is>
      </c>
      <c r="Z171" s="16" t="inlineStr">
        <is>
          <t>95DAL</t>
        </is>
      </c>
      <c r="AA171" s="16" t="inlineStr">
        <is>
          <t>7COL</t>
        </is>
      </c>
      <c r="AC171" s="16" t="inlineStr">
        <is>
          <t>R</t>
        </is>
      </c>
      <c r="AD171" s="16" t="inlineStr">
        <is>
          <t>N</t>
        </is>
      </c>
      <c r="AE171" s="16" t="inlineStr">
        <is>
          <t>N</t>
        </is>
      </c>
      <c r="AF171" s="5" t="inlineStr">
        <is>
          <t>29COL</t>
        </is>
      </c>
      <c r="AG171" s="5" t="inlineStr">
        <is>
          <t>EXC</t>
        </is>
      </c>
      <c r="AH171" s="5" t="inlineStr">
        <is>
          <t>N</t>
        </is>
      </c>
      <c r="AI171" s="5" t="inlineStr">
        <is>
          <t>88COL</t>
        </is>
      </c>
      <c r="AJ171" s="5" t="inlineStr">
        <is>
          <t>PEX</t>
        </is>
      </c>
      <c r="AK171" s="7" t="n"/>
      <c r="AL171" s="7" t="n"/>
    </row>
    <row r="172">
      <c r="A172" s="2" t="n">
        <v>2</v>
      </c>
      <c r="B172" s="15" t="n">
        <v>0.20625</v>
      </c>
      <c r="C172" s="21" t="inlineStr">
        <is>
          <t>5v5</t>
        </is>
      </c>
      <c r="Y172" s="16" t="inlineStr">
        <is>
          <t>C</t>
        </is>
      </c>
      <c r="Z172" s="16" t="inlineStr">
        <is>
          <t>29COL</t>
        </is>
      </c>
      <c r="AA172" s="16" t="inlineStr">
        <is>
          <t>23DAL</t>
        </is>
      </c>
      <c r="AB172" s="16" t="inlineStr">
        <is>
          <t>N</t>
        </is>
      </c>
      <c r="AC172" s="16" t="inlineStr">
        <is>
          <t>R</t>
        </is>
      </c>
      <c r="AD172" s="16" t="inlineStr">
        <is>
          <t>N</t>
        </is>
      </c>
      <c r="AE172" s="16" t="inlineStr">
        <is>
          <t>N</t>
        </is>
      </c>
      <c r="AF172" s="5" t="inlineStr">
        <is>
          <t>23DAL</t>
        </is>
      </c>
      <c r="AG172" s="5" t="inlineStr">
        <is>
          <t>CLE</t>
        </is>
      </c>
      <c r="AK172" s="7" t="n"/>
      <c r="AL172" s="7" t="n"/>
    </row>
    <row r="173">
      <c r="A173" s="2" t="n">
        <v>2</v>
      </c>
      <c r="B173" s="15" t="n">
        <v>0.1909722222222222</v>
      </c>
      <c r="C173" s="21" t="inlineStr">
        <is>
          <t>5v5</t>
        </is>
      </c>
      <c r="Y173" s="16" t="inlineStr">
        <is>
          <t>D</t>
        </is>
      </c>
      <c r="Z173" s="16" t="inlineStr">
        <is>
          <t>7COL</t>
        </is>
      </c>
      <c r="AA173" s="16" t="inlineStr">
        <is>
          <t>N</t>
        </is>
      </c>
      <c r="AC173" s="16" t="inlineStr">
        <is>
          <t>L</t>
        </is>
      </c>
      <c r="AD173" s="16" t="inlineStr">
        <is>
          <t>29COL</t>
        </is>
      </c>
      <c r="AE173" s="16" t="inlineStr">
        <is>
          <t>N</t>
        </is>
      </c>
      <c r="AK173" s="7" t="n"/>
      <c r="AL173" s="7" t="n"/>
    </row>
    <row r="174">
      <c r="A174" s="2" t="n">
        <v>2</v>
      </c>
      <c r="B174" s="15" t="n">
        <v>0.1680555555555556</v>
      </c>
      <c r="C174" s="21" t="inlineStr">
        <is>
          <t>5v5</t>
        </is>
      </c>
      <c r="Y174" s="16" t="inlineStr">
        <is>
          <t>F</t>
        </is>
      </c>
      <c r="Z174" s="16" t="inlineStr">
        <is>
          <t>13COL</t>
        </is>
      </c>
      <c r="AA174" s="16" t="inlineStr">
        <is>
          <t>55DAL</t>
        </is>
      </c>
      <c r="AC174" s="16" t="inlineStr">
        <is>
          <t>R</t>
        </is>
      </c>
      <c r="AD174" s="16" t="inlineStr">
        <is>
          <t>N</t>
        </is>
      </c>
      <c r="AE174" s="16" t="inlineStr">
        <is>
          <t>N</t>
        </is>
      </c>
      <c r="AK174" s="7" t="n"/>
      <c r="AL174" s="7" t="n"/>
    </row>
    <row r="175">
      <c r="A175" s="2" t="n">
        <v>2</v>
      </c>
      <c r="B175" s="15" t="n">
        <v>0.1645833333333333</v>
      </c>
      <c r="C175" s="21" t="inlineStr">
        <is>
          <t>5v5</t>
        </is>
      </c>
      <c r="Y175" s="16" t="inlineStr">
        <is>
          <t>D</t>
        </is>
      </c>
      <c r="Z175" s="16" t="inlineStr">
        <is>
          <t>27COL</t>
        </is>
      </c>
      <c r="AA175" s="16" t="inlineStr">
        <is>
          <t>N</t>
        </is>
      </c>
      <c r="AC175" s="16" t="inlineStr">
        <is>
          <t>L</t>
        </is>
      </c>
      <c r="AD175" s="16" t="inlineStr">
        <is>
          <t>N</t>
        </is>
      </c>
      <c r="AE175" s="16" t="inlineStr">
        <is>
          <t>N</t>
        </is>
      </c>
      <c r="AF175" s="5" t="inlineStr">
        <is>
          <t>29DAL</t>
        </is>
      </c>
      <c r="AG175" s="5" t="inlineStr">
        <is>
          <t>EXC</t>
        </is>
      </c>
      <c r="AH175" s="5" t="inlineStr">
        <is>
          <t>N</t>
        </is>
      </c>
      <c r="AI175" s="5" t="inlineStr">
        <is>
          <t>22DAL</t>
        </is>
      </c>
      <c r="AJ175" s="5" t="inlineStr">
        <is>
          <t>PEX</t>
        </is>
      </c>
      <c r="AK175" s="7" t="n"/>
      <c r="AL175" s="7" t="n"/>
    </row>
    <row r="176">
      <c r="A176" s="2" t="n">
        <v>2</v>
      </c>
      <c r="B176" s="15" t="n">
        <v>0.1583333333333333</v>
      </c>
      <c r="C176" s="21" t="inlineStr">
        <is>
          <t>5v5</t>
        </is>
      </c>
      <c r="Y176" s="16" t="inlineStr">
        <is>
          <t>D</t>
        </is>
      </c>
      <c r="Z176" s="16" t="inlineStr">
        <is>
          <t>73DAL</t>
        </is>
      </c>
      <c r="AA176" s="16" t="inlineStr">
        <is>
          <t>70COL</t>
        </is>
      </c>
      <c r="AC176" s="16" t="inlineStr">
        <is>
          <t>R</t>
        </is>
      </c>
      <c r="AD176" s="16" t="inlineStr">
        <is>
          <t>N</t>
        </is>
      </c>
      <c r="AE176" s="16" t="inlineStr">
        <is>
          <t>N</t>
        </is>
      </c>
      <c r="AF176" s="5" t="inlineStr">
        <is>
          <t>70COL</t>
        </is>
      </c>
      <c r="AG176" s="5" t="inlineStr">
        <is>
          <t>EXC</t>
        </is>
      </c>
      <c r="AH176" s="5" t="inlineStr">
        <is>
          <t>N</t>
        </is>
      </c>
      <c r="AI176" s="5" t="inlineStr">
        <is>
          <t>70COL</t>
        </is>
      </c>
      <c r="AJ176" s="5" t="inlineStr">
        <is>
          <t>MEX</t>
        </is>
      </c>
      <c r="AK176" s="7" t="n"/>
      <c r="AL176" s="7" t="n"/>
    </row>
    <row r="177">
      <c r="A177" s="2" t="n">
        <v>2</v>
      </c>
      <c r="B177" s="15" t="n">
        <v>0.1368055555555556</v>
      </c>
      <c r="C177" s="21" t="inlineStr">
        <is>
          <t>5v5</t>
        </is>
      </c>
      <c r="Y177" s="16" t="inlineStr">
        <is>
          <t>D</t>
        </is>
      </c>
      <c r="Z177" s="16" t="inlineStr">
        <is>
          <t>49DAL</t>
        </is>
      </c>
      <c r="AA177" s="16" t="inlineStr">
        <is>
          <t>N</t>
        </is>
      </c>
      <c r="AC177" s="16" t="inlineStr">
        <is>
          <t>R</t>
        </is>
      </c>
      <c r="AD177" s="16" t="inlineStr">
        <is>
          <t>N</t>
        </is>
      </c>
      <c r="AE177" s="16" t="inlineStr">
        <is>
          <t>N</t>
        </is>
      </c>
      <c r="AF177" s="5" t="inlineStr">
        <is>
          <t>70COL</t>
        </is>
      </c>
      <c r="AG177" s="5" t="inlineStr">
        <is>
          <t>CLE</t>
        </is>
      </c>
      <c r="AK177" s="7" t="n"/>
      <c r="AL177" s="7" t="n"/>
    </row>
    <row r="178">
      <c r="A178" s="2" t="n">
        <v>2</v>
      </c>
      <c r="B178" s="15" t="n">
        <v>0.1305555555555556</v>
      </c>
      <c r="C178" s="21" t="inlineStr">
        <is>
          <t>5v5</t>
        </is>
      </c>
      <c r="Y178" s="16" t="inlineStr">
        <is>
          <t>D</t>
        </is>
      </c>
      <c r="Z178" s="16" t="inlineStr">
        <is>
          <t>18DAL</t>
        </is>
      </c>
      <c r="AA178" s="16" t="inlineStr">
        <is>
          <t>N</t>
        </is>
      </c>
      <c r="AC178" s="16" t="inlineStr">
        <is>
          <t>L</t>
        </is>
      </c>
      <c r="AD178" s="16" t="inlineStr">
        <is>
          <t>14DAL</t>
        </is>
      </c>
      <c r="AE178" s="16" t="inlineStr">
        <is>
          <t>N</t>
        </is>
      </c>
      <c r="AF178" s="5" t="inlineStr">
        <is>
          <t>54COL</t>
        </is>
      </c>
      <c r="AG178" s="5" t="inlineStr">
        <is>
          <t>MEX</t>
        </is>
      </c>
      <c r="AH178" s="5" t="inlineStr">
        <is>
          <t>95DAL</t>
        </is>
      </c>
      <c r="AK178" s="7" t="n"/>
      <c r="AL178" s="7" t="n"/>
    </row>
    <row r="179">
      <c r="A179" s="2" t="n">
        <v>2</v>
      </c>
      <c r="B179" s="15" t="n">
        <v>0.1118055555555556</v>
      </c>
      <c r="C179" s="21" t="inlineStr">
        <is>
          <t>5v5</t>
        </is>
      </c>
      <c r="Y179" s="16" t="inlineStr">
        <is>
          <t>D</t>
        </is>
      </c>
      <c r="Z179" s="16" t="inlineStr">
        <is>
          <t>54COL</t>
        </is>
      </c>
      <c r="AA179" s="16" t="inlineStr">
        <is>
          <t>46DAL</t>
        </is>
      </c>
      <c r="AC179" s="16" t="inlineStr">
        <is>
          <t>L</t>
        </is>
      </c>
      <c r="AD179" s="16" t="inlineStr">
        <is>
          <t>94COL</t>
        </is>
      </c>
      <c r="AE179" s="16" t="inlineStr">
        <is>
          <t>Y</t>
        </is>
      </c>
      <c r="AF179" s="5" t="inlineStr">
        <is>
          <t>49DAL</t>
        </is>
      </c>
      <c r="AG179" s="5" t="inlineStr">
        <is>
          <t>EXC</t>
        </is>
      </c>
      <c r="AH179" s="5" t="inlineStr">
        <is>
          <t>N</t>
        </is>
      </c>
      <c r="AI179" s="5" t="inlineStr">
        <is>
          <t>21DAL</t>
        </is>
      </c>
      <c r="AJ179" s="5" t="inlineStr">
        <is>
          <t>PEX</t>
        </is>
      </c>
      <c r="AK179" s="7" t="n"/>
      <c r="AL179" s="7" t="n"/>
    </row>
    <row r="180">
      <c r="A180" s="2" t="n">
        <v>2</v>
      </c>
      <c r="B180" s="15" t="n">
        <v>0.07708333333333334</v>
      </c>
      <c r="C180" s="21" t="inlineStr">
        <is>
          <t>5v5</t>
        </is>
      </c>
      <c r="Y180" s="16" t="inlineStr">
        <is>
          <t>C</t>
        </is>
      </c>
      <c r="Z180" s="16" t="inlineStr">
        <is>
          <t>49DAL</t>
        </is>
      </c>
      <c r="AA180" s="16" t="inlineStr">
        <is>
          <t>8COL</t>
        </is>
      </c>
      <c r="AB180" s="16" t="inlineStr">
        <is>
          <t>N</t>
        </is>
      </c>
      <c r="AC180" s="16" t="inlineStr">
        <is>
          <t>C</t>
        </is>
      </c>
      <c r="AD180" s="16" t="inlineStr">
        <is>
          <t>N</t>
        </is>
      </c>
      <c r="AE180" s="16" t="inlineStr">
        <is>
          <t>Y</t>
        </is>
      </c>
      <c r="AF180" s="5" t="inlineStr">
        <is>
          <t>88COL</t>
        </is>
      </c>
      <c r="AG180" s="5" t="inlineStr">
        <is>
          <t>EXC</t>
        </is>
      </c>
      <c r="AH180" s="5" t="inlineStr">
        <is>
          <t>21DAL</t>
        </is>
      </c>
      <c r="AI180" s="5" t="inlineStr">
        <is>
          <t>88COL</t>
        </is>
      </c>
      <c r="AJ180" s="5" t="inlineStr">
        <is>
          <t>PEX</t>
        </is>
      </c>
      <c r="AK180" s="7" t="n"/>
      <c r="AL180" s="7" t="n"/>
    </row>
    <row r="181">
      <c r="A181" s="2" t="n">
        <v>2</v>
      </c>
      <c r="B181" s="15" t="n">
        <v>0.04861111111111111</v>
      </c>
      <c r="C181" s="21" t="inlineStr">
        <is>
          <t>5v5</t>
        </is>
      </c>
      <c r="Y181" s="16" t="inlineStr">
        <is>
          <t>D</t>
        </is>
      </c>
      <c r="Z181" s="16" t="inlineStr">
        <is>
          <t>11DAL</t>
        </is>
      </c>
      <c r="AA181" s="16" t="inlineStr">
        <is>
          <t>N</t>
        </is>
      </c>
      <c r="AC181" s="16" t="inlineStr">
        <is>
          <t>R</t>
        </is>
      </c>
      <c r="AD181" s="16" t="inlineStr">
        <is>
          <t>N</t>
        </is>
      </c>
      <c r="AE181" s="16" t="inlineStr">
        <is>
          <t>N</t>
        </is>
      </c>
      <c r="AF181" s="5" t="inlineStr">
        <is>
          <t>41COL</t>
        </is>
      </c>
      <c r="AG181" s="5" t="inlineStr">
        <is>
          <t>FEX</t>
        </is>
      </c>
      <c r="AK181" s="7" t="n"/>
      <c r="AL181" s="7" t="n"/>
    </row>
    <row r="182">
      <c r="A182" s="2" t="n">
        <v>2</v>
      </c>
      <c r="B182" s="15" t="n">
        <v>0.03541666666666667</v>
      </c>
      <c r="C182" s="21" t="inlineStr">
        <is>
          <t>5v5</t>
        </is>
      </c>
      <c r="AF182" s="5" t="inlineStr">
        <is>
          <t>17COL</t>
        </is>
      </c>
      <c r="AG182" s="5" t="inlineStr">
        <is>
          <t>CEX</t>
        </is>
      </c>
      <c r="AK182" s="7" t="n"/>
      <c r="AL182" s="7" t="n"/>
    </row>
    <row r="183">
      <c r="A183" s="2" t="n">
        <v>2</v>
      </c>
      <c r="B183" s="15" t="n">
        <v>0.02777777777777778</v>
      </c>
      <c r="C183" s="21" t="inlineStr">
        <is>
          <t>5v5</t>
        </is>
      </c>
      <c r="Y183" s="16" t="inlineStr">
        <is>
          <t>D</t>
        </is>
      </c>
      <c r="Z183" s="16" t="inlineStr">
        <is>
          <t>42COL</t>
        </is>
      </c>
      <c r="AA183" s="16" t="inlineStr">
        <is>
          <t>N</t>
        </is>
      </c>
      <c r="AC183" s="16" t="inlineStr">
        <is>
          <t>L</t>
        </is>
      </c>
      <c r="AD183" s="16" t="inlineStr">
        <is>
          <t>20COL</t>
        </is>
      </c>
      <c r="AE183" s="16" t="inlineStr">
        <is>
          <t>N</t>
        </is>
      </c>
      <c r="AF183" s="5" t="inlineStr">
        <is>
          <t>18DAL</t>
        </is>
      </c>
      <c r="AG183" s="5" t="inlineStr">
        <is>
          <t>CLE</t>
        </is>
      </c>
      <c r="AK183" s="7" t="n"/>
      <c r="AL183" s="7" t="n"/>
    </row>
    <row r="184">
      <c r="A184" s="2" t="n">
        <v>2</v>
      </c>
      <c r="B184" s="15" t="n">
        <v>0.02291666666666667</v>
      </c>
      <c r="C184" s="21" t="inlineStr">
        <is>
          <t>5v5</t>
        </is>
      </c>
      <c r="Y184" s="16" t="inlineStr">
        <is>
          <t>C</t>
        </is>
      </c>
      <c r="Z184" s="16" t="inlineStr">
        <is>
          <t>95DAL</t>
        </is>
      </c>
      <c r="AA184" s="16" t="inlineStr">
        <is>
          <t>84COL</t>
        </is>
      </c>
      <c r="AB184" s="16" t="inlineStr">
        <is>
          <t>N</t>
        </is>
      </c>
      <c r="AC184" s="16" t="inlineStr">
        <is>
          <t>L</t>
        </is>
      </c>
      <c r="AD184" s="16" t="inlineStr">
        <is>
          <t>N</t>
        </is>
      </c>
      <c r="AE184" s="16" t="inlineStr">
        <is>
          <t>N</t>
        </is>
      </c>
      <c r="AK184" s="7" t="n"/>
      <c r="AL184" s="7" t="n"/>
    </row>
    <row r="185">
      <c r="A185" s="2" t="n">
        <v>2</v>
      </c>
      <c r="B185" s="15" t="n">
        <v>0.01319444444444444</v>
      </c>
      <c r="C185" s="21" t="inlineStr">
        <is>
          <t>5v5</t>
        </is>
      </c>
      <c r="Y185" s="16" t="inlineStr">
        <is>
          <t>C</t>
        </is>
      </c>
      <c r="Z185" s="16" t="inlineStr">
        <is>
          <t>95DAL</t>
        </is>
      </c>
      <c r="AA185" s="16" t="inlineStr">
        <is>
          <t>84COL</t>
        </is>
      </c>
      <c r="AB185" s="16" t="inlineStr">
        <is>
          <t>N</t>
        </is>
      </c>
      <c r="AC185" s="16" t="inlineStr">
        <is>
          <t>L</t>
        </is>
      </c>
      <c r="AD185" s="16" t="inlineStr">
        <is>
          <t>N</t>
        </is>
      </c>
      <c r="AE185" s="16" t="inlineStr">
        <is>
          <t>Y</t>
        </is>
      </c>
    </row>
    <row r="186">
      <c r="A186" s="2" t="n">
        <v>3</v>
      </c>
      <c r="B186" s="15" t="n">
        <v>0.76875</v>
      </c>
      <c r="C186" s="21" t="inlineStr">
        <is>
          <t>5v4</t>
        </is>
      </c>
      <c r="Y186" s="16" t="inlineStr">
        <is>
          <t>D</t>
        </is>
      </c>
      <c r="Z186" s="16" t="inlineStr">
        <is>
          <t>55DAL</t>
        </is>
      </c>
      <c r="AA186" s="16" t="inlineStr">
        <is>
          <t>70COL</t>
        </is>
      </c>
      <c r="AB186" s="16" t="inlineStr">
        <is>
          <t>Y</t>
        </is>
      </c>
      <c r="AC186" s="16" t="inlineStr">
        <is>
          <t>L</t>
        </is>
      </c>
      <c r="AD186" s="16" t="inlineStr">
        <is>
          <t>N</t>
        </is>
      </c>
      <c r="AE186" s="16" t="inlineStr">
        <is>
          <t>y</t>
        </is>
      </c>
    </row>
    <row r="187">
      <c r="A187" s="2" t="n">
        <v>3</v>
      </c>
      <c r="B187" s="15" t="n">
        <v>0.74375</v>
      </c>
      <c r="C187" s="21" t="inlineStr">
        <is>
          <t>5v5</t>
        </is>
      </c>
      <c r="Y187" s="16" t="inlineStr">
        <is>
          <t>C</t>
        </is>
      </c>
      <c r="Z187" s="16" t="inlineStr">
        <is>
          <t>49DAL</t>
        </is>
      </c>
      <c r="AA187" s="16" t="inlineStr">
        <is>
          <t>70COL</t>
        </is>
      </c>
      <c r="AB187" s="16" t="inlineStr">
        <is>
          <t>N</t>
        </is>
      </c>
      <c r="AC187" s="16" t="inlineStr">
        <is>
          <t>L</t>
        </is>
      </c>
      <c r="AD187" s="16" t="inlineStr">
        <is>
          <t>N</t>
        </is>
      </c>
      <c r="AE187" s="16" t="inlineStr">
        <is>
          <t>N</t>
        </is>
      </c>
      <c r="AF187" s="5" t="inlineStr">
        <is>
          <t>29COL</t>
        </is>
      </c>
      <c r="AG187" s="5" t="inlineStr">
        <is>
          <t>EXC</t>
        </is>
      </c>
      <c r="AH187" s="5" t="inlineStr">
        <is>
          <t>N</t>
        </is>
      </c>
      <c r="AI187" s="5" t="inlineStr">
        <is>
          <t>70COL</t>
        </is>
      </c>
      <c r="AJ187" s="5" t="inlineStr">
        <is>
          <t>PEX</t>
        </is>
      </c>
    </row>
    <row r="188">
      <c r="A188" s="2" t="n">
        <v>3</v>
      </c>
      <c r="B188" s="15" t="n">
        <v>0.7354166666666667</v>
      </c>
      <c r="C188" s="21" t="inlineStr">
        <is>
          <t>5v5</t>
        </is>
      </c>
      <c r="Y188" s="16" t="inlineStr">
        <is>
          <t>C</t>
        </is>
      </c>
      <c r="Z188" s="16" t="inlineStr">
        <is>
          <t>88COL</t>
        </is>
      </c>
      <c r="AA188" s="16" t="inlineStr">
        <is>
          <t>4DAL</t>
        </is>
      </c>
      <c r="AB188" s="16" t="inlineStr">
        <is>
          <t>N</t>
        </is>
      </c>
      <c r="AC188" s="16" t="inlineStr">
        <is>
          <t>L</t>
        </is>
      </c>
      <c r="AD188" s="16" t="inlineStr">
        <is>
          <t>N</t>
        </is>
      </c>
      <c r="AE188" s="16" t="inlineStr">
        <is>
          <t>N</t>
        </is>
      </c>
    </row>
    <row r="189">
      <c r="A189" s="2" t="n">
        <v>3</v>
      </c>
      <c r="B189" s="15" t="n">
        <v>0.7222222222222222</v>
      </c>
      <c r="C189" s="21" t="inlineStr">
        <is>
          <t>5v5</t>
        </is>
      </c>
      <c r="Y189" s="16" t="inlineStr">
        <is>
          <t>X</t>
        </is>
      </c>
      <c r="Z189" s="16" t="inlineStr">
        <is>
          <t>DAL</t>
        </is>
      </c>
      <c r="AD189" s="16" t="inlineStr">
        <is>
          <t>21DAL</t>
        </is>
      </c>
      <c r="AE189" s="16" t="inlineStr">
        <is>
          <t>Y</t>
        </is>
      </c>
      <c r="AF189" s="5" t="inlineStr">
        <is>
          <t>7COL</t>
        </is>
      </c>
      <c r="AG189" s="5" t="inlineStr">
        <is>
          <t>BOT</t>
        </is>
      </c>
    </row>
    <row r="190">
      <c r="A190" s="2" t="n">
        <v>3</v>
      </c>
      <c r="B190" s="15" t="n">
        <v>0.7131944444444445</v>
      </c>
      <c r="C190" s="21" t="inlineStr">
        <is>
          <t>5v5</t>
        </is>
      </c>
      <c r="AF190" s="5" t="inlineStr">
        <is>
          <t>92COL</t>
        </is>
      </c>
      <c r="AG190" s="5" t="inlineStr">
        <is>
          <t>CEX</t>
        </is>
      </c>
    </row>
    <row r="191">
      <c r="A191" s="2" t="n">
        <v>3</v>
      </c>
      <c r="B191" s="15" t="n">
        <v>0.6979166666666666</v>
      </c>
      <c r="C191" s="21" t="inlineStr">
        <is>
          <t>5v5</t>
        </is>
      </c>
      <c r="Y191" s="16" t="inlineStr">
        <is>
          <t>D</t>
        </is>
      </c>
      <c r="Z191" s="16" t="inlineStr">
        <is>
          <t>20COL</t>
        </is>
      </c>
      <c r="AA191" s="16" t="inlineStr">
        <is>
          <t>N</t>
        </is>
      </c>
      <c r="AC191" s="16" t="inlineStr">
        <is>
          <t>R</t>
        </is>
      </c>
      <c r="AD191" s="16" t="inlineStr">
        <is>
          <t>N</t>
        </is>
      </c>
      <c r="AE191" s="16" t="inlineStr">
        <is>
          <t>N</t>
        </is>
      </c>
      <c r="AF191" s="5" t="inlineStr">
        <is>
          <t>73DAL</t>
        </is>
      </c>
      <c r="AG191" s="5" t="inlineStr">
        <is>
          <t>EXC</t>
        </is>
      </c>
      <c r="AH191" s="5" t="inlineStr">
        <is>
          <t>20COL</t>
        </is>
      </c>
      <c r="AI191" s="5" t="inlineStr">
        <is>
          <t>55DAL</t>
        </is>
      </c>
      <c r="AJ191" s="5" t="inlineStr">
        <is>
          <t>FEX</t>
        </is>
      </c>
    </row>
    <row r="192">
      <c r="A192" s="2" t="n">
        <v>3</v>
      </c>
      <c r="B192" s="15" t="n">
        <v>0.6833333333333333</v>
      </c>
      <c r="C192" s="21" t="inlineStr">
        <is>
          <t>5v5</t>
        </is>
      </c>
      <c r="Y192" s="16" t="inlineStr">
        <is>
          <t>C</t>
        </is>
      </c>
      <c r="Z192" s="16" t="inlineStr">
        <is>
          <t>11COL</t>
        </is>
      </c>
      <c r="AA192" s="16" t="inlineStr">
        <is>
          <t>55DAL</t>
        </is>
      </c>
      <c r="AB192" s="16" t="inlineStr">
        <is>
          <t>N</t>
        </is>
      </c>
      <c r="AC192" s="16" t="inlineStr">
        <is>
          <t>R</t>
        </is>
      </c>
      <c r="AD192" s="16" t="inlineStr">
        <is>
          <t>N</t>
        </is>
      </c>
      <c r="AE192" s="16" t="inlineStr">
        <is>
          <t>N</t>
        </is>
      </c>
      <c r="AF192" s="5" t="inlineStr">
        <is>
          <t>10DAL</t>
        </is>
      </c>
      <c r="AG192" s="5" t="inlineStr">
        <is>
          <t>PEX</t>
        </is>
      </c>
    </row>
    <row r="193">
      <c r="A193" s="2" t="n">
        <v>3</v>
      </c>
      <c r="B193" s="15" t="n">
        <v>0.6770833333333334</v>
      </c>
      <c r="C193" s="21" t="inlineStr">
        <is>
          <t>5v5</t>
        </is>
      </c>
      <c r="Y193" s="16" t="inlineStr">
        <is>
          <t>D</t>
        </is>
      </c>
      <c r="Z193" s="16" t="inlineStr">
        <is>
          <t>11DAL</t>
        </is>
      </c>
      <c r="AA193" s="16" t="inlineStr">
        <is>
          <t>N</t>
        </is>
      </c>
      <c r="AC193" s="16" t="inlineStr">
        <is>
          <t>R</t>
        </is>
      </c>
      <c r="AD193" s="16" t="inlineStr">
        <is>
          <t>N</t>
        </is>
      </c>
      <c r="AE193" s="16" t="inlineStr">
        <is>
          <t>N</t>
        </is>
      </c>
      <c r="AF193" s="5" t="inlineStr">
        <is>
          <t>70COL</t>
        </is>
      </c>
      <c r="AG193" s="5" t="inlineStr">
        <is>
          <t>PEX</t>
        </is>
      </c>
    </row>
    <row r="194">
      <c r="A194" s="2" t="n">
        <v>3</v>
      </c>
      <c r="B194" s="15" t="n">
        <v>0.6618055555555555</v>
      </c>
      <c r="C194" s="21" t="inlineStr">
        <is>
          <t>5v5</t>
        </is>
      </c>
      <c r="Y194" s="16" t="inlineStr">
        <is>
          <t>D</t>
        </is>
      </c>
      <c r="Z194" s="16" t="inlineStr">
        <is>
          <t>93COL</t>
        </is>
      </c>
      <c r="AA194" s="16" t="inlineStr">
        <is>
          <t>N</t>
        </is>
      </c>
      <c r="AC194" s="16" t="inlineStr">
        <is>
          <t>R</t>
        </is>
      </c>
      <c r="AD194" s="16" t="inlineStr">
        <is>
          <t>N</t>
        </is>
      </c>
      <c r="AE194" s="16" t="inlineStr">
        <is>
          <t>N</t>
        </is>
      </c>
      <c r="AF194" s="5" t="inlineStr">
        <is>
          <t>14DAL</t>
        </is>
      </c>
      <c r="AG194" s="5" t="inlineStr">
        <is>
          <t>CEX</t>
        </is>
      </c>
      <c r="AH194" s="5" t="inlineStr">
        <is>
          <t>93COL</t>
        </is>
      </c>
    </row>
    <row r="195">
      <c r="A195" s="2" t="n">
        <v>3</v>
      </c>
      <c r="B195" s="15" t="n">
        <v>0.6493055555555556</v>
      </c>
      <c r="C195" s="21" t="inlineStr">
        <is>
          <t>5v5</t>
        </is>
      </c>
      <c r="Y195" s="16" t="inlineStr">
        <is>
          <t>C</t>
        </is>
      </c>
      <c r="Z195" s="16" t="inlineStr">
        <is>
          <t>95DAL</t>
        </is>
      </c>
      <c r="AA195" s="16" t="inlineStr">
        <is>
          <t>27COL</t>
        </is>
      </c>
      <c r="AB195" s="16" t="inlineStr">
        <is>
          <t>N</t>
        </is>
      </c>
      <c r="AC195" s="16" t="inlineStr">
        <is>
          <t>R</t>
        </is>
      </c>
      <c r="AD195" s="16" t="inlineStr">
        <is>
          <t>N</t>
        </is>
      </c>
      <c r="AE195" s="16" t="inlineStr">
        <is>
          <t>N</t>
        </is>
      </c>
    </row>
    <row r="196">
      <c r="A196" s="2" t="n">
        <v>3</v>
      </c>
      <c r="B196" s="15" t="n">
        <v>0.6354166666666666</v>
      </c>
      <c r="C196" s="21" t="inlineStr">
        <is>
          <t>5v5</t>
        </is>
      </c>
      <c r="Y196" s="16" t="inlineStr">
        <is>
          <t>D</t>
        </is>
      </c>
      <c r="Z196" s="16" t="inlineStr">
        <is>
          <t>15DAL</t>
        </is>
      </c>
      <c r="AA196" s="16" t="inlineStr">
        <is>
          <t>70COL</t>
        </is>
      </c>
      <c r="AC196" s="16" t="inlineStr">
        <is>
          <t>L</t>
        </is>
      </c>
      <c r="AD196" s="16" t="inlineStr">
        <is>
          <t>N</t>
        </is>
      </c>
      <c r="AE196" s="16" t="inlineStr">
        <is>
          <t>N</t>
        </is>
      </c>
      <c r="AF196" s="5" t="inlineStr">
        <is>
          <t>41COL</t>
        </is>
      </c>
      <c r="AG196" s="5" t="inlineStr">
        <is>
          <t>FEX</t>
        </is>
      </c>
      <c r="AH196" s="5" t="inlineStr">
        <is>
          <t>49DAL</t>
        </is>
      </c>
    </row>
    <row r="197">
      <c r="A197" s="2" t="n">
        <v>3</v>
      </c>
      <c r="B197" s="15" t="n">
        <v>0.575</v>
      </c>
      <c r="C197" s="21" t="inlineStr">
        <is>
          <t>5v4</t>
        </is>
      </c>
      <c r="Y197" s="16" t="inlineStr">
        <is>
          <t>C</t>
        </is>
      </c>
      <c r="Z197" s="16" t="inlineStr">
        <is>
          <t>53DAL</t>
        </is>
      </c>
      <c r="AA197" s="16" t="inlineStr">
        <is>
          <t>84COL</t>
        </is>
      </c>
      <c r="AB197" s="16" t="inlineStr">
        <is>
          <t>Y</t>
        </is>
      </c>
      <c r="AC197" s="16" t="inlineStr">
        <is>
          <t>L</t>
        </is>
      </c>
      <c r="AD197" s="16" t="inlineStr">
        <is>
          <t>N</t>
        </is>
      </c>
      <c r="AE197" s="16" t="inlineStr">
        <is>
          <t>Y</t>
        </is>
      </c>
    </row>
    <row r="198">
      <c r="A198" s="2" t="n">
        <v>3</v>
      </c>
      <c r="B198" s="15" t="n">
        <v>0.55625</v>
      </c>
      <c r="C198" s="21" t="inlineStr">
        <is>
          <t>5v4</t>
        </is>
      </c>
      <c r="Y198" s="16" t="inlineStr">
        <is>
          <t>C</t>
        </is>
      </c>
      <c r="Z198" s="16" t="inlineStr">
        <is>
          <t>18DAL</t>
        </is>
      </c>
      <c r="AA198" s="16" t="inlineStr">
        <is>
          <t>42COL</t>
        </is>
      </c>
      <c r="AB198" s="16" t="inlineStr">
        <is>
          <t>N</t>
        </is>
      </c>
      <c r="AC198" s="16" t="inlineStr">
        <is>
          <t>L</t>
        </is>
      </c>
      <c r="AD198" s="16" t="inlineStr">
        <is>
          <t>N</t>
        </is>
      </c>
      <c r="AE198" s="16" t="inlineStr">
        <is>
          <t>N</t>
        </is>
      </c>
    </row>
    <row r="199">
      <c r="A199" s="2" t="n">
        <v>3</v>
      </c>
      <c r="B199" s="15" t="n">
        <v>0.5083333333333333</v>
      </c>
      <c r="C199" s="21" t="inlineStr">
        <is>
          <t>5v4</t>
        </is>
      </c>
      <c r="Y199" s="16" t="inlineStr">
        <is>
          <t>F</t>
        </is>
      </c>
      <c r="Z199" s="16" t="inlineStr">
        <is>
          <t>53DAL</t>
        </is>
      </c>
      <c r="AA199" s="16" t="inlineStr">
        <is>
          <t>8COL</t>
        </is>
      </c>
      <c r="AB199" s="16" t="inlineStr">
        <is>
          <t>N</t>
        </is>
      </c>
      <c r="AC199" s="16" t="inlineStr">
        <is>
          <t>L</t>
        </is>
      </c>
      <c r="AD199" s="16" t="inlineStr">
        <is>
          <t>N</t>
        </is>
      </c>
      <c r="AE199" s="16" t="inlineStr">
        <is>
          <t>N</t>
        </is>
      </c>
    </row>
    <row r="200">
      <c r="A200" s="2" t="n">
        <v>3</v>
      </c>
      <c r="B200" s="15" t="n">
        <v>0.4861111111111111</v>
      </c>
      <c r="C200" s="21" t="inlineStr">
        <is>
          <t>4v5</t>
        </is>
      </c>
      <c r="Y200" s="16" t="inlineStr">
        <is>
          <t>C</t>
        </is>
      </c>
      <c r="Z200" s="16" t="inlineStr">
        <is>
          <t>17COL</t>
        </is>
      </c>
      <c r="AA200" s="16" t="inlineStr">
        <is>
          <t>N</t>
        </is>
      </c>
      <c r="AB200" s="16" t="inlineStr">
        <is>
          <t>N</t>
        </is>
      </c>
      <c r="AC200" s="16" t="inlineStr">
        <is>
          <t>R</t>
        </is>
      </c>
      <c r="AD200" s="16" t="inlineStr">
        <is>
          <t>N</t>
        </is>
      </c>
      <c r="AE200" s="16" t="inlineStr">
        <is>
          <t>N</t>
        </is>
      </c>
    </row>
    <row r="201">
      <c r="A201" s="2" t="n">
        <v>3</v>
      </c>
      <c r="B201" s="15" t="n">
        <v>0.4743055555555555</v>
      </c>
      <c r="C201" s="21" t="inlineStr">
        <is>
          <t>4v5</t>
        </is>
      </c>
      <c r="Y201" s="16" t="inlineStr">
        <is>
          <t>C</t>
        </is>
      </c>
      <c r="Z201" s="16" t="inlineStr">
        <is>
          <t>18COL</t>
        </is>
      </c>
    </row>
    <row r="202">
      <c r="A202" s="2" t="n">
        <v>3</v>
      </c>
      <c r="B202" s="15" t="n">
        <v>0.4652777777777778</v>
      </c>
      <c r="C202" s="21" t="inlineStr">
        <is>
          <t>5v4</t>
        </is>
      </c>
      <c r="Y202" s="16" t="inlineStr">
        <is>
          <t>D</t>
        </is>
      </c>
      <c r="Z202" s="16" t="inlineStr">
        <is>
          <t>22DAL</t>
        </is>
      </c>
      <c r="AA202" s="16" t="inlineStr">
        <is>
          <t>94COL</t>
        </is>
      </c>
      <c r="AB202" s="16" t="inlineStr">
        <is>
          <t>N</t>
        </is>
      </c>
      <c r="AC202" s="16" t="inlineStr">
        <is>
          <t>R</t>
        </is>
      </c>
      <c r="AD202" s="16" t="inlineStr">
        <is>
          <t>N</t>
        </is>
      </c>
      <c r="AE202" s="16" t="inlineStr">
        <is>
          <t>N</t>
        </is>
      </c>
    </row>
    <row r="203">
      <c r="A203" s="2" t="n">
        <v>3</v>
      </c>
      <c r="B203" s="15" t="n">
        <v>0.4569444444444444</v>
      </c>
      <c r="C203" s="21" t="inlineStr">
        <is>
          <t>5v5</t>
        </is>
      </c>
      <c r="Y203" s="16" t="inlineStr">
        <is>
          <t>D</t>
        </is>
      </c>
      <c r="Z203" s="16" t="inlineStr">
        <is>
          <t>55DAL</t>
        </is>
      </c>
      <c r="AA203" s="16" t="inlineStr">
        <is>
          <t>N</t>
        </is>
      </c>
      <c r="AC203" s="16" t="inlineStr">
        <is>
          <t>R</t>
        </is>
      </c>
      <c r="AD203" s="16" t="inlineStr">
        <is>
          <t>N</t>
        </is>
      </c>
      <c r="AE203" s="16" t="inlineStr">
        <is>
          <t>N</t>
        </is>
      </c>
      <c r="AF203" s="5" t="inlineStr">
        <is>
          <t>41COL</t>
        </is>
      </c>
      <c r="AG203" s="5" t="inlineStr">
        <is>
          <t>EXC</t>
        </is>
      </c>
      <c r="AH203" s="5" t="inlineStr">
        <is>
          <t>11DAL</t>
        </is>
      </c>
      <c r="AI203" s="5" t="inlineStr">
        <is>
          <t>27COL</t>
        </is>
      </c>
      <c r="AJ203" s="5" t="inlineStr">
        <is>
          <t>MEX</t>
        </is>
      </c>
    </row>
    <row r="204">
      <c r="A204" s="2" t="n">
        <v>3</v>
      </c>
      <c r="B204" s="15" t="n">
        <v>0.4444444444444444</v>
      </c>
      <c r="C204" s="21" t="inlineStr">
        <is>
          <t>5v5</t>
        </is>
      </c>
      <c r="Y204" s="16" t="inlineStr">
        <is>
          <t>D</t>
        </is>
      </c>
      <c r="Z204" s="16" t="inlineStr">
        <is>
          <t>73DAL</t>
        </is>
      </c>
      <c r="AA204" s="16" t="inlineStr">
        <is>
          <t>70COL</t>
        </is>
      </c>
      <c r="AC204" s="16" t="inlineStr">
        <is>
          <t>L</t>
        </is>
      </c>
      <c r="AD204" s="16" t="inlineStr">
        <is>
          <t>10DAL</t>
        </is>
      </c>
      <c r="AE204" s="16" t="inlineStr">
        <is>
          <t>N</t>
        </is>
      </c>
      <c r="AF204" s="5" t="inlineStr">
        <is>
          <t>29COL</t>
        </is>
      </c>
      <c r="AG204" s="5" t="inlineStr">
        <is>
          <t>PEX</t>
        </is>
      </c>
    </row>
    <row r="205">
      <c r="A205" s="2" t="n">
        <v>3</v>
      </c>
      <c r="B205" s="15" t="n">
        <v>0.4340277777777778</v>
      </c>
      <c r="C205" s="21" t="inlineStr">
        <is>
          <t>5v5</t>
        </is>
      </c>
      <c r="Y205" s="16" t="inlineStr">
        <is>
          <t>C</t>
        </is>
      </c>
      <c r="Z205" s="16" t="inlineStr">
        <is>
          <t>70COL</t>
        </is>
      </c>
      <c r="AA205" s="16" t="inlineStr">
        <is>
          <t>6DAL</t>
        </is>
      </c>
      <c r="AB205" s="16" t="inlineStr">
        <is>
          <t>Y</t>
        </is>
      </c>
      <c r="AC205" s="16" t="inlineStr">
        <is>
          <t>R</t>
        </is>
      </c>
      <c r="AD205" s="16" t="inlineStr">
        <is>
          <t>N</t>
        </is>
      </c>
      <c r="AE205" s="16" t="inlineStr">
        <is>
          <t>N</t>
        </is>
      </c>
      <c r="AF205" s="5" t="inlineStr">
        <is>
          <t>5DAL</t>
        </is>
      </c>
      <c r="AG205" s="5" t="inlineStr">
        <is>
          <t>FEX</t>
        </is>
      </c>
    </row>
    <row r="206">
      <c r="A206" s="2" t="n">
        <v>3</v>
      </c>
      <c r="B206" s="15" t="n">
        <v>0.4236111111111111</v>
      </c>
      <c r="C206" s="21" t="inlineStr">
        <is>
          <t>5v5</t>
        </is>
      </c>
      <c r="AF206" s="5" t="inlineStr">
        <is>
          <t>5DAL</t>
        </is>
      </c>
      <c r="AG206" s="5" t="inlineStr">
        <is>
          <t>EXC</t>
        </is>
      </c>
      <c r="AH206" s="5" t="inlineStr">
        <is>
          <t>N</t>
        </is>
      </c>
      <c r="AI206" s="5" t="inlineStr">
        <is>
          <t>11DAL</t>
        </is>
      </c>
      <c r="AJ206" s="5" t="inlineStr">
        <is>
          <t>CLE</t>
        </is>
      </c>
    </row>
    <row r="207">
      <c r="A207" s="2" t="n">
        <v>3</v>
      </c>
      <c r="B207" s="15" t="n">
        <v>0.4173611111111111</v>
      </c>
      <c r="C207" s="21" t="inlineStr">
        <is>
          <t>5v5</t>
        </is>
      </c>
      <c r="Y207" s="16" t="inlineStr">
        <is>
          <t>C</t>
        </is>
      </c>
      <c r="Z207" s="16" t="inlineStr">
        <is>
          <t>88COL</t>
        </is>
      </c>
      <c r="AA207" s="16" t="inlineStr">
        <is>
          <t>46DAL</t>
        </is>
      </c>
      <c r="AB207" s="16" t="inlineStr">
        <is>
          <t>N</t>
        </is>
      </c>
      <c r="AC207" s="16" t="inlineStr">
        <is>
          <t>L</t>
        </is>
      </c>
      <c r="AD207" s="16" t="inlineStr">
        <is>
          <t>N</t>
        </is>
      </c>
      <c r="AE207" s="16" t="inlineStr">
        <is>
          <t>N</t>
        </is>
      </c>
    </row>
    <row r="208">
      <c r="A208" s="2" t="n">
        <v>3</v>
      </c>
      <c r="B208" s="15" t="n">
        <v>0.4041666666666667</v>
      </c>
      <c r="C208" s="21" t="inlineStr">
        <is>
          <t>5v5</t>
        </is>
      </c>
      <c r="Y208" s="16" t="inlineStr">
        <is>
          <t>D</t>
        </is>
      </c>
      <c r="Z208" s="16" t="inlineStr">
        <is>
          <t>21DAL</t>
        </is>
      </c>
      <c r="AA208" s="16" t="inlineStr">
        <is>
          <t>8COL</t>
        </is>
      </c>
      <c r="AC208" s="16" t="inlineStr">
        <is>
          <t>L</t>
        </is>
      </c>
      <c r="AD208" s="16" t="inlineStr">
        <is>
          <t>N</t>
        </is>
      </c>
      <c r="AE208" s="16" t="inlineStr">
        <is>
          <t>N</t>
        </is>
      </c>
      <c r="AF208" s="5" t="inlineStr">
        <is>
          <t>13COL</t>
        </is>
      </c>
      <c r="AG208" s="5" t="inlineStr">
        <is>
          <t>MEX</t>
        </is>
      </c>
      <c r="AH208" s="5" t="inlineStr">
        <is>
          <t>21DAL</t>
        </is>
      </c>
    </row>
    <row r="209">
      <c r="A209" s="2" t="n">
        <v>3</v>
      </c>
      <c r="B209" s="15" t="n">
        <v>0.3916666666666667</v>
      </c>
      <c r="C209" s="21" t="inlineStr">
        <is>
          <t>5v5</t>
        </is>
      </c>
      <c r="AF209" s="5" t="inlineStr">
        <is>
          <t>42COL</t>
        </is>
      </c>
      <c r="AG209" s="5" t="inlineStr">
        <is>
          <t>CLE</t>
        </is>
      </c>
    </row>
    <row r="210">
      <c r="A210" s="2" t="n">
        <v>3</v>
      </c>
      <c r="B210" s="15" t="n">
        <v>0.3875</v>
      </c>
      <c r="C210" s="21" t="inlineStr">
        <is>
          <t>5v5</t>
        </is>
      </c>
      <c r="AF210" s="5" t="inlineStr">
        <is>
          <t>55DAL</t>
        </is>
      </c>
      <c r="AG210" s="5" t="inlineStr">
        <is>
          <t>MEX</t>
        </is>
      </c>
      <c r="AH210" s="5" t="inlineStr">
        <is>
          <t>54COL</t>
        </is>
      </c>
    </row>
    <row r="211">
      <c r="A211" s="2" t="n">
        <v>3</v>
      </c>
      <c r="B211" s="15" t="n">
        <v>0.3798611111111111</v>
      </c>
      <c r="C211" s="21" t="inlineStr">
        <is>
          <t>5v5</t>
        </is>
      </c>
      <c r="AF211" s="5" t="inlineStr">
        <is>
          <t>23DAL</t>
        </is>
      </c>
      <c r="AG211" s="5" t="inlineStr">
        <is>
          <t>CLE</t>
        </is>
      </c>
    </row>
    <row r="212">
      <c r="A212" s="2" t="n">
        <v>3</v>
      </c>
      <c r="B212" s="15" t="n">
        <v>0.3743055555555556</v>
      </c>
      <c r="C212" s="21" t="inlineStr">
        <is>
          <t>5v5</t>
        </is>
      </c>
      <c r="Y212" s="16" t="inlineStr">
        <is>
          <t>D</t>
        </is>
      </c>
      <c r="Z212" s="16" t="inlineStr">
        <is>
          <t>7COL</t>
        </is>
      </c>
      <c r="AA212" s="16" t="inlineStr">
        <is>
          <t>N</t>
        </is>
      </c>
      <c r="AC212" s="16" t="inlineStr">
        <is>
          <t>L</t>
        </is>
      </c>
      <c r="AD212" s="16" t="inlineStr">
        <is>
          <t>N</t>
        </is>
      </c>
      <c r="AE212" s="16" t="inlineStr">
        <is>
          <t>N</t>
        </is>
      </c>
      <c r="AF212" s="5" t="inlineStr">
        <is>
          <t>23DAL</t>
        </is>
      </c>
      <c r="AG212" s="5" t="inlineStr">
        <is>
          <t>FEX</t>
        </is>
      </c>
      <c r="AH212" s="5" t="inlineStr">
        <is>
          <t>92COL</t>
        </is>
      </c>
    </row>
    <row r="213">
      <c r="A213" s="2" t="n">
        <v>3</v>
      </c>
      <c r="B213" s="15" t="n">
        <v>0.3666666666666666</v>
      </c>
      <c r="C213" s="21" t="inlineStr">
        <is>
          <t>5v5</t>
        </is>
      </c>
      <c r="AF213" s="5" t="inlineStr">
        <is>
          <t>4DAL</t>
        </is>
      </c>
      <c r="AG213" s="5" t="inlineStr">
        <is>
          <t>PEX</t>
        </is>
      </c>
    </row>
    <row r="214">
      <c r="A214" s="2" t="n">
        <v>3</v>
      </c>
      <c r="B214" s="15" t="n">
        <v>0.3576388888888889</v>
      </c>
      <c r="C214" s="21" t="inlineStr">
        <is>
          <t>5v5</t>
        </is>
      </c>
      <c r="Y214" s="16" t="inlineStr">
        <is>
          <t>D</t>
        </is>
      </c>
      <c r="Z214" s="16" t="inlineStr">
        <is>
          <t>20COL</t>
        </is>
      </c>
      <c r="AA214" s="16" t="inlineStr">
        <is>
          <t>N</t>
        </is>
      </c>
      <c r="AC214" s="16" t="inlineStr">
        <is>
          <t>L</t>
        </is>
      </c>
      <c r="AD214" s="16" t="inlineStr">
        <is>
          <t>N</t>
        </is>
      </c>
      <c r="AE214" s="16" t="inlineStr">
        <is>
          <t>N</t>
        </is>
      </c>
      <c r="AF214" s="5" t="inlineStr">
        <is>
          <t>55DAL</t>
        </is>
      </c>
      <c r="AG214" s="5" t="inlineStr">
        <is>
          <t>CLE</t>
        </is>
      </c>
    </row>
    <row r="215">
      <c r="A215" s="2" t="n">
        <v>3</v>
      </c>
      <c r="B215" s="15" t="n">
        <v>0.3458333333333333</v>
      </c>
      <c r="C215" s="21" t="inlineStr">
        <is>
          <t>5v5</t>
        </is>
      </c>
      <c r="Y215" s="16" t="inlineStr">
        <is>
          <t>D</t>
        </is>
      </c>
      <c r="Z215" s="16" t="inlineStr">
        <is>
          <t>13COL</t>
        </is>
      </c>
      <c r="AA215" s="16" t="inlineStr">
        <is>
          <t>N</t>
        </is>
      </c>
      <c r="AC215" s="16" t="inlineStr">
        <is>
          <t>C</t>
        </is>
      </c>
      <c r="AD215" s="16" t="inlineStr">
        <is>
          <t>N</t>
        </is>
      </c>
      <c r="AE215" s="16" t="inlineStr">
        <is>
          <t>N</t>
        </is>
      </c>
      <c r="AF215" s="5" t="inlineStr">
        <is>
          <t>55DAL</t>
        </is>
      </c>
      <c r="AG215" s="5" t="inlineStr">
        <is>
          <t>EXC</t>
        </is>
      </c>
      <c r="AH215" s="5" t="inlineStr">
        <is>
          <t>20COL</t>
        </is>
      </c>
      <c r="AI215" s="5" t="inlineStr">
        <is>
          <t>18DAL</t>
        </is>
      </c>
      <c r="AJ215" s="5" t="inlineStr">
        <is>
          <t>PEX</t>
        </is>
      </c>
    </row>
    <row r="216">
      <c r="A216" s="2" t="n">
        <v>3</v>
      </c>
      <c r="B216" s="15" t="n">
        <v>0.3388888888888889</v>
      </c>
      <c r="C216" s="21" t="inlineStr">
        <is>
          <t>5v5</t>
        </is>
      </c>
      <c r="Y216" s="16" t="inlineStr">
        <is>
          <t>F</t>
        </is>
      </c>
      <c r="Z216" s="16" t="inlineStr">
        <is>
          <t>18DAL</t>
        </is>
      </c>
      <c r="AA216" s="16" t="inlineStr">
        <is>
          <t>11COL</t>
        </is>
      </c>
      <c r="AC216" s="16" t="inlineStr">
        <is>
          <t>C</t>
        </is>
      </c>
      <c r="AD216" s="16" t="inlineStr">
        <is>
          <t>N</t>
        </is>
      </c>
      <c r="AE216" s="16" t="inlineStr">
        <is>
          <t>N</t>
        </is>
      </c>
    </row>
    <row r="217">
      <c r="A217" s="2" t="n">
        <v>3</v>
      </c>
      <c r="B217" s="15" t="n">
        <v>0.2715277777777778</v>
      </c>
      <c r="C217" s="21" t="inlineStr">
        <is>
          <t>5v5</t>
        </is>
      </c>
      <c r="AF217" s="5" t="inlineStr">
        <is>
          <t>23DAL</t>
        </is>
      </c>
      <c r="AG217" s="5" t="inlineStr">
        <is>
          <t>EXC</t>
        </is>
      </c>
      <c r="AH217" s="5" t="inlineStr">
        <is>
          <t>N</t>
        </is>
      </c>
      <c r="AI217" s="5" t="inlineStr">
        <is>
          <t>53DAL</t>
        </is>
      </c>
      <c r="AJ217" s="5" t="inlineStr">
        <is>
          <t>MEX</t>
        </is>
      </c>
    </row>
    <row r="218">
      <c r="A218" s="2" t="n">
        <v>3</v>
      </c>
      <c r="B218" s="15" t="n">
        <v>0.2652777777777778</v>
      </c>
      <c r="C218" s="21" t="inlineStr">
        <is>
          <t>5v5</t>
        </is>
      </c>
      <c r="Y218" s="16" t="inlineStr">
        <is>
          <t>C</t>
        </is>
      </c>
      <c r="Z218" s="16" t="inlineStr">
        <is>
          <t>8COL</t>
        </is>
      </c>
      <c r="AA218" s="16" t="inlineStr">
        <is>
          <t>4DAL</t>
        </is>
      </c>
      <c r="AB218" s="16" t="inlineStr">
        <is>
          <t>N</t>
        </is>
      </c>
      <c r="AC218" s="16" t="inlineStr">
        <is>
          <t>L</t>
        </is>
      </c>
      <c r="AD218" s="16" t="inlineStr">
        <is>
          <t>N</t>
        </is>
      </c>
      <c r="AE218" s="16" t="inlineStr">
        <is>
          <t>Y</t>
        </is>
      </c>
    </row>
    <row r="219">
      <c r="A219" s="2" t="n">
        <v>3</v>
      </c>
      <c r="B219" s="15" t="n">
        <v>0.2305555555555556</v>
      </c>
      <c r="C219" s="21" t="inlineStr">
        <is>
          <t>5v4</t>
        </is>
      </c>
      <c r="Y219" s="16" t="inlineStr">
        <is>
          <t>C</t>
        </is>
      </c>
      <c r="Z219" s="16" t="inlineStr">
        <is>
          <t>7COL</t>
        </is>
      </c>
      <c r="AA219" s="16" t="inlineStr">
        <is>
          <t>4DAL</t>
        </is>
      </c>
      <c r="AB219" s="16" t="inlineStr">
        <is>
          <t>Y</t>
        </is>
      </c>
      <c r="AC219" s="16" t="inlineStr">
        <is>
          <t>R</t>
        </is>
      </c>
      <c r="AD219" s="16" t="inlineStr">
        <is>
          <t>N</t>
        </is>
      </c>
      <c r="AE219" s="16" t="inlineStr">
        <is>
          <t>N</t>
        </is>
      </c>
    </row>
    <row r="220">
      <c r="A220" s="2" t="n">
        <v>3</v>
      </c>
      <c r="B220" s="15" t="n">
        <v>0.1881944444444444</v>
      </c>
      <c r="C220" s="21" t="inlineStr">
        <is>
          <t>5v4</t>
        </is>
      </c>
      <c r="Y220" s="16" t="inlineStr">
        <is>
          <t>C</t>
        </is>
      </c>
      <c r="Z220" s="16" t="inlineStr">
        <is>
          <t>29COL</t>
        </is>
      </c>
      <c r="AA220" s="16" t="inlineStr">
        <is>
          <t>N</t>
        </is>
      </c>
      <c r="AB220" s="16" t="inlineStr">
        <is>
          <t>Y</t>
        </is>
      </c>
      <c r="AC220" s="16" t="inlineStr">
        <is>
          <t>C</t>
        </is>
      </c>
      <c r="AD220" s="16" t="inlineStr">
        <is>
          <t>N</t>
        </is>
      </c>
      <c r="AE220" s="16" t="inlineStr">
        <is>
          <t>N</t>
        </is>
      </c>
    </row>
    <row r="221">
      <c r="A221" s="2" t="n">
        <v>3</v>
      </c>
      <c r="B221" s="15" t="n">
        <v>0.1409722222222222</v>
      </c>
      <c r="C221" s="21" t="inlineStr">
        <is>
          <t>5v4</t>
        </is>
      </c>
      <c r="Y221" s="16" t="inlineStr">
        <is>
          <t>C</t>
        </is>
      </c>
      <c r="Z221" s="16" t="inlineStr">
        <is>
          <t>13COL</t>
        </is>
      </c>
      <c r="AA221" s="16" t="inlineStr">
        <is>
          <t>6DAL</t>
        </is>
      </c>
      <c r="AB221" s="16" t="inlineStr">
        <is>
          <t>N</t>
        </is>
      </c>
      <c r="AC221" s="16" t="inlineStr">
        <is>
          <t>R</t>
        </is>
      </c>
      <c r="AD221" s="16" t="inlineStr">
        <is>
          <t>N</t>
        </is>
      </c>
      <c r="AE221" s="16" t="inlineStr">
        <is>
          <t>Y</t>
        </is>
      </c>
    </row>
    <row r="222">
      <c r="A222" s="2" t="n">
        <v>3</v>
      </c>
      <c r="B222" s="15" t="n">
        <v>0.1256944444444444</v>
      </c>
      <c r="C222" s="21" t="inlineStr">
        <is>
          <t>5v5</t>
        </is>
      </c>
      <c r="Y222" s="16" t="inlineStr">
        <is>
          <t>D</t>
        </is>
      </c>
      <c r="Z222" s="16" t="inlineStr">
        <is>
          <t>18COL</t>
        </is>
      </c>
      <c r="AA222" s="16" t="inlineStr">
        <is>
          <t>5DAL</t>
        </is>
      </c>
      <c r="AC222" s="16" t="inlineStr">
        <is>
          <t>L</t>
        </is>
      </c>
      <c r="AD222" s="16" t="inlineStr">
        <is>
          <t>N</t>
        </is>
      </c>
      <c r="AE222" s="16" t="inlineStr">
        <is>
          <t>N</t>
        </is>
      </c>
      <c r="AF222" s="5" t="inlineStr">
        <is>
          <t>29DAL</t>
        </is>
      </c>
      <c r="AG222" s="5" t="inlineStr">
        <is>
          <t>EXC</t>
        </is>
      </c>
      <c r="AH222" s="5" t="inlineStr">
        <is>
          <t>7COL</t>
        </is>
      </c>
      <c r="AI222" s="5" t="inlineStr">
        <is>
          <t>95DAL</t>
        </is>
      </c>
      <c r="AJ222" s="5" t="inlineStr">
        <is>
          <t>FEX</t>
        </is>
      </c>
    </row>
    <row r="223">
      <c r="A223" s="2" t="n">
        <v>3</v>
      </c>
      <c r="B223" s="15" t="n">
        <v>0.1159722222222222</v>
      </c>
      <c r="C223" s="21" t="inlineStr">
        <is>
          <t>5v5</t>
        </is>
      </c>
      <c r="AF223" s="5" t="inlineStr">
        <is>
          <t>55DAL</t>
        </is>
      </c>
      <c r="AG223" s="5" t="inlineStr">
        <is>
          <t>CLE</t>
        </is>
      </c>
    </row>
    <row r="224">
      <c r="A224" s="2" t="n">
        <v>3</v>
      </c>
      <c r="B224" s="15" t="n">
        <v>0.1111111111111111</v>
      </c>
      <c r="C224" s="21" t="inlineStr">
        <is>
          <t>5v5</t>
        </is>
      </c>
      <c r="Y224" s="16" t="inlineStr">
        <is>
          <t>F</t>
        </is>
      </c>
      <c r="Z224" s="16" t="inlineStr">
        <is>
          <t>94COL</t>
        </is>
      </c>
      <c r="AA224" s="16" t="inlineStr">
        <is>
          <t>22DAL</t>
        </is>
      </c>
      <c r="AB224" s="16" t="inlineStr">
        <is>
          <t>N</t>
        </is>
      </c>
      <c r="AC224" s="16" t="inlineStr">
        <is>
          <t>L</t>
        </is>
      </c>
      <c r="AD224" s="16" t="inlineStr">
        <is>
          <t>N</t>
        </is>
      </c>
      <c r="AE224" s="16" t="inlineStr">
        <is>
          <t>N</t>
        </is>
      </c>
    </row>
    <row r="225">
      <c r="A225" s="2" t="n">
        <v>3</v>
      </c>
      <c r="B225" s="15" t="n">
        <v>0.1006944444444444</v>
      </c>
      <c r="C225" s="21" t="inlineStr">
        <is>
          <t>5v5</t>
        </is>
      </c>
      <c r="Y225" s="16" t="inlineStr">
        <is>
          <t>D</t>
        </is>
      </c>
      <c r="Z225" s="16" t="inlineStr">
        <is>
          <t>54COL</t>
        </is>
      </c>
      <c r="AA225" s="16" t="inlineStr">
        <is>
          <t>N</t>
        </is>
      </c>
      <c r="AC225" s="16" t="inlineStr">
        <is>
          <t>R</t>
        </is>
      </c>
      <c r="AD225" s="16" t="inlineStr">
        <is>
          <t>N</t>
        </is>
      </c>
      <c r="AE225" s="16" t="inlineStr">
        <is>
          <t>N</t>
        </is>
      </c>
      <c r="AF225" s="5" t="inlineStr">
        <is>
          <t>29DAL</t>
        </is>
      </c>
      <c r="AG225" s="5" t="inlineStr">
        <is>
          <t>EXC</t>
        </is>
      </c>
      <c r="AH225" s="5" t="inlineStr">
        <is>
          <t>N</t>
        </is>
      </c>
      <c r="AI225" s="5" t="inlineStr">
        <is>
          <t>53DAL</t>
        </is>
      </c>
      <c r="AJ225" s="5" t="inlineStr">
        <is>
          <t>PEX</t>
        </is>
      </c>
    </row>
    <row r="226">
      <c r="A226" s="2" t="n">
        <v>3</v>
      </c>
      <c r="B226" s="15" t="n">
        <v>0.09236111111111112</v>
      </c>
      <c r="C226" s="21" t="inlineStr">
        <is>
          <t>5v5</t>
        </is>
      </c>
      <c r="Y226" s="16" t="inlineStr">
        <is>
          <t>D</t>
        </is>
      </c>
      <c r="Z226" s="16" t="inlineStr">
        <is>
          <t>22DAL</t>
        </is>
      </c>
      <c r="AA226" s="16" t="inlineStr">
        <is>
          <t>70COL</t>
        </is>
      </c>
      <c r="AC226" s="16" t="inlineStr">
        <is>
          <t>L</t>
        </is>
      </c>
      <c r="AD226" s="16" t="inlineStr">
        <is>
          <t>N</t>
        </is>
      </c>
      <c r="AE226" s="16" t="inlineStr">
        <is>
          <t>N</t>
        </is>
      </c>
      <c r="AF226" s="5" t="inlineStr">
        <is>
          <t>10COL</t>
        </is>
      </c>
      <c r="AG226" s="5" t="inlineStr">
        <is>
          <t>EXC</t>
        </is>
      </c>
      <c r="AH226" s="5" t="inlineStr">
        <is>
          <t>N</t>
        </is>
      </c>
      <c r="AI226" s="5" t="inlineStr">
        <is>
          <t>54COL</t>
        </is>
      </c>
      <c r="AJ226" s="5" t="inlineStr">
        <is>
          <t>PEX</t>
        </is>
      </c>
    </row>
    <row r="227">
      <c r="A227" s="2" t="n">
        <v>3</v>
      </c>
      <c r="B227" s="15" t="n">
        <v>0.08611111111111111</v>
      </c>
      <c r="C227" s="21" t="inlineStr">
        <is>
          <t>5v5</t>
        </is>
      </c>
      <c r="Y227" s="16" t="inlineStr">
        <is>
          <t>C</t>
        </is>
      </c>
      <c r="Z227" s="16" t="inlineStr">
        <is>
          <t>27COL</t>
        </is>
      </c>
      <c r="AA227" s="16" t="inlineStr">
        <is>
          <t>4DAL</t>
        </is>
      </c>
      <c r="AB227" s="16" t="inlineStr">
        <is>
          <t>N</t>
        </is>
      </c>
      <c r="AC227" s="16" t="inlineStr">
        <is>
          <t>L</t>
        </is>
      </c>
      <c r="AD227" s="16" t="inlineStr">
        <is>
          <t>N</t>
        </is>
      </c>
      <c r="AE227" s="16" t="inlineStr">
        <is>
          <t>N</t>
        </is>
      </c>
      <c r="AF227" s="5" t="inlineStr">
        <is>
          <t>21DAL</t>
        </is>
      </c>
      <c r="AG227" s="5" t="inlineStr">
        <is>
          <t>CLE</t>
        </is>
      </c>
    </row>
    <row r="228">
      <c r="A228" s="2" t="n">
        <v>3</v>
      </c>
      <c r="B228" s="15" t="n">
        <v>0.08125</v>
      </c>
      <c r="C228" s="21" t="inlineStr">
        <is>
          <t>5v5</t>
        </is>
      </c>
      <c r="Y228" s="16" t="inlineStr">
        <is>
          <t>D</t>
        </is>
      </c>
      <c r="Z228" s="16" t="inlineStr">
        <is>
          <t>70COL</t>
        </is>
      </c>
      <c r="AA228" s="16" t="inlineStr">
        <is>
          <t>23DAL</t>
        </is>
      </c>
      <c r="AC228" s="16" t="inlineStr">
        <is>
          <t>R</t>
        </is>
      </c>
      <c r="AD228" s="16" t="inlineStr">
        <is>
          <t>29COL</t>
        </is>
      </c>
      <c r="AE228" s="16" t="inlineStr">
        <is>
          <t>N</t>
        </is>
      </c>
    </row>
    <row r="229">
      <c r="B229" s="15" t="n"/>
    </row>
    <row r="230">
      <c r="B230" s="15" t="n"/>
    </row>
    <row r="231">
      <c r="B231" s="15" t="n"/>
    </row>
    <row r="232">
      <c r="B232" s="15" t="n"/>
    </row>
    <row r="233">
      <c r="B233" s="15" t="n"/>
    </row>
    <row r="234">
      <c r="B234" s="15" t="n"/>
    </row>
    <row r="235">
      <c r="B235" s="15" t="n"/>
    </row>
    <row r="236">
      <c r="B236" s="15" t="n"/>
    </row>
    <row r="237">
      <c r="B237" s="15" t="n"/>
    </row>
    <row r="238">
      <c r="B238" s="15" t="n"/>
    </row>
    <row r="239">
      <c r="B239" s="15" t="n"/>
    </row>
    <row r="240">
      <c r="B240" s="15" t="n"/>
    </row>
    <row r="241">
      <c r="B241" s="15" t="n"/>
    </row>
    <row r="242">
      <c r="B242" s="15" t="n"/>
    </row>
    <row r="243">
      <c r="B243" s="15" t="n"/>
    </row>
    <row r="244">
      <c r="B244" s="15" t="n"/>
    </row>
    <row r="245">
      <c r="B245" s="15" t="n"/>
    </row>
    <row r="246">
      <c r="B246" s="15" t="n"/>
    </row>
    <row r="247">
      <c r="B247" s="15" t="n"/>
    </row>
    <row r="248">
      <c r="B248" s="15" t="n"/>
    </row>
    <row r="249">
      <c r="B249" s="15" t="n"/>
    </row>
    <row r="250">
      <c r="B250" s="15" t="n"/>
    </row>
    <row r="251">
      <c r="B251" s="15" t="n"/>
    </row>
    <row r="252">
      <c r="B252" s="15" t="n"/>
    </row>
    <row r="253">
      <c r="B253" s="15" t="n"/>
    </row>
    <row r="254">
      <c r="B254" s="15" t="n"/>
    </row>
    <row r="255">
      <c r="B255" s="15" t="n"/>
    </row>
    <row r="256">
      <c r="B256" s="15" t="n"/>
    </row>
    <row r="257">
      <c r="B257" s="15" t="n"/>
    </row>
    <row r="258">
      <c r="B258" s="15" t="n"/>
    </row>
    <row r="259">
      <c r="B259" s="15" t="n"/>
    </row>
    <row r="260">
      <c r="B260" s="15" t="n"/>
    </row>
    <row r="261">
      <c r="B261" s="15" t="n"/>
    </row>
    <row r="262">
      <c r="B262" s="15" t="n"/>
    </row>
    <row r="263">
      <c r="A263" s="7" t="n"/>
      <c r="B263" s="14" t="n"/>
    </row>
    <row r="264">
      <c r="B264" s="15" t="n"/>
    </row>
    <row r="265">
      <c r="A265" s="7" t="n"/>
      <c r="B265" s="15" t="n"/>
    </row>
    <row r="266">
      <c r="B266" s="15" t="n"/>
    </row>
    <row r="267">
      <c r="B267" s="15" t="n"/>
    </row>
    <row r="268">
      <c r="A268" s="7" t="n"/>
      <c r="B268" s="14" t="n"/>
    </row>
    <row r="269">
      <c r="A269" s="7" t="n"/>
      <c r="B269" s="14" t="n"/>
    </row>
    <row r="270">
      <c r="B270" s="15" t="n"/>
    </row>
    <row r="271">
      <c r="A271" s="7" t="n"/>
      <c r="B271" s="15" t="n"/>
    </row>
    <row r="272">
      <c r="A272" s="7" t="n"/>
      <c r="B272" s="15" t="n"/>
    </row>
    <row r="273">
      <c r="A273" s="7" t="n"/>
      <c r="B273" s="15" t="n"/>
    </row>
    <row r="274">
      <c r="B274" s="15" t="n"/>
    </row>
    <row r="275">
      <c r="A275" s="7" t="n"/>
      <c r="B275" s="15" t="n"/>
    </row>
    <row r="276">
      <c r="B276" s="15" t="n"/>
    </row>
    <row r="277">
      <c r="A277" s="7" t="n"/>
      <c r="B277" s="15" t="n"/>
    </row>
    <row r="278">
      <c r="B278" s="15" t="n"/>
    </row>
    <row r="279">
      <c r="A279" s="7" t="n"/>
      <c r="B279" s="15" t="n"/>
    </row>
    <row r="280">
      <c r="B280" s="15" t="n"/>
    </row>
    <row r="281">
      <c r="A281" s="7" t="n"/>
      <c r="B281" s="14" t="n"/>
    </row>
    <row r="282">
      <c r="B282" s="15" t="n"/>
    </row>
    <row r="283">
      <c r="A283" s="7" t="n"/>
      <c r="B283" s="15" t="n"/>
    </row>
    <row r="284">
      <c r="A284" s="7" t="n"/>
      <c r="B284" s="15" t="n"/>
    </row>
    <row r="285">
      <c r="B285" s="15" t="n"/>
    </row>
    <row r="286">
      <c r="A286" s="7" t="n"/>
      <c r="B286" s="15" t="n"/>
    </row>
    <row r="287">
      <c r="B287" s="15" t="n"/>
    </row>
    <row r="288">
      <c r="B288" s="15" t="n"/>
    </row>
    <row r="289">
      <c r="A289" s="7" t="n"/>
      <c r="B289" s="15" t="n"/>
    </row>
    <row r="290">
      <c r="B290" s="15" t="n"/>
    </row>
    <row r="291">
      <c r="B291" s="15" t="n"/>
    </row>
    <row r="292">
      <c r="A292" s="7" t="n"/>
      <c r="B292" s="15" t="n"/>
    </row>
    <row r="293">
      <c r="A293" s="7" t="n"/>
      <c r="B293" s="15" t="n"/>
    </row>
    <row r="294">
      <c r="B294" s="15" t="n"/>
    </row>
    <row r="295">
      <c r="A295" s="7" t="n"/>
      <c r="B295" s="15" t="n"/>
    </row>
    <row r="296">
      <c r="B296" s="15" t="n"/>
    </row>
    <row r="297">
      <c r="A297" s="7" t="n"/>
      <c r="B297" s="15" t="n"/>
    </row>
    <row r="298">
      <c r="A298" s="7" t="n"/>
      <c r="B298" s="15" t="n"/>
    </row>
    <row r="299">
      <c r="B299" s="15" t="n"/>
    </row>
    <row r="300">
      <c r="A300" s="7" t="n"/>
      <c r="B300" s="14" t="n"/>
    </row>
    <row r="301">
      <c r="B301" s="15" t="n"/>
    </row>
    <row r="302">
      <c r="B302" s="15" t="n"/>
    </row>
    <row r="303">
      <c r="A303" s="7" t="n"/>
      <c r="B303" s="14" t="n"/>
    </row>
    <row r="304">
      <c r="B304" s="15" t="n"/>
    </row>
    <row r="305">
      <c r="A305" s="7" t="n"/>
      <c r="B305" s="15" t="n"/>
    </row>
    <row r="306">
      <c r="B306" s="15" t="n"/>
    </row>
    <row r="307">
      <c r="A307" s="7" t="n"/>
      <c r="B307" s="15" t="n"/>
    </row>
    <row r="308">
      <c r="A308" s="7" t="n"/>
      <c r="B308" s="14" t="n"/>
    </row>
    <row r="309">
      <c r="A309" s="7" t="n"/>
      <c r="B309" s="15" t="n"/>
    </row>
    <row r="310">
      <c r="B310" s="15" t="n"/>
    </row>
    <row r="311">
      <c r="A311" s="7" t="n"/>
      <c r="B311" s="15" t="n"/>
    </row>
    <row r="312">
      <c r="A312" s="7" t="n"/>
      <c r="B312" s="15" t="n"/>
    </row>
    <row r="313">
      <c r="B313" s="15" t="n"/>
    </row>
    <row r="314">
      <c r="B314" s="15" t="n"/>
    </row>
    <row r="315">
      <c r="A315" s="7" t="n"/>
      <c r="B315" s="15" t="n"/>
    </row>
    <row r="316">
      <c r="A316" s="7" t="n"/>
      <c r="B316" s="14" t="n"/>
    </row>
    <row r="317">
      <c r="B317" s="15" t="n"/>
    </row>
    <row r="318">
      <c r="A318" s="7" t="n"/>
      <c r="B318" s="15" t="n"/>
    </row>
    <row r="319">
      <c r="B319" s="15" t="n"/>
    </row>
    <row r="320">
      <c r="A320" s="7" t="n"/>
      <c r="B320" s="15" t="n"/>
    </row>
    <row r="321">
      <c r="A321" s="7" t="n"/>
      <c r="B321" s="15" t="n"/>
    </row>
    <row r="322">
      <c r="A322" s="7" t="n"/>
      <c r="B322" s="15" t="n"/>
    </row>
    <row r="323">
      <c r="B323" s="15" t="n"/>
    </row>
    <row r="324">
      <c r="A324" s="7" t="n"/>
      <c r="B324" s="14" t="n"/>
    </row>
    <row r="325">
      <c r="B325" s="15" t="n"/>
    </row>
    <row r="326">
      <c r="B326" s="15" t="n"/>
    </row>
    <row r="327">
      <c r="A327" s="7" t="n"/>
      <c r="B327" s="15" t="n"/>
    </row>
    <row r="328">
      <c r="B328" s="15" t="n"/>
    </row>
    <row r="329">
      <c r="B329" s="15" t="n"/>
    </row>
    <row r="330">
      <c r="B330" s="15" t="n"/>
    </row>
    <row r="331">
      <c r="A331" s="7" t="n"/>
      <c r="B331" s="15" t="n"/>
    </row>
    <row r="332">
      <c r="A332" s="7" t="n"/>
      <c r="B332" s="15" t="n"/>
    </row>
    <row r="333">
      <c r="B333" s="15" t="n"/>
    </row>
    <row r="334">
      <c r="A334" s="7" t="n"/>
      <c r="B334" s="15" t="n"/>
    </row>
    <row r="335">
      <c r="A335" s="7" t="n"/>
      <c r="B335" s="15" t="n"/>
    </row>
    <row r="336">
      <c r="B336" s="15" t="n"/>
    </row>
    <row r="337">
      <c r="B337" s="15" t="n"/>
    </row>
    <row r="338">
      <c r="A338" s="7" t="n"/>
      <c r="B338" s="15" t="n"/>
    </row>
    <row r="339">
      <c r="B339" s="15" t="n"/>
    </row>
    <row r="340">
      <c r="B340" s="15" t="n"/>
    </row>
    <row r="341">
      <c r="B341" s="15" t="n"/>
    </row>
    <row r="342">
      <c r="A342" s="7" t="n"/>
      <c r="B342" s="15" t="n"/>
    </row>
    <row r="343">
      <c r="A343" s="7" t="n"/>
      <c r="B343" s="15" t="n"/>
    </row>
    <row r="344">
      <c r="B344" s="15" t="n"/>
    </row>
    <row r="345">
      <c r="A345" s="7" t="n"/>
      <c r="B345" s="15" t="n"/>
    </row>
    <row r="346">
      <c r="A346" s="7" t="n"/>
      <c r="B346" s="15" t="n"/>
    </row>
    <row r="347">
      <c r="A347" s="7" t="n"/>
      <c r="B347" s="15" t="n"/>
    </row>
    <row r="348">
      <c r="B348" s="15" t="n"/>
    </row>
    <row r="349">
      <c r="B349" s="15" t="n"/>
    </row>
    <row r="350">
      <c r="A350" s="7" t="n"/>
      <c r="B350" s="15" t="n"/>
    </row>
    <row r="351">
      <c r="B351" s="15" t="n"/>
    </row>
    <row r="352">
      <c r="B352" s="15" t="n"/>
    </row>
    <row r="353">
      <c r="A353" s="7" t="n"/>
      <c r="B353" s="15" t="n"/>
    </row>
    <row r="354">
      <c r="A354" s="7" t="n"/>
      <c r="B354" s="15" t="n"/>
    </row>
    <row r="355">
      <c r="B355" s="15" t="n"/>
    </row>
    <row r="356">
      <c r="A356" s="7" t="n"/>
      <c r="B356" s="14" t="n"/>
    </row>
    <row r="357">
      <c r="B357" s="15" t="n"/>
    </row>
    <row r="358">
      <c r="A358" s="7" t="n"/>
      <c r="B358" s="14" t="n"/>
    </row>
    <row r="359">
      <c r="B359" s="15" t="n"/>
    </row>
    <row r="360">
      <c r="A360" s="7" t="n"/>
      <c r="B360" s="15" t="n"/>
    </row>
    <row r="361">
      <c r="B361" s="15" t="n"/>
    </row>
    <row r="362">
      <c r="A362" s="7" t="n"/>
      <c r="B362" s="15" t="n"/>
    </row>
    <row r="363">
      <c r="A363" s="7" t="n"/>
      <c r="B363" s="15" t="n"/>
    </row>
    <row r="364">
      <c r="B364" s="15" t="n"/>
    </row>
    <row r="365">
      <c r="A365" s="7" t="n"/>
      <c r="B365" s="15" t="n"/>
    </row>
    <row r="366">
      <c r="B366" s="15" t="n"/>
    </row>
    <row r="367">
      <c r="B367" s="15" t="n"/>
    </row>
    <row r="368">
      <c r="A368" s="7" t="n"/>
      <c r="B368" s="15" t="n"/>
    </row>
    <row r="369">
      <c r="B369" s="15" t="n"/>
    </row>
    <row r="370">
      <c r="A370" s="7" t="n"/>
      <c r="B370" s="15" t="n"/>
    </row>
    <row r="371">
      <c r="B371" s="15" t="n"/>
    </row>
    <row r="372">
      <c r="A372" s="7" t="n"/>
      <c r="B372" s="14" t="n"/>
    </row>
    <row r="373">
      <c r="B373" s="15" t="n"/>
    </row>
    <row r="374">
      <c r="A374" s="7" t="n"/>
      <c r="B374" s="14" t="n"/>
    </row>
    <row r="375">
      <c r="A375" s="7" t="n"/>
      <c r="B375" s="15" t="n"/>
    </row>
    <row r="376">
      <c r="A376" s="7" t="n"/>
      <c r="B376" s="15" t="n"/>
    </row>
    <row r="377">
      <c r="B377" s="15" t="n"/>
    </row>
    <row r="378">
      <c r="B378" s="15" t="n"/>
    </row>
    <row r="379">
      <c r="A379" s="7" t="n"/>
      <c r="B379" s="15" t="n"/>
    </row>
    <row r="380">
      <c r="B380" s="15" t="n"/>
    </row>
    <row r="381">
      <c r="B381" s="15" t="n"/>
    </row>
    <row r="382">
      <c r="A382" s="7" t="n"/>
      <c r="B382" s="15" t="n"/>
    </row>
    <row r="383">
      <c r="B383" s="15" t="n"/>
    </row>
    <row r="384">
      <c r="A384" s="7" t="n"/>
      <c r="B384" s="15" t="n"/>
    </row>
    <row r="385">
      <c r="B385" s="15" t="n"/>
    </row>
    <row r="386">
      <c r="A386" s="7" t="n"/>
      <c r="B386" s="15" t="n"/>
    </row>
    <row r="387">
      <c r="A387" s="7" t="n"/>
      <c r="B387" s="15" t="n"/>
    </row>
    <row r="388">
      <c r="B388" s="15" t="n"/>
    </row>
    <row r="389">
      <c r="A389" s="7" t="n"/>
      <c r="B389" s="14" t="n"/>
    </row>
    <row r="390">
      <c r="A390" s="7" t="n"/>
      <c r="B390" s="15" t="n"/>
    </row>
    <row r="391">
      <c r="B391" s="15" t="n"/>
    </row>
    <row r="392">
      <c r="A392" s="7" t="n"/>
      <c r="B392" s="14" t="n"/>
    </row>
    <row r="393">
      <c r="B393" s="15" t="n"/>
    </row>
    <row r="394">
      <c r="B394" s="15" t="n"/>
    </row>
    <row r="395">
      <c r="A395" s="7" t="n"/>
      <c r="B395" s="15" t="n"/>
    </row>
    <row r="396">
      <c r="B396" s="15" t="n"/>
    </row>
    <row r="397">
      <c r="A397" s="7" t="n"/>
      <c r="B397" s="15" t="n"/>
    </row>
    <row r="398">
      <c r="A398" s="7" t="n"/>
      <c r="B398" s="15" t="n"/>
    </row>
    <row r="399">
      <c r="A399" s="7" t="n"/>
      <c r="B399" s="15" t="n"/>
    </row>
    <row r="400">
      <c r="A400" s="7" t="n"/>
      <c r="B400" s="15" t="n"/>
    </row>
    <row r="401">
      <c r="B401" s="15" t="n"/>
    </row>
    <row r="402">
      <c r="A402" s="7" t="n"/>
      <c r="B402" s="15" t="n"/>
    </row>
    <row r="403">
      <c r="A403" s="7" t="n"/>
      <c r="B403" s="14" t="n"/>
    </row>
    <row r="404">
      <c r="A404" s="7" t="n"/>
      <c r="B404" s="14" t="n"/>
    </row>
    <row r="405">
      <c r="A405" s="7" t="n"/>
      <c r="B405" s="15" t="n"/>
    </row>
    <row r="406">
      <c r="B406" s="15" t="n"/>
    </row>
    <row r="407">
      <c r="B407" s="15" t="n"/>
    </row>
    <row r="408">
      <c r="B408" s="15" t="n"/>
    </row>
    <row r="409">
      <c r="A409" s="7" t="n"/>
      <c r="B409" s="15" t="n"/>
    </row>
    <row r="410">
      <c r="A410" s="7" t="n"/>
      <c r="B410" s="15" t="n"/>
    </row>
    <row r="411">
      <c r="A411" s="7" t="n"/>
      <c r="B411" s="14" t="n"/>
    </row>
    <row r="412">
      <c r="B412" s="15" t="n"/>
    </row>
    <row r="413">
      <c r="A413" s="7" t="n"/>
      <c r="B413" s="15" t="n"/>
    </row>
    <row r="414">
      <c r="B414" s="15" t="n"/>
    </row>
    <row r="415">
      <c r="A415" s="7" t="n"/>
      <c r="B415" s="15" t="n"/>
    </row>
    <row r="416">
      <c r="A416" s="7" t="n"/>
      <c r="B416" s="15" t="n"/>
    </row>
    <row r="417">
      <c r="A417" s="7" t="n"/>
      <c r="B417" s="15" t="n"/>
    </row>
    <row r="418">
      <c r="A418" s="7" t="n"/>
      <c r="B418" s="14" t="n"/>
    </row>
    <row r="419">
      <c r="B419" s="15" t="n"/>
    </row>
    <row r="420">
      <c r="B420" s="15" t="n"/>
    </row>
    <row r="421">
      <c r="A421" s="7" t="n"/>
      <c r="B421" s="15" t="n"/>
    </row>
    <row r="422">
      <c r="B422" s="15" t="n"/>
    </row>
    <row r="423">
      <c r="B423" s="15" t="n"/>
    </row>
    <row r="424">
      <c r="A424" s="7" t="n"/>
      <c r="B424" s="15" t="n"/>
    </row>
    <row r="425">
      <c r="B425" s="15" t="n"/>
    </row>
    <row r="426">
      <c r="B426" s="15" t="n"/>
    </row>
    <row r="427">
      <c r="A427" s="7" t="n"/>
      <c r="B427" s="15" t="n"/>
    </row>
    <row r="428">
      <c r="B428" s="15" t="n"/>
    </row>
    <row r="429">
      <c r="B429" s="15" t="n"/>
    </row>
    <row r="430">
      <c r="A430" s="7" t="n"/>
      <c r="B430" s="15" t="n"/>
    </row>
    <row r="431">
      <c r="B431" s="15" t="n"/>
    </row>
    <row r="432">
      <c r="A432" s="7" t="n"/>
      <c r="B432" s="15" t="n"/>
    </row>
    <row r="433">
      <c r="A433" s="7" t="n"/>
      <c r="B433" s="14" t="n"/>
    </row>
    <row r="434">
      <c r="B434" s="15" t="n"/>
    </row>
    <row r="435">
      <c r="B435" s="15" t="n"/>
    </row>
    <row r="436">
      <c r="A436" s="7" t="n"/>
      <c r="B436" s="15" t="n"/>
    </row>
    <row r="437">
      <c r="B437" s="15" t="n"/>
    </row>
    <row r="438">
      <c r="A438" s="7" t="n"/>
      <c r="B438" s="15" t="n"/>
    </row>
    <row r="439">
      <c r="A439" s="7" t="n"/>
      <c r="B439" s="15" t="n"/>
    </row>
    <row r="440">
      <c r="A440" s="7" t="n"/>
      <c r="B440" s="15" t="n"/>
    </row>
    <row r="441">
      <c r="A441" s="7" t="n"/>
      <c r="B441" s="14" t="n"/>
    </row>
    <row r="442">
      <c r="B442" s="15" t="n"/>
    </row>
    <row r="443">
      <c r="A443" s="7" t="n"/>
      <c r="B443" s="15" t="n"/>
    </row>
    <row r="444">
      <c r="B444" s="15" t="n"/>
    </row>
    <row r="445">
      <c r="A445" s="7" t="n"/>
      <c r="B445" s="14" t="n"/>
    </row>
    <row r="446">
      <c r="A446" s="7" t="n"/>
      <c r="B446" s="14" t="n"/>
    </row>
    <row r="447">
      <c r="B447" s="15" t="n"/>
    </row>
    <row r="448">
      <c r="A448" s="7" t="n"/>
      <c r="B448" s="14" t="n"/>
    </row>
    <row r="449">
      <c r="A449" s="7" t="n"/>
      <c r="B449" s="15" t="n"/>
    </row>
    <row r="450">
      <c r="A450" s="7" t="n"/>
      <c r="B450" s="15" t="n"/>
    </row>
    <row r="451">
      <c r="A451" s="7" t="n"/>
      <c r="B451" s="15" t="n"/>
    </row>
    <row r="452">
      <c r="A452" s="7" t="n"/>
      <c r="B452" s="15" t="n"/>
    </row>
    <row r="453">
      <c r="A453" s="7" t="n"/>
      <c r="B453" s="15" t="n"/>
    </row>
    <row r="454">
      <c r="A454" s="7" t="n"/>
      <c r="B454" s="14" t="n"/>
    </row>
    <row r="455">
      <c r="A455" s="7" t="n"/>
      <c r="B455" s="14" t="n"/>
    </row>
    <row r="456">
      <c r="A456" s="7" t="n"/>
      <c r="B456" s="14" t="n"/>
    </row>
    <row r="457">
      <c r="A457" s="7" t="n"/>
      <c r="B457" s="14" t="n"/>
    </row>
    <row r="458">
      <c r="A458" s="7" t="n"/>
      <c r="B458" s="14" t="n"/>
    </row>
    <row r="459">
      <c r="A459" s="7" t="n"/>
      <c r="B459" s="14" t="n"/>
    </row>
    <row r="460">
      <c r="A460" s="7" t="n"/>
      <c r="B460" s="14" t="n"/>
    </row>
    <row r="461">
      <c r="A461" s="7" t="n"/>
      <c r="B461" s="14" t="n"/>
    </row>
    <row r="462">
      <c r="A462" s="7" t="n"/>
      <c r="B462" s="14" t="n"/>
    </row>
    <row r="463">
      <c r="A463" s="7" t="n"/>
      <c r="B463" s="14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>
        <v>1</v>
      </c>
    </row>
    <row r="656">
      <c r="A656" s="7" t="n">
        <v>1</v>
      </c>
    </row>
    <row r="657">
      <c r="A657" s="7" t="n">
        <v>1</v>
      </c>
    </row>
    <row r="658">
      <c r="A658" s="7" t="n">
        <v>1</v>
      </c>
    </row>
    <row r="659">
      <c r="A659" s="7" t="n">
        <v>1</v>
      </c>
    </row>
    <row r="660">
      <c r="A660" s="7" t="n">
        <v>1</v>
      </c>
    </row>
    <row r="661">
      <c r="A661" s="7" t="n">
        <v>1</v>
      </c>
    </row>
    <row r="662">
      <c r="A662" s="7" t="n">
        <v>1</v>
      </c>
    </row>
    <row r="663">
      <c r="A663" s="7" t="n">
        <v>1</v>
      </c>
    </row>
    <row r="664">
      <c r="A664" s="7" t="n">
        <v>1</v>
      </c>
    </row>
    <row r="665">
      <c r="A665" s="7" t="n">
        <v>1</v>
      </c>
    </row>
    <row r="666">
      <c r="A666" s="7" t="n">
        <v>1</v>
      </c>
    </row>
    <row r="667">
      <c r="A667" s="7" t="n">
        <v>1</v>
      </c>
    </row>
    <row r="668">
      <c r="A668" s="7" t="n">
        <v>1</v>
      </c>
    </row>
    <row r="669">
      <c r="A669" s="7" t="n">
        <v>1</v>
      </c>
    </row>
    <row r="670">
      <c r="A670" s="7" t="n">
        <v>1</v>
      </c>
    </row>
    <row r="671">
      <c r="A671" s="7" t="n">
        <v>1</v>
      </c>
    </row>
    <row r="672">
      <c r="A672" s="7" t="n">
        <v>1</v>
      </c>
    </row>
    <row r="673">
      <c r="A673" s="7" t="n">
        <v>1</v>
      </c>
    </row>
    <row r="674">
      <c r="A674" s="7" t="n">
        <v>1</v>
      </c>
    </row>
    <row r="675">
      <c r="A675" s="7" t="n">
        <v>1</v>
      </c>
    </row>
    <row r="676">
      <c r="A676" s="7" t="n">
        <v>1</v>
      </c>
    </row>
    <row r="677">
      <c r="A677" s="7" t="n">
        <v>1</v>
      </c>
    </row>
    <row r="678">
      <c r="A678" s="7" t="n">
        <v>1</v>
      </c>
    </row>
    <row r="679">
      <c r="A679" s="7" t="n">
        <v>1</v>
      </c>
    </row>
    <row r="680">
      <c r="A680" s="7" t="n">
        <v>1</v>
      </c>
    </row>
    <row r="681">
      <c r="A681" s="7" t="n">
        <v>1</v>
      </c>
    </row>
    <row r="682">
      <c r="A682" s="7" t="n">
        <v>1</v>
      </c>
    </row>
    <row r="683">
      <c r="A683" s="7" t="n">
        <v>1</v>
      </c>
    </row>
    <row r="684">
      <c r="A684" s="7" t="n">
        <v>1</v>
      </c>
    </row>
    <row r="685">
      <c r="A685" s="7" t="n">
        <v>1</v>
      </c>
    </row>
    <row r="686">
      <c r="A686" s="7" t="n">
        <v>1</v>
      </c>
    </row>
    <row r="687">
      <c r="A687" s="7" t="n">
        <v>1</v>
      </c>
    </row>
    <row r="688">
      <c r="A688" s="7" t="n">
        <v>1</v>
      </c>
    </row>
    <row r="689">
      <c r="A689" s="7" t="n">
        <v>1</v>
      </c>
    </row>
    <row r="690">
      <c r="A690" s="7" t="n">
        <v>1</v>
      </c>
    </row>
    <row r="691">
      <c r="A691" s="7" t="n">
        <v>1</v>
      </c>
    </row>
    <row r="692">
      <c r="A692" s="7" t="n">
        <v>1</v>
      </c>
    </row>
    <row r="693">
      <c r="A693" s="7" t="n">
        <v>1</v>
      </c>
    </row>
    <row r="694">
      <c r="A694" s="7" t="n">
        <v>1</v>
      </c>
    </row>
    <row r="695">
      <c r="A695" s="7" t="n">
        <v>1</v>
      </c>
    </row>
    <row r="696">
      <c r="A696" s="7" t="n">
        <v>1</v>
      </c>
    </row>
    <row r="697">
      <c r="A697" s="7" t="n">
        <v>1</v>
      </c>
    </row>
    <row r="698">
      <c r="A698" s="7" t="n">
        <v>1</v>
      </c>
    </row>
    <row r="699">
      <c r="A699" s="7" t="n">
        <v>1</v>
      </c>
    </row>
    <row r="700">
      <c r="A700" s="7" t="n">
        <v>1</v>
      </c>
    </row>
    <row r="701">
      <c r="A701" s="7" t="n">
        <v>1</v>
      </c>
    </row>
    <row r="702">
      <c r="A702" s="7" t="n">
        <v>1</v>
      </c>
    </row>
    <row r="703">
      <c r="A703" s="7" t="n">
        <v>1</v>
      </c>
    </row>
    <row r="704">
      <c r="A704" s="7" t="n">
        <v>1</v>
      </c>
    </row>
    <row r="705">
      <c r="A705" s="7" t="n">
        <v>1</v>
      </c>
    </row>
    <row r="706">
      <c r="A706" s="7" t="n">
        <v>1</v>
      </c>
    </row>
    <row r="707">
      <c r="A707" s="7" t="n">
        <v>1</v>
      </c>
    </row>
    <row r="708">
      <c r="A708" s="7" t="n">
        <v>1</v>
      </c>
    </row>
    <row r="709">
      <c r="A709" s="7" t="n">
        <v>1</v>
      </c>
    </row>
    <row r="710">
      <c r="A710" s="7" t="n">
        <v>1</v>
      </c>
    </row>
    <row r="711">
      <c r="A711" s="7" t="n">
        <v>1</v>
      </c>
    </row>
    <row r="712">
      <c r="A712" s="7" t="n">
        <v>1</v>
      </c>
    </row>
    <row r="713">
      <c r="A713" s="7" t="n">
        <v>1</v>
      </c>
    </row>
    <row r="714">
      <c r="A714" s="7" t="n">
        <v>1</v>
      </c>
    </row>
    <row r="715">
      <c r="A715" s="7" t="n">
        <v>1</v>
      </c>
    </row>
    <row r="716">
      <c r="A716" s="7" t="n">
        <v>1</v>
      </c>
    </row>
    <row r="717">
      <c r="A717" s="7" t="n">
        <v>1</v>
      </c>
    </row>
    <row r="718">
      <c r="A718" s="7" t="n">
        <v>1</v>
      </c>
    </row>
    <row r="719">
      <c r="A719" s="7" t="n">
        <v>1</v>
      </c>
    </row>
    <row r="720">
      <c r="A720" s="7" t="n">
        <v>1</v>
      </c>
    </row>
    <row r="721">
      <c r="A721" s="7" t="n">
        <v>1</v>
      </c>
    </row>
    <row r="722">
      <c r="A722" s="7" t="n">
        <v>1</v>
      </c>
    </row>
    <row r="723">
      <c r="A723" s="7" t="n">
        <v>1</v>
      </c>
    </row>
    <row r="724">
      <c r="A724" s="7" t="n">
        <v>1</v>
      </c>
    </row>
    <row r="725">
      <c r="A725" s="7" t="n">
        <v>1</v>
      </c>
    </row>
    <row r="726">
      <c r="A726" s="7" t="n">
        <v>1</v>
      </c>
    </row>
    <row r="727">
      <c r="A727" s="7" t="n">
        <v>1</v>
      </c>
    </row>
    <row r="728">
      <c r="A728" s="7" t="n">
        <v>1</v>
      </c>
    </row>
    <row r="729">
      <c r="A729" s="7" t="n">
        <v>1</v>
      </c>
    </row>
    <row r="730">
      <c r="A730" s="7" t="n">
        <v>1</v>
      </c>
    </row>
    <row r="731">
      <c r="A731" s="7" t="n">
        <v>1</v>
      </c>
    </row>
    <row r="732">
      <c r="A732" s="7" t="n">
        <v>1</v>
      </c>
    </row>
    <row r="733">
      <c r="A733" s="7" t="n">
        <v>1</v>
      </c>
    </row>
    <row r="734">
      <c r="A734" s="7" t="n">
        <v>1</v>
      </c>
    </row>
    <row r="735">
      <c r="A735" s="7" t="n">
        <v>1</v>
      </c>
    </row>
    <row r="736">
      <c r="A736" s="7" t="n">
        <v>1</v>
      </c>
    </row>
    <row r="737">
      <c r="A737" s="7" t="n">
        <v>1</v>
      </c>
    </row>
    <row r="738">
      <c r="A738" s="7" t="n">
        <v>1</v>
      </c>
    </row>
    <row r="739">
      <c r="A739" s="7" t="n">
        <v>1</v>
      </c>
    </row>
    <row r="740">
      <c r="A740" s="7" t="n">
        <v>1</v>
      </c>
    </row>
    <row r="741">
      <c r="A741" s="7" t="n">
        <v>1</v>
      </c>
    </row>
    <row r="742">
      <c r="A742" s="7" t="n">
        <v>1</v>
      </c>
    </row>
    <row r="743">
      <c r="A743" s="7" t="n">
        <v>1</v>
      </c>
    </row>
    <row r="744">
      <c r="A744" s="7" t="n">
        <v>1</v>
      </c>
    </row>
    <row r="745">
      <c r="A745" s="7" t="n">
        <v>1</v>
      </c>
    </row>
    <row r="746">
      <c r="A746" s="7" t="n">
        <v>1</v>
      </c>
    </row>
    <row r="747">
      <c r="A747" s="7" t="n">
        <v>1</v>
      </c>
    </row>
    <row r="748">
      <c r="A748" s="7" t="n">
        <v>1</v>
      </c>
    </row>
    <row r="749">
      <c r="A749" s="7" t="n">
        <v>1</v>
      </c>
    </row>
    <row r="750">
      <c r="A750" s="7" t="n">
        <v>1</v>
      </c>
    </row>
    <row r="751">
      <c r="A751" s="7" t="n">
        <v>1</v>
      </c>
    </row>
    <row r="752">
      <c r="A752" s="7" t="n">
        <v>1</v>
      </c>
    </row>
    <row r="753">
      <c r="A753" s="7" t="n">
        <v>1</v>
      </c>
    </row>
    <row r="754">
      <c r="A754" s="7" t="n">
        <v>1</v>
      </c>
    </row>
    <row r="755">
      <c r="A755" s="7" t="n">
        <v>1</v>
      </c>
    </row>
    <row r="756">
      <c r="A756" s="7" t="n">
        <v>1</v>
      </c>
    </row>
    <row r="757">
      <c r="A757" s="7" t="n">
        <v>1</v>
      </c>
    </row>
    <row r="758">
      <c r="A758" s="7" t="n">
        <v>1</v>
      </c>
    </row>
    <row r="759">
      <c r="A759" s="7" t="n">
        <v>1</v>
      </c>
    </row>
    <row r="760">
      <c r="A760" s="7" t="n">
        <v>1</v>
      </c>
    </row>
    <row r="761">
      <c r="A761" s="7" t="n">
        <v>1</v>
      </c>
    </row>
    <row r="762">
      <c r="A762" s="7" t="n">
        <v>1</v>
      </c>
    </row>
    <row r="763">
      <c r="A763" s="7" t="n">
        <v>1</v>
      </c>
    </row>
    <row r="764">
      <c r="A764" s="7" t="n">
        <v>1</v>
      </c>
    </row>
    <row r="765">
      <c r="A765" s="7" t="n">
        <v>1</v>
      </c>
    </row>
    <row r="766">
      <c r="A766" s="7" t="n">
        <v>1</v>
      </c>
    </row>
    <row r="767">
      <c r="A767" s="7" t="n">
        <v>1</v>
      </c>
    </row>
    <row r="768">
      <c r="A768" s="7" t="n">
        <v>1</v>
      </c>
    </row>
    <row r="769">
      <c r="A769" s="7" t="n">
        <v>1</v>
      </c>
    </row>
    <row r="770">
      <c r="A770" s="7" t="n">
        <v>1</v>
      </c>
    </row>
    <row r="771">
      <c r="A771" s="7" t="n">
        <v>1</v>
      </c>
    </row>
    <row r="772">
      <c r="A772" s="7" t="n">
        <v>1</v>
      </c>
    </row>
    <row r="773">
      <c r="A773" s="7" t="n">
        <v>1</v>
      </c>
    </row>
    <row r="774">
      <c r="A774" s="7" t="n">
        <v>1</v>
      </c>
    </row>
    <row r="775">
      <c r="A775" s="7" t="n">
        <v>1</v>
      </c>
    </row>
    <row r="776">
      <c r="A776" s="7" t="n">
        <v>1</v>
      </c>
    </row>
    <row r="777">
      <c r="A777" s="7" t="n">
        <v>1</v>
      </c>
    </row>
    <row r="778">
      <c r="A778" s="7" t="n">
        <v>1</v>
      </c>
    </row>
    <row r="779">
      <c r="A779" s="7" t="n">
        <v>1</v>
      </c>
    </row>
    <row r="780">
      <c r="A780" s="7" t="n">
        <v>1</v>
      </c>
    </row>
    <row r="781">
      <c r="A781" s="7" t="n">
        <v>1</v>
      </c>
    </row>
    <row r="782">
      <c r="A782" s="7" t="n">
        <v>1</v>
      </c>
    </row>
    <row r="783">
      <c r="A783" s="7" t="n">
        <v>1</v>
      </c>
    </row>
    <row r="784">
      <c r="A784" s="7" t="n">
        <v>1</v>
      </c>
    </row>
    <row r="785">
      <c r="A785" s="7" t="n">
        <v>1</v>
      </c>
    </row>
    <row r="786">
      <c r="A786" s="7" t="n">
        <v>1</v>
      </c>
    </row>
    <row r="787">
      <c r="A787" s="7" t="n">
        <v>1</v>
      </c>
    </row>
    <row r="788">
      <c r="A788" s="7" t="n">
        <v>1</v>
      </c>
    </row>
    <row r="789">
      <c r="A789" s="7" t="n">
        <v>1</v>
      </c>
    </row>
    <row r="790">
      <c r="A790" s="7" t="n">
        <v>1</v>
      </c>
    </row>
    <row r="791">
      <c r="A791" s="7" t="n">
        <v>1</v>
      </c>
    </row>
    <row r="792">
      <c r="A792" s="7" t="n">
        <v>1</v>
      </c>
    </row>
    <row r="793">
      <c r="A793" s="7" t="n">
        <v>1</v>
      </c>
    </row>
    <row r="794">
      <c r="A794" s="7" t="n">
        <v>1</v>
      </c>
    </row>
    <row r="795">
      <c r="A795" s="7" t="n">
        <v>1</v>
      </c>
    </row>
    <row r="796">
      <c r="A796" s="7" t="n">
        <v>1</v>
      </c>
    </row>
    <row r="797">
      <c r="A797" s="7" t="n">
        <v>1</v>
      </c>
    </row>
    <row r="798">
      <c r="A798" s="7" t="n">
        <v>1</v>
      </c>
    </row>
    <row r="799">
      <c r="A799" s="7" t="n">
        <v>1</v>
      </c>
    </row>
    <row r="800">
      <c r="A800" s="7" t="n">
        <v>1</v>
      </c>
    </row>
    <row r="801">
      <c r="A801" s="7" t="n">
        <v>1</v>
      </c>
    </row>
    <row r="802">
      <c r="A802" s="7" t="n">
        <v>1</v>
      </c>
    </row>
    <row r="803">
      <c r="A803" s="7" t="n">
        <v>1</v>
      </c>
    </row>
    <row r="804">
      <c r="A804" s="7" t="n">
        <v>1</v>
      </c>
    </row>
    <row r="805">
      <c r="A805" s="7" t="n">
        <v>1</v>
      </c>
    </row>
    <row r="806">
      <c r="A806" s="7" t="n">
        <v>1</v>
      </c>
    </row>
    <row r="807">
      <c r="A807" s="7" t="n">
        <v>1</v>
      </c>
    </row>
    <row r="808">
      <c r="A808" s="7" t="n">
        <v>1</v>
      </c>
    </row>
    <row r="809">
      <c r="A809" s="7" t="n">
        <v>1</v>
      </c>
    </row>
    <row r="810">
      <c r="A810" s="7" t="n">
        <v>1</v>
      </c>
    </row>
    <row r="811">
      <c r="A811" s="7" t="n">
        <v>1</v>
      </c>
    </row>
    <row r="812">
      <c r="A812" s="7" t="n">
        <v>1</v>
      </c>
    </row>
    <row r="813">
      <c r="A813" s="7" t="n">
        <v>1</v>
      </c>
    </row>
    <row r="814">
      <c r="A814" s="7" t="n">
        <v>1</v>
      </c>
    </row>
    <row r="815">
      <c r="A815" s="7" t="n">
        <v>1</v>
      </c>
    </row>
    <row r="816">
      <c r="A816" s="7" t="n">
        <v>1</v>
      </c>
    </row>
    <row r="817">
      <c r="A817" s="7" t="n">
        <v>1</v>
      </c>
    </row>
    <row r="818">
      <c r="A818" s="7" t="n">
        <v>1</v>
      </c>
    </row>
    <row r="819">
      <c r="A819" s="7" t="n">
        <v>1</v>
      </c>
    </row>
    <row r="820">
      <c r="A820" s="7" t="n">
        <v>1</v>
      </c>
    </row>
    <row r="821">
      <c r="A821" s="7" t="n">
        <v>1</v>
      </c>
    </row>
    <row r="822">
      <c r="A822" s="7" t="n">
        <v>1</v>
      </c>
    </row>
    <row r="823">
      <c r="A823" s="7" t="n">
        <v>1</v>
      </c>
    </row>
    <row r="824">
      <c r="A824" s="7" t="n">
        <v>1</v>
      </c>
    </row>
    <row r="825">
      <c r="A825" s="7" t="n">
        <v>1</v>
      </c>
    </row>
    <row r="826">
      <c r="A826" s="7" t="n">
        <v>1</v>
      </c>
    </row>
    <row r="827">
      <c r="A827" s="7" t="n">
        <v>1</v>
      </c>
    </row>
    <row r="828">
      <c r="A828" s="7" t="n">
        <v>1</v>
      </c>
    </row>
    <row r="829">
      <c r="A829" s="7" t="n">
        <v>1</v>
      </c>
    </row>
    <row r="830">
      <c r="A830" s="7" t="n">
        <v>1</v>
      </c>
    </row>
    <row r="831">
      <c r="A831" s="7" t="n">
        <v>1</v>
      </c>
    </row>
    <row r="832">
      <c r="A832" s="7" t="n">
        <v>1</v>
      </c>
    </row>
    <row r="833">
      <c r="A833" s="7" t="n">
        <v>1</v>
      </c>
    </row>
    <row r="834">
      <c r="A834" s="7" t="n">
        <v>1</v>
      </c>
    </row>
    <row r="835">
      <c r="A835" s="7" t="n">
        <v>1</v>
      </c>
    </row>
    <row r="836">
      <c r="A836" s="7" t="n">
        <v>1</v>
      </c>
    </row>
    <row r="837">
      <c r="A837" s="7" t="n">
        <v>1</v>
      </c>
    </row>
    <row r="838">
      <c r="A838" s="7" t="n">
        <v>1</v>
      </c>
    </row>
    <row r="839">
      <c r="A839" s="7" t="n">
        <v>1</v>
      </c>
    </row>
    <row r="840">
      <c r="A840" s="7" t="n">
        <v>1</v>
      </c>
    </row>
    <row r="841">
      <c r="A841" s="7" t="n">
        <v>1</v>
      </c>
    </row>
    <row r="842">
      <c r="A842" s="7" t="n">
        <v>1</v>
      </c>
    </row>
    <row r="843">
      <c r="A843" s="7" t="n">
        <v>1</v>
      </c>
    </row>
    <row r="844">
      <c r="A844" s="7" t="n">
        <v>1</v>
      </c>
    </row>
    <row r="845">
      <c r="A845" s="7" t="n">
        <v>1</v>
      </c>
    </row>
    <row r="846">
      <c r="A846" s="7" t="n">
        <v>1</v>
      </c>
    </row>
    <row r="847">
      <c r="A847" s="7" t="n">
        <v>1</v>
      </c>
    </row>
    <row r="848">
      <c r="A848" s="7" t="n">
        <v>1</v>
      </c>
    </row>
    <row r="849">
      <c r="A849" s="7" t="n">
        <v>1</v>
      </c>
    </row>
    <row r="850">
      <c r="A850" s="7" t="n">
        <v>1</v>
      </c>
    </row>
    <row r="851">
      <c r="A851" s="7" t="n">
        <v>1</v>
      </c>
    </row>
    <row r="852">
      <c r="A852" s="7" t="n">
        <v>1</v>
      </c>
    </row>
    <row r="853">
      <c r="A853" s="7" t="n">
        <v>1</v>
      </c>
    </row>
    <row r="854">
      <c r="A854" s="7" t="n">
        <v>1</v>
      </c>
    </row>
    <row r="855">
      <c r="A855" s="7" t="n">
        <v>1</v>
      </c>
    </row>
    <row r="856">
      <c r="A856" s="7" t="n">
        <v>1</v>
      </c>
    </row>
    <row r="857">
      <c r="A857" s="7" t="n">
        <v>1</v>
      </c>
    </row>
    <row r="858">
      <c r="A858" s="7" t="n">
        <v>1</v>
      </c>
    </row>
    <row r="859">
      <c r="A859" s="7" t="n">
        <v>1</v>
      </c>
    </row>
    <row r="860">
      <c r="A860" s="7" t="n">
        <v>1</v>
      </c>
    </row>
    <row r="861">
      <c r="A861" s="7" t="n">
        <v>1</v>
      </c>
    </row>
    <row r="862">
      <c r="A862" s="7" t="n">
        <v>1</v>
      </c>
    </row>
    <row r="863">
      <c r="A863" s="7" t="n">
        <v>1</v>
      </c>
    </row>
    <row r="864">
      <c r="A864" s="7" t="n">
        <v>1</v>
      </c>
    </row>
    <row r="865">
      <c r="A865" s="7" t="n">
        <v>1</v>
      </c>
    </row>
    <row r="866">
      <c r="A866" s="7" t="n">
        <v>1</v>
      </c>
    </row>
    <row r="867">
      <c r="A867" s="7" t="n">
        <v>1</v>
      </c>
    </row>
    <row r="868">
      <c r="A868" s="7" t="n">
        <v>1</v>
      </c>
    </row>
    <row r="869">
      <c r="A869" s="7" t="n">
        <v>1</v>
      </c>
    </row>
    <row r="870">
      <c r="A870" s="7" t="n">
        <v>1</v>
      </c>
    </row>
    <row r="871">
      <c r="A871" s="7" t="n">
        <v>1</v>
      </c>
    </row>
    <row r="872">
      <c r="A872" s="7" t="n">
        <v>1</v>
      </c>
    </row>
    <row r="873">
      <c r="A873" s="7" t="n">
        <v>1</v>
      </c>
    </row>
    <row r="874">
      <c r="A874" s="7" t="n">
        <v>1</v>
      </c>
    </row>
    <row r="875">
      <c r="A875" s="7" t="n">
        <v>1</v>
      </c>
    </row>
    <row r="876">
      <c r="A876" s="7" t="n">
        <v>1</v>
      </c>
    </row>
    <row r="877">
      <c r="A877" s="7" t="n">
        <v>1</v>
      </c>
    </row>
    <row r="878">
      <c r="A878" s="7" t="n">
        <v>1</v>
      </c>
    </row>
    <row r="879">
      <c r="A879" s="7" t="n">
        <v>1</v>
      </c>
    </row>
    <row r="880">
      <c r="A880" s="7" t="n">
        <v>1</v>
      </c>
    </row>
    <row r="881">
      <c r="A881" s="7" t="n">
        <v>1</v>
      </c>
    </row>
    <row r="882">
      <c r="A882" s="7" t="n">
        <v>1</v>
      </c>
    </row>
    <row r="883">
      <c r="A883" s="7" t="n">
        <v>1</v>
      </c>
    </row>
    <row r="884">
      <c r="A884" s="7" t="n">
        <v>1</v>
      </c>
    </row>
    <row r="885">
      <c r="A885" s="7" t="n">
        <v>1</v>
      </c>
    </row>
    <row r="886">
      <c r="A886" s="7" t="n">
        <v>1</v>
      </c>
    </row>
    <row r="887">
      <c r="A887" s="7" t="n">
        <v>1</v>
      </c>
    </row>
    <row r="888">
      <c r="A888" s="7" t="n">
        <v>1</v>
      </c>
    </row>
    <row r="889">
      <c r="A889" s="7" t="n">
        <v>1</v>
      </c>
    </row>
    <row r="890">
      <c r="A890" s="7" t="n">
        <v>1</v>
      </c>
    </row>
    <row r="891">
      <c r="A891" s="7" t="n">
        <v>1</v>
      </c>
    </row>
    <row r="892">
      <c r="A892" s="7" t="n">
        <v>1</v>
      </c>
    </row>
    <row r="893">
      <c r="A893" s="7" t="n">
        <v>1</v>
      </c>
    </row>
    <row r="894">
      <c r="A894" s="7" t="n">
        <v>1</v>
      </c>
    </row>
    <row r="895">
      <c r="A895" s="7" t="n">
        <v>1</v>
      </c>
    </row>
    <row r="896">
      <c r="A896" s="7" t="n">
        <v>1</v>
      </c>
    </row>
    <row r="897">
      <c r="A897" s="7" t="n">
        <v>1</v>
      </c>
    </row>
    <row r="898">
      <c r="A898" s="7" t="n">
        <v>1</v>
      </c>
    </row>
    <row r="899">
      <c r="A899" s="7" t="n">
        <v>1</v>
      </c>
    </row>
    <row r="900">
      <c r="A900" s="7" t="n">
        <v>1</v>
      </c>
    </row>
    <row r="901">
      <c r="A901" s="7" t="n">
        <v>1</v>
      </c>
    </row>
    <row r="902">
      <c r="A902" s="7" t="n">
        <v>1</v>
      </c>
    </row>
    <row r="903">
      <c r="A903" s="7" t="n">
        <v>1</v>
      </c>
    </row>
    <row r="904">
      <c r="A904" s="7" t="n">
        <v>1</v>
      </c>
    </row>
    <row r="905">
      <c r="A905" s="7" t="n">
        <v>1</v>
      </c>
    </row>
    <row r="906">
      <c r="A906" s="7" t="n">
        <v>1</v>
      </c>
    </row>
    <row r="907">
      <c r="A907" s="7" t="n">
        <v>1</v>
      </c>
    </row>
    <row r="908">
      <c r="A908" s="7" t="n">
        <v>1</v>
      </c>
    </row>
    <row r="909">
      <c r="A909" s="7" t="n">
        <v>1</v>
      </c>
    </row>
    <row r="910">
      <c r="A910" s="7" t="n">
        <v>1</v>
      </c>
    </row>
    <row r="911">
      <c r="A911" s="7" t="n">
        <v>1</v>
      </c>
    </row>
    <row r="912">
      <c r="A912" s="7" t="n">
        <v>1</v>
      </c>
    </row>
    <row r="913">
      <c r="A913" s="7" t="n">
        <v>1</v>
      </c>
    </row>
    <row r="914">
      <c r="A914" s="7" t="n">
        <v>1</v>
      </c>
    </row>
    <row r="915">
      <c r="A915" s="7" t="n">
        <v>1</v>
      </c>
    </row>
    <row r="916">
      <c r="A916" s="7" t="n">
        <v>1</v>
      </c>
    </row>
    <row r="917">
      <c r="A917" s="7" t="n">
        <v>1</v>
      </c>
    </row>
    <row r="918">
      <c r="A918" s="7" t="n">
        <v>1</v>
      </c>
    </row>
    <row r="919">
      <c r="A919" s="7" t="n">
        <v>1</v>
      </c>
    </row>
    <row r="920">
      <c r="A920" s="7" t="n">
        <v>1</v>
      </c>
    </row>
    <row r="921">
      <c r="A921" s="7" t="n">
        <v>1</v>
      </c>
    </row>
    <row r="922">
      <c r="A922" s="7" t="n">
        <v>1</v>
      </c>
    </row>
    <row r="923">
      <c r="A923" s="7" t="n">
        <v>1</v>
      </c>
    </row>
    <row r="924">
      <c r="A924" s="7" t="n">
        <v>1</v>
      </c>
    </row>
    <row r="925">
      <c r="A925" s="7" t="n">
        <v>1</v>
      </c>
    </row>
    <row r="926">
      <c r="A926" s="7" t="n">
        <v>1</v>
      </c>
    </row>
    <row r="927">
      <c r="A927" s="7" t="n">
        <v>1</v>
      </c>
    </row>
    <row r="928">
      <c r="A928" s="7" t="n">
        <v>1</v>
      </c>
    </row>
    <row r="929">
      <c r="A929" s="7" t="n">
        <v>1</v>
      </c>
    </row>
    <row r="930">
      <c r="A930" s="7" t="n">
        <v>1</v>
      </c>
    </row>
    <row r="931">
      <c r="A931" s="7" t="n">
        <v>1</v>
      </c>
    </row>
    <row r="932">
      <c r="A932" s="7" t="n">
        <v>1</v>
      </c>
    </row>
    <row r="933">
      <c r="A933" s="7" t="n">
        <v>1</v>
      </c>
    </row>
    <row r="934">
      <c r="A934" s="7" t="n">
        <v>1</v>
      </c>
    </row>
    <row r="935">
      <c r="A935" s="7" t="n">
        <v>1</v>
      </c>
    </row>
    <row r="936">
      <c r="A936" s="7" t="n">
        <v>1</v>
      </c>
    </row>
    <row r="937">
      <c r="A937" s="7" t="n">
        <v>1</v>
      </c>
    </row>
    <row r="938">
      <c r="A938" s="7" t="n">
        <v>1</v>
      </c>
    </row>
    <row r="939">
      <c r="A939" s="7" t="n">
        <v>1</v>
      </c>
    </row>
    <row r="940">
      <c r="A940" s="7" t="n">
        <v>1</v>
      </c>
    </row>
    <row r="941">
      <c r="A941" s="7" t="n">
        <v>1</v>
      </c>
    </row>
    <row r="942">
      <c r="A942" s="7" t="n">
        <v>1</v>
      </c>
    </row>
    <row r="943">
      <c r="A943" s="7" t="n">
        <v>1</v>
      </c>
    </row>
    <row r="944">
      <c r="A944" s="7" t="n">
        <v>1</v>
      </c>
    </row>
    <row r="945">
      <c r="A945" s="7" t="n">
        <v>1</v>
      </c>
    </row>
    <row r="946">
      <c r="A946" s="7" t="n">
        <v>1</v>
      </c>
    </row>
    <row r="947">
      <c r="A947" s="7" t="n">
        <v>1</v>
      </c>
    </row>
    <row r="948">
      <c r="A948" s="7" t="n">
        <v>1</v>
      </c>
    </row>
    <row r="949">
      <c r="A949" s="7" t="n">
        <v>1</v>
      </c>
    </row>
    <row r="950">
      <c r="A950" s="7" t="n">
        <v>1</v>
      </c>
    </row>
    <row r="951">
      <c r="A951" s="7" t="n">
        <v>1</v>
      </c>
    </row>
    <row r="952">
      <c r="A952" s="7" t="n">
        <v>1</v>
      </c>
    </row>
    <row r="953">
      <c r="A953" s="7" t="n">
        <v>1</v>
      </c>
    </row>
    <row r="954">
      <c r="A954" s="7" t="n">
        <v>1</v>
      </c>
    </row>
    <row r="955">
      <c r="A955" s="7" t="n">
        <v>1</v>
      </c>
    </row>
    <row r="956">
      <c r="A956" s="7" t="n">
        <v>1</v>
      </c>
    </row>
    <row r="957">
      <c r="A957" s="7" t="n">
        <v>1</v>
      </c>
    </row>
    <row r="958">
      <c r="A958" s="7" t="n">
        <v>1</v>
      </c>
    </row>
    <row r="959">
      <c r="A959" s="7" t="n">
        <v>1</v>
      </c>
    </row>
    <row r="960">
      <c r="A960" s="7" t="n">
        <v>1</v>
      </c>
    </row>
    <row r="961">
      <c r="A961" s="7" t="n">
        <v>1</v>
      </c>
    </row>
    <row r="962">
      <c r="A962" s="7" t="n">
        <v>1</v>
      </c>
    </row>
    <row r="963">
      <c r="A963" s="7" t="n">
        <v>1</v>
      </c>
    </row>
    <row r="964">
      <c r="A964" s="7" t="n">
        <v>1</v>
      </c>
    </row>
    <row r="965">
      <c r="A965" s="7" t="n">
        <v>1</v>
      </c>
    </row>
    <row r="966">
      <c r="A966" s="7" t="n">
        <v>1</v>
      </c>
    </row>
    <row r="967">
      <c r="A967" s="7" t="n">
        <v>1</v>
      </c>
    </row>
    <row r="968">
      <c r="A968" s="7" t="n">
        <v>1</v>
      </c>
    </row>
    <row r="969">
      <c r="A969" s="7" t="n">
        <v>1</v>
      </c>
    </row>
    <row r="970">
      <c r="A970" s="7" t="n">
        <v>1</v>
      </c>
    </row>
    <row r="971">
      <c r="A971" s="7" t="n">
        <v>1</v>
      </c>
    </row>
    <row r="972">
      <c r="A972" s="7" t="n">
        <v>1</v>
      </c>
    </row>
    <row r="973">
      <c r="A973" s="7" t="n">
        <v>1</v>
      </c>
    </row>
    <row r="974">
      <c r="A974" s="7" t="n">
        <v>1</v>
      </c>
    </row>
    <row r="975">
      <c r="A975" s="7" t="n">
        <v>1</v>
      </c>
    </row>
    <row r="976">
      <c r="A976" s="7" t="n">
        <v>1</v>
      </c>
    </row>
    <row r="977">
      <c r="A977" s="7" t="n">
        <v>1</v>
      </c>
    </row>
    <row r="978">
      <c r="A978" s="7" t="n">
        <v>1</v>
      </c>
    </row>
    <row r="979">
      <c r="A979" s="7" t="n">
        <v>1</v>
      </c>
    </row>
    <row r="980">
      <c r="A980" s="7" t="n">
        <v>1</v>
      </c>
    </row>
    <row r="981">
      <c r="A981" s="7" t="n">
        <v>1</v>
      </c>
    </row>
    <row r="982">
      <c r="A982" s="7" t="n">
        <v>1</v>
      </c>
    </row>
    <row r="983">
      <c r="A983" s="7" t="n">
        <v>1</v>
      </c>
    </row>
    <row r="984">
      <c r="A984" s="7" t="n">
        <v>1</v>
      </c>
    </row>
    <row r="985">
      <c r="A985" s="7" t="n">
        <v>1</v>
      </c>
    </row>
    <row r="986">
      <c r="A986" s="7" t="n">
        <v>1</v>
      </c>
    </row>
    <row r="987">
      <c r="A987" s="7" t="n">
        <v>1</v>
      </c>
    </row>
    <row r="988">
      <c r="A988" s="7" t="n">
        <v>1</v>
      </c>
    </row>
    <row r="989">
      <c r="A989" s="7" t="n">
        <v>1</v>
      </c>
    </row>
    <row r="990">
      <c r="A990" s="7" t="n">
        <v>1</v>
      </c>
    </row>
    <row r="991">
      <c r="A991" s="7" t="n">
        <v>1</v>
      </c>
    </row>
    <row r="992">
      <c r="A992" s="7" t="n">
        <v>1</v>
      </c>
    </row>
    <row r="993">
      <c r="A993" s="7" t="n">
        <v>1</v>
      </c>
    </row>
    <row r="994">
      <c r="A994" s="7" t="n">
        <v>1</v>
      </c>
    </row>
    <row r="995">
      <c r="A995" s="7" t="n">
        <v>1</v>
      </c>
    </row>
    <row r="996">
      <c r="A996" s="7" t="n">
        <v>1</v>
      </c>
    </row>
    <row r="997">
      <c r="A997" s="7" t="n">
        <v>1</v>
      </c>
    </row>
    <row r="998">
      <c r="A998" s="7" t="n">
        <v>1</v>
      </c>
    </row>
    <row r="999">
      <c r="A999" s="7" t="n">
        <v>1</v>
      </c>
    </row>
    <row r="1000">
      <c r="A1000" s="7" t="n">
        <v>1</v>
      </c>
    </row>
    <row r="1001">
      <c r="A1001" s="7" t="n">
        <v>1</v>
      </c>
    </row>
    <row r="1002">
      <c r="A1002" s="7" t="n">
        <v>1</v>
      </c>
    </row>
    <row r="1003">
      <c r="A1003" s="7" t="n">
        <v>1</v>
      </c>
    </row>
    <row r="1004">
      <c r="A1004" s="7" t="n">
        <v>1</v>
      </c>
    </row>
    <row r="1005">
      <c r="A1005" s="7" t="n">
        <v>1</v>
      </c>
    </row>
    <row r="1006">
      <c r="A1006" s="7" t="n">
        <v>1</v>
      </c>
    </row>
    <row r="1007">
      <c r="A1007" s="7" t="n">
        <v>1</v>
      </c>
    </row>
    <row r="1008">
      <c r="A1008" s="7" t="n">
        <v>1</v>
      </c>
    </row>
    <row r="1009">
      <c r="A1009" s="7" t="n">
        <v>1</v>
      </c>
    </row>
    <row r="1010">
      <c r="A1010" s="7" t="n">
        <v>1</v>
      </c>
    </row>
    <row r="1011">
      <c r="A1011" s="7" t="n">
        <v>1</v>
      </c>
    </row>
    <row r="1012">
      <c r="A1012" s="7" t="n">
        <v>1</v>
      </c>
    </row>
    <row r="1013">
      <c r="A1013" s="7" t="n">
        <v>1</v>
      </c>
    </row>
    <row r="1014">
      <c r="A1014" s="7" t="n">
        <v>1</v>
      </c>
    </row>
    <row r="1015">
      <c r="A1015" s="7" t="n">
        <v>1</v>
      </c>
    </row>
    <row r="1016">
      <c r="A1016" s="7" t="n">
        <v>1</v>
      </c>
    </row>
    <row r="1017">
      <c r="A1017" s="7" t="n">
        <v>1</v>
      </c>
    </row>
    <row r="1018">
      <c r="A1018" s="7" t="n">
        <v>1</v>
      </c>
    </row>
    <row r="1019">
      <c r="A1019" s="7" t="n">
        <v>1</v>
      </c>
    </row>
    <row r="1020">
      <c r="A1020" s="7" t="n">
        <v>1</v>
      </c>
    </row>
    <row r="1021">
      <c r="A1021" s="7" t="n">
        <v>1</v>
      </c>
    </row>
    <row r="1022">
      <c r="A1022" s="7" t="n">
        <v>1</v>
      </c>
    </row>
    <row r="1023">
      <c r="A1023" s="7" t="n">
        <v>1</v>
      </c>
    </row>
    <row r="1024">
      <c r="A1024" s="7" t="n">
        <v>1</v>
      </c>
    </row>
    <row r="1025">
      <c r="A1025" s="7" t="n">
        <v>1</v>
      </c>
    </row>
    <row r="1026">
      <c r="A1026" s="7" t="n">
        <v>1</v>
      </c>
    </row>
    <row r="1027">
      <c r="A1027" s="7" t="n">
        <v>1</v>
      </c>
    </row>
    <row r="1028">
      <c r="A1028" s="7" t="n">
        <v>1</v>
      </c>
    </row>
    <row r="1029">
      <c r="A1029" s="7" t="n">
        <v>1</v>
      </c>
    </row>
    <row r="1030">
      <c r="A1030" s="7" t="n">
        <v>1</v>
      </c>
    </row>
    <row r="1031">
      <c r="A1031" s="7" t="n">
        <v>1</v>
      </c>
    </row>
    <row r="1032">
      <c r="A1032" s="7" t="n">
        <v>1</v>
      </c>
    </row>
    <row r="1033">
      <c r="A1033" s="7" t="n">
        <v>1</v>
      </c>
    </row>
    <row r="1034">
      <c r="A1034" s="7" t="n">
        <v>1</v>
      </c>
    </row>
    <row r="1035">
      <c r="A1035" s="7" t="n">
        <v>1</v>
      </c>
    </row>
    <row r="1036">
      <c r="A1036" s="7" t="n">
        <v>1</v>
      </c>
    </row>
    <row r="1037">
      <c r="A1037" s="7" t="n">
        <v>1</v>
      </c>
    </row>
    <row r="1038">
      <c r="A1038" s="7" t="n">
        <v>1</v>
      </c>
    </row>
    <row r="1039">
      <c r="A1039" s="7" t="n">
        <v>1</v>
      </c>
    </row>
    <row r="1040">
      <c r="A1040" s="7" t="n">
        <v>1</v>
      </c>
    </row>
    <row r="1041">
      <c r="A1041" s="7" t="n">
        <v>1</v>
      </c>
    </row>
    <row r="1042">
      <c r="A1042" s="7" t="n">
        <v>1</v>
      </c>
    </row>
    <row r="1043">
      <c r="A1043" s="7" t="n">
        <v>1</v>
      </c>
    </row>
    <row r="1044">
      <c r="A1044" s="7" t="n">
        <v>1</v>
      </c>
    </row>
    <row r="1045">
      <c r="A1045" s="7" t="n">
        <v>1</v>
      </c>
    </row>
    <row r="1046">
      <c r="A1046" s="7" t="n">
        <v>1</v>
      </c>
    </row>
    <row r="1047">
      <c r="A1047" s="7" t="n">
        <v>1</v>
      </c>
    </row>
    <row r="1048">
      <c r="A1048" s="7" t="n">
        <v>1</v>
      </c>
    </row>
    <row r="1049">
      <c r="A1049" s="7" t="n">
        <v>1</v>
      </c>
    </row>
    <row r="1050">
      <c r="A1050" s="7" t="n">
        <v>1</v>
      </c>
    </row>
    <row r="1051">
      <c r="A1051" s="7" t="n">
        <v>1</v>
      </c>
    </row>
    <row r="1052">
      <c r="A1052" s="7" t="n">
        <v>1</v>
      </c>
    </row>
    <row r="1053">
      <c r="A1053" s="7" t="n">
        <v>1</v>
      </c>
    </row>
    <row r="1054">
      <c r="A1054" s="7" t="n">
        <v>1</v>
      </c>
    </row>
    <row r="1055">
      <c r="A1055" s="7" t="n">
        <v>1</v>
      </c>
    </row>
    <row r="1056">
      <c r="A1056" s="7" t="n">
        <v>1</v>
      </c>
    </row>
    <row r="1057">
      <c r="A1057" s="7" t="n">
        <v>1</v>
      </c>
    </row>
    <row r="1058">
      <c r="A1058" s="7" t="n">
        <v>1</v>
      </c>
    </row>
    <row r="1059">
      <c r="A1059" s="7" t="n">
        <v>1</v>
      </c>
    </row>
    <row r="1060">
      <c r="A1060" s="7" t="n">
        <v>1</v>
      </c>
    </row>
    <row r="1061">
      <c r="A1061" s="7" t="n">
        <v>1</v>
      </c>
    </row>
    <row r="1062">
      <c r="A1062" s="7" t="n">
        <v>1</v>
      </c>
    </row>
    <row r="1063">
      <c r="A1063" s="7" t="n">
        <v>1</v>
      </c>
    </row>
    <row r="1064">
      <c r="A1064" s="7" t="n">
        <v>1</v>
      </c>
    </row>
    <row r="1065">
      <c r="A1065" s="7" t="n">
        <v>1</v>
      </c>
    </row>
    <row r="1066">
      <c r="A1066" s="7" t="n">
        <v>1</v>
      </c>
    </row>
    <row r="1067">
      <c r="A1067" s="7" t="n">
        <v>1</v>
      </c>
    </row>
    <row r="1068">
      <c r="A1068" s="7" t="n">
        <v>1</v>
      </c>
    </row>
    <row r="1069">
      <c r="A1069" s="7" t="n">
        <v>1</v>
      </c>
    </row>
    <row r="1070">
      <c r="A1070" s="7" t="n">
        <v>1</v>
      </c>
    </row>
    <row r="1071">
      <c r="A1071" s="7" t="n">
        <v>1</v>
      </c>
    </row>
    <row r="1072">
      <c r="A1072" s="7" t="n">
        <v>1</v>
      </c>
    </row>
    <row r="1073">
      <c r="A1073" s="7" t="n">
        <v>1</v>
      </c>
    </row>
    <row r="1074">
      <c r="A1074" s="7" t="n">
        <v>1</v>
      </c>
    </row>
    <row r="1075">
      <c r="A1075" s="7" t="n">
        <v>1</v>
      </c>
    </row>
    <row r="1076">
      <c r="A1076" s="7" t="n">
        <v>1</v>
      </c>
    </row>
    <row r="1077">
      <c r="A1077" s="7" t="n">
        <v>1</v>
      </c>
    </row>
    <row r="1078">
      <c r="A1078" s="7" t="n">
        <v>1</v>
      </c>
    </row>
    <row r="1079">
      <c r="A1079" s="7" t="n">
        <v>1</v>
      </c>
    </row>
    <row r="1080">
      <c r="A1080" s="7" t="n">
        <v>1</v>
      </c>
    </row>
    <row r="1081">
      <c r="A1081" s="7" t="n">
        <v>1</v>
      </c>
    </row>
    <row r="1082">
      <c r="A1082" s="7" t="n">
        <v>1</v>
      </c>
    </row>
    <row r="1083">
      <c r="A1083" s="7" t="n">
        <v>1</v>
      </c>
    </row>
    <row r="1084">
      <c r="A1084" s="7" t="n">
        <v>1</v>
      </c>
    </row>
    <row r="1085">
      <c r="A1085" s="7" t="n">
        <v>1</v>
      </c>
    </row>
    <row r="1086">
      <c r="A1086" s="7" t="n">
        <v>1</v>
      </c>
    </row>
    <row r="1087">
      <c r="A1087" s="7" t="n">
        <v>1</v>
      </c>
    </row>
    <row r="1088">
      <c r="A1088" s="7" t="n">
        <v>1</v>
      </c>
    </row>
    <row r="1089">
      <c r="A1089" s="7" t="n">
        <v>1</v>
      </c>
    </row>
    <row r="1090">
      <c r="A1090" s="7" t="n">
        <v>1</v>
      </c>
    </row>
    <row r="1091">
      <c r="A1091" s="7" t="n">
        <v>1</v>
      </c>
    </row>
    <row r="1092">
      <c r="A1092" s="7" t="n">
        <v>1</v>
      </c>
    </row>
    <row r="1093">
      <c r="A1093" s="7" t="n">
        <v>1</v>
      </c>
    </row>
    <row r="1094">
      <c r="A1094" s="7" t="n">
        <v>1</v>
      </c>
    </row>
    <row r="1095">
      <c r="A1095" s="7" t="n">
        <v>1</v>
      </c>
    </row>
    <row r="1096">
      <c r="A1096" s="7" t="n">
        <v>1</v>
      </c>
    </row>
    <row r="1097">
      <c r="A1097" s="7" t="n">
        <v>1</v>
      </c>
    </row>
    <row r="1098">
      <c r="A1098" s="7" t="n">
        <v>1</v>
      </c>
    </row>
    <row r="1099">
      <c r="A1099" s="7" t="n">
        <v>1</v>
      </c>
    </row>
    <row r="1100">
      <c r="A1100" s="7" t="n">
        <v>1</v>
      </c>
    </row>
    <row r="1101">
      <c r="A1101" s="7" t="n">
        <v>1</v>
      </c>
    </row>
    <row r="1102">
      <c r="A1102" s="7" t="n">
        <v>1</v>
      </c>
    </row>
    <row r="1103">
      <c r="A1103" s="7" t="n">
        <v>1</v>
      </c>
    </row>
    <row r="1104">
      <c r="A1104" s="7" t="n">
        <v>1</v>
      </c>
    </row>
    <row r="1105">
      <c r="A1105" s="7" t="n">
        <v>1</v>
      </c>
    </row>
    <row r="1106">
      <c r="A1106" s="7" t="n">
        <v>1</v>
      </c>
    </row>
    <row r="1107">
      <c r="A1107" s="7" t="n">
        <v>1</v>
      </c>
    </row>
    <row r="1108">
      <c r="A1108" s="7" t="n">
        <v>1</v>
      </c>
    </row>
    <row r="1109">
      <c r="A1109" s="7" t="n">
        <v>1</v>
      </c>
    </row>
    <row r="1110">
      <c r="A1110" s="7" t="n">
        <v>1</v>
      </c>
    </row>
    <row r="1111">
      <c r="A1111" s="7" t="n">
        <v>1</v>
      </c>
    </row>
    <row r="1112">
      <c r="A1112" s="7" t="n">
        <v>1</v>
      </c>
    </row>
    <row r="1113">
      <c r="A1113" s="7" t="n">
        <v>1</v>
      </c>
    </row>
    <row r="1114">
      <c r="A1114" s="7" t="n">
        <v>1</v>
      </c>
    </row>
    <row r="1115">
      <c r="A1115" s="7" t="n">
        <v>1</v>
      </c>
    </row>
    <row r="1116">
      <c r="A1116" s="7" t="n">
        <v>1</v>
      </c>
    </row>
    <row r="1117">
      <c r="A1117" s="7" t="n">
        <v>1</v>
      </c>
    </row>
    <row r="1118">
      <c r="A1118" s="7" t="n">
        <v>1</v>
      </c>
    </row>
    <row r="1119">
      <c r="A1119" s="7" t="n">
        <v>1</v>
      </c>
    </row>
    <row r="1120">
      <c r="A1120" s="7" t="n">
        <v>1</v>
      </c>
    </row>
    <row r="1121">
      <c r="A1121" s="7" t="n">
        <v>1</v>
      </c>
    </row>
    <row r="1122">
      <c r="A1122" s="7" t="n">
        <v>1</v>
      </c>
    </row>
    <row r="1123">
      <c r="A1123" s="7" t="n">
        <v>1</v>
      </c>
    </row>
    <row r="1124">
      <c r="A1124" s="7" t="n">
        <v>1</v>
      </c>
    </row>
    <row r="1125">
      <c r="A1125" s="7" t="n">
        <v>1</v>
      </c>
    </row>
    <row r="1126">
      <c r="A1126" s="7" t="n">
        <v>1</v>
      </c>
    </row>
    <row r="1127">
      <c r="A1127" s="7" t="n">
        <v>1</v>
      </c>
    </row>
    <row r="1128">
      <c r="A1128" s="7" t="n">
        <v>1</v>
      </c>
    </row>
    <row r="1129">
      <c r="A1129" s="7" t="n">
        <v>1</v>
      </c>
    </row>
    <row r="1130">
      <c r="A1130" s="7" t="n">
        <v>1</v>
      </c>
    </row>
    <row r="1131">
      <c r="A1131" s="7" t="n">
        <v>1</v>
      </c>
    </row>
    <row r="1132">
      <c r="A1132" s="7" t="n">
        <v>1</v>
      </c>
    </row>
    <row r="1133">
      <c r="A1133" s="7" t="n">
        <v>1</v>
      </c>
    </row>
    <row r="1134">
      <c r="A1134" s="7" t="n">
        <v>1</v>
      </c>
    </row>
    <row r="1135">
      <c r="A1135" s="7" t="n">
        <v>1</v>
      </c>
    </row>
    <row r="1136">
      <c r="A1136" s="7" t="n">
        <v>1</v>
      </c>
    </row>
    <row r="1137">
      <c r="A1137" s="7" t="n">
        <v>1</v>
      </c>
    </row>
    <row r="1138">
      <c r="A1138" s="7" t="n">
        <v>1</v>
      </c>
    </row>
    <row r="1139">
      <c r="A1139" s="7" t="n">
        <v>1</v>
      </c>
    </row>
    <row r="1140">
      <c r="A1140" s="7" t="n">
        <v>1</v>
      </c>
    </row>
    <row r="1141">
      <c r="A1141" s="7" t="n">
        <v>1</v>
      </c>
    </row>
    <row r="1142">
      <c r="A1142" s="7" t="n">
        <v>1</v>
      </c>
    </row>
    <row r="1143">
      <c r="A1143" s="7" t="n">
        <v>1</v>
      </c>
    </row>
    <row r="1144">
      <c r="A1144" s="7" t="n">
        <v>1</v>
      </c>
    </row>
    <row r="1145">
      <c r="A1145" s="7" t="n">
        <v>1</v>
      </c>
    </row>
    <row r="1146">
      <c r="A1146" s="7" t="n">
        <v>1</v>
      </c>
    </row>
    <row r="1147">
      <c r="A1147" s="7" t="n">
        <v>1</v>
      </c>
    </row>
    <row r="1148">
      <c r="A1148" s="7" t="n">
        <v>1</v>
      </c>
    </row>
    <row r="1149">
      <c r="A1149" s="7" t="n">
        <v>1</v>
      </c>
    </row>
    <row r="1150">
      <c r="A1150" s="7" t="n">
        <v>1</v>
      </c>
    </row>
    <row r="1151">
      <c r="A1151" s="7" t="n">
        <v>1</v>
      </c>
    </row>
    <row r="1152">
      <c r="A1152" s="7" t="n">
        <v>1</v>
      </c>
    </row>
    <row r="1153">
      <c r="A1153" s="7" t="n">
        <v>1</v>
      </c>
    </row>
    <row r="1154">
      <c r="A1154" s="7" t="n">
        <v>1</v>
      </c>
    </row>
    <row r="1155">
      <c r="A1155" s="7" t="n">
        <v>1</v>
      </c>
    </row>
    <row r="1156">
      <c r="A1156" s="7" t="n">
        <v>1</v>
      </c>
    </row>
    <row r="1157">
      <c r="A1157" s="7" t="n">
        <v>1</v>
      </c>
    </row>
    <row r="1158">
      <c r="A1158" s="7" t="n">
        <v>1</v>
      </c>
    </row>
    <row r="1159">
      <c r="A1159" s="7" t="n">
        <v>1</v>
      </c>
    </row>
    <row r="1160">
      <c r="A1160" s="7" t="n">
        <v>1</v>
      </c>
    </row>
    <row r="1161">
      <c r="A1161" s="7" t="n">
        <v>1</v>
      </c>
    </row>
    <row r="1162">
      <c r="A1162" s="7" t="n">
        <v>1</v>
      </c>
    </row>
    <row r="1163">
      <c r="A1163" s="7" t="n">
        <v>1</v>
      </c>
    </row>
    <row r="1164">
      <c r="A1164" s="7" t="n">
        <v>1</v>
      </c>
    </row>
    <row r="1165">
      <c r="A1165" s="7" t="n">
        <v>1</v>
      </c>
    </row>
    <row r="1166">
      <c r="A1166" s="7" t="n">
        <v>1</v>
      </c>
    </row>
    <row r="1167">
      <c r="A1167" s="7" t="n">
        <v>1</v>
      </c>
    </row>
    <row r="1168">
      <c r="A1168" s="7" t="n">
        <v>1</v>
      </c>
    </row>
    <row r="1169">
      <c r="A1169" s="7" t="n">
        <v>1</v>
      </c>
    </row>
    <row r="1170">
      <c r="A1170" s="7" t="n">
        <v>1</v>
      </c>
    </row>
    <row r="1171">
      <c r="A1171" s="7" t="n">
        <v>1</v>
      </c>
    </row>
    <row r="1172">
      <c r="A1172" s="7" t="n">
        <v>1</v>
      </c>
    </row>
    <row r="1173">
      <c r="A1173" s="7" t="n">
        <v>1</v>
      </c>
    </row>
    <row r="1174">
      <c r="A1174" s="7" t="n">
        <v>1</v>
      </c>
    </row>
    <row r="1175">
      <c r="A1175" s="7" t="n">
        <v>1</v>
      </c>
    </row>
    <row r="1176">
      <c r="A1176" s="7" t="n">
        <v>1</v>
      </c>
    </row>
    <row r="1177">
      <c r="A1177" s="7" t="n">
        <v>1</v>
      </c>
    </row>
    <row r="1178">
      <c r="A1178" s="7" t="n">
        <v>1</v>
      </c>
    </row>
    <row r="1179">
      <c r="A1179" s="7" t="n">
        <v>1</v>
      </c>
    </row>
    <row r="1180">
      <c r="A1180" s="7" t="n">
        <v>1</v>
      </c>
    </row>
    <row r="1181">
      <c r="A1181" s="7" t="n">
        <v>1</v>
      </c>
    </row>
    <row r="1182">
      <c r="A1182" s="7" t="n">
        <v>1</v>
      </c>
    </row>
    <row r="1183">
      <c r="A1183" s="7" t="n">
        <v>1</v>
      </c>
    </row>
    <row r="1184">
      <c r="A1184" s="7" t="n">
        <v>1</v>
      </c>
    </row>
    <row r="1185">
      <c r="A1185" s="7" t="n">
        <v>1</v>
      </c>
    </row>
    <row r="1186">
      <c r="A1186" s="7" t="n">
        <v>1</v>
      </c>
    </row>
    <row r="1187">
      <c r="A1187" s="7" t="n">
        <v>1</v>
      </c>
    </row>
    <row r="1188">
      <c r="A1188" s="7" t="n">
        <v>1</v>
      </c>
    </row>
    <row r="1189">
      <c r="A1189" s="7" t="n">
        <v>1</v>
      </c>
    </row>
    <row r="1190">
      <c r="A1190" s="7" t="n">
        <v>1</v>
      </c>
    </row>
    <row r="1191">
      <c r="A1191" s="7" t="n">
        <v>1</v>
      </c>
    </row>
    <row r="1192">
      <c r="A1192" s="7" t="n">
        <v>1</v>
      </c>
    </row>
    <row r="1193">
      <c r="A1193" s="7" t="n">
        <v>1</v>
      </c>
    </row>
    <row r="1194">
      <c r="A1194" s="7" t="n">
        <v>1</v>
      </c>
    </row>
    <row r="1195">
      <c r="A1195" s="7" t="n">
        <v>1</v>
      </c>
    </row>
    <row r="1196">
      <c r="A1196" s="7" t="n">
        <v>1</v>
      </c>
    </row>
    <row r="1197">
      <c r="A1197" s="7" t="n">
        <v>1</v>
      </c>
    </row>
    <row r="1198">
      <c r="A1198" s="7" t="n">
        <v>1</v>
      </c>
    </row>
    <row r="1199">
      <c r="A1199" s="7" t="n">
        <v>1</v>
      </c>
    </row>
    <row r="1200">
      <c r="A1200" s="7" t="n">
        <v>1</v>
      </c>
    </row>
    <row r="1201">
      <c r="A1201" s="7" t="n">
        <v>1</v>
      </c>
    </row>
    <row r="1202">
      <c r="A1202" s="7" t="n">
        <v>1</v>
      </c>
    </row>
    <row r="1203">
      <c r="A1203" s="7" t="n">
        <v>1</v>
      </c>
    </row>
    <row r="1204">
      <c r="A1204" s="7" t="n">
        <v>1</v>
      </c>
    </row>
    <row r="1205">
      <c r="A1205" s="7" t="n">
        <v>1</v>
      </c>
    </row>
    <row r="1206">
      <c r="A1206" s="7" t="n">
        <v>1</v>
      </c>
    </row>
    <row r="1207">
      <c r="A1207" s="7" t="n">
        <v>1</v>
      </c>
    </row>
    <row r="1208">
      <c r="A1208" s="7" t="n">
        <v>1</v>
      </c>
    </row>
    <row r="1209">
      <c r="A1209" s="7" t="n">
        <v>1</v>
      </c>
    </row>
    <row r="1210">
      <c r="A1210" s="7" t="n">
        <v>1</v>
      </c>
    </row>
    <row r="1211">
      <c r="A1211" s="7" t="n">
        <v>1</v>
      </c>
    </row>
    <row r="1212">
      <c r="A1212" s="7" t="n">
        <v>1</v>
      </c>
    </row>
    <row r="1213">
      <c r="A1213" s="7" t="n">
        <v>1</v>
      </c>
    </row>
    <row r="1214">
      <c r="A1214" s="7" t="n">
        <v>1</v>
      </c>
    </row>
    <row r="1215">
      <c r="A1215" s="7" t="n">
        <v>1</v>
      </c>
    </row>
    <row r="1216">
      <c r="A1216" s="7" t="n">
        <v>1</v>
      </c>
    </row>
    <row r="1217">
      <c r="A1217" s="7" t="n">
        <v>1</v>
      </c>
    </row>
    <row r="1218">
      <c r="A1218" s="7" t="n">
        <v>1</v>
      </c>
    </row>
    <row r="1219">
      <c r="A1219" s="7" t="n">
        <v>1</v>
      </c>
    </row>
    <row r="1220">
      <c r="A1220" s="7" t="n">
        <v>1</v>
      </c>
    </row>
    <row r="1221">
      <c r="A1221" s="7" t="n">
        <v>1</v>
      </c>
    </row>
    <row r="1222">
      <c r="A1222" s="7" t="n">
        <v>1</v>
      </c>
    </row>
    <row r="1223">
      <c r="A1223" s="7" t="n">
        <v>1</v>
      </c>
    </row>
    <row r="1224">
      <c r="A1224" s="7" t="n">
        <v>1</v>
      </c>
    </row>
    <row r="1225">
      <c r="A1225" s="7" t="n">
        <v>1</v>
      </c>
    </row>
    <row r="1226">
      <c r="A1226" s="7" t="n">
        <v>1</v>
      </c>
    </row>
    <row r="1227">
      <c r="A1227" s="7" t="n">
        <v>1</v>
      </c>
    </row>
    <row r="1228">
      <c r="A1228" s="7" t="n">
        <v>1</v>
      </c>
    </row>
    <row r="1229">
      <c r="A1229" s="7" t="n">
        <v>1</v>
      </c>
    </row>
    <row r="1230">
      <c r="A1230" s="7" t="n">
        <v>1</v>
      </c>
    </row>
    <row r="1231">
      <c r="A1231" s="7" t="n">
        <v>1</v>
      </c>
    </row>
    <row r="1232">
      <c r="A1232" s="7" t="n">
        <v>1</v>
      </c>
    </row>
    <row r="1233">
      <c r="A1233" s="7" t="n">
        <v>1</v>
      </c>
    </row>
    <row r="1234">
      <c r="A1234" s="7" t="n">
        <v>1</v>
      </c>
    </row>
    <row r="1235">
      <c r="A1235" s="7" t="n">
        <v>1</v>
      </c>
    </row>
    <row r="1236">
      <c r="A1236" s="7" t="n">
        <v>1</v>
      </c>
    </row>
    <row r="1237">
      <c r="A1237" s="7" t="n">
        <v>1</v>
      </c>
    </row>
    <row r="1238">
      <c r="A1238" s="7" t="n">
        <v>1</v>
      </c>
    </row>
    <row r="1239">
      <c r="A1239" s="7" t="n">
        <v>1</v>
      </c>
    </row>
    <row r="1240">
      <c r="A1240" s="7" t="n">
        <v>1</v>
      </c>
    </row>
    <row r="1241">
      <c r="A1241" s="7" t="n">
        <v>1</v>
      </c>
    </row>
    <row r="1242">
      <c r="A1242" s="7" t="n">
        <v>1</v>
      </c>
    </row>
    <row r="1243">
      <c r="A1243" s="7" t="n">
        <v>1</v>
      </c>
    </row>
    <row r="1244">
      <c r="A1244" s="7" t="n">
        <v>1</v>
      </c>
    </row>
    <row r="1245">
      <c r="A1245" s="7" t="n">
        <v>1</v>
      </c>
    </row>
    <row r="1246">
      <c r="A1246" s="7" t="n">
        <v>1</v>
      </c>
    </row>
    <row r="1247">
      <c r="A1247" s="7" t="n">
        <v>1</v>
      </c>
    </row>
    <row r="1248">
      <c r="A1248" s="7" t="n">
        <v>1</v>
      </c>
    </row>
    <row r="1249">
      <c r="A1249" s="7" t="n">
        <v>1</v>
      </c>
    </row>
    <row r="1250">
      <c r="A1250" s="7" t="n">
        <v>1</v>
      </c>
      <c r="C1250" s="22" t="n"/>
    </row>
    <row r="1251">
      <c r="A1251" s="7" t="n">
        <v>1</v>
      </c>
      <c r="C1251" s="22" t="n"/>
    </row>
    <row r="1252">
      <c r="A1252" s="7" t="n">
        <v>1</v>
      </c>
      <c r="C1252" s="22" t="n"/>
    </row>
    <row r="1253">
      <c r="A1253" s="7" t="n">
        <v>1</v>
      </c>
      <c r="C1253" s="22" t="n"/>
    </row>
    <row r="1254">
      <c r="A1254" s="7" t="n">
        <v>1</v>
      </c>
      <c r="C1254" s="22" t="n"/>
    </row>
    <row r="1255">
      <c r="A1255" s="7" t="n">
        <v>1</v>
      </c>
      <c r="C1255" s="22" t="n"/>
    </row>
    <row r="1256">
      <c r="A1256" s="7" t="n">
        <v>1</v>
      </c>
      <c r="C1256" s="22" t="n"/>
    </row>
    <row r="1257">
      <c r="A1257" s="7" t="n">
        <v>1</v>
      </c>
      <c r="C1257" s="22" t="n"/>
    </row>
    <row r="1258">
      <c r="A1258" s="7" t="n">
        <v>1</v>
      </c>
      <c r="C1258" s="22" t="n"/>
    </row>
    <row r="1259">
      <c r="A1259" s="7" t="n">
        <v>1</v>
      </c>
      <c r="C1259" s="22" t="n"/>
    </row>
    <row r="1260">
      <c r="A1260" s="7" t="n">
        <v>1</v>
      </c>
      <c r="C1260" s="22" t="n"/>
    </row>
    <row r="1261">
      <c r="A1261" s="7" t="n">
        <v>1</v>
      </c>
      <c r="C1261" s="22" t="n"/>
    </row>
    <row r="1262">
      <c r="A1262" s="7" t="n">
        <v>1</v>
      </c>
      <c r="C1262" s="22" t="n"/>
    </row>
    <row r="1263">
      <c r="A1263" s="7" t="n">
        <v>1</v>
      </c>
      <c r="C1263" s="22" t="n"/>
    </row>
    <row r="1264">
      <c r="A1264" s="7" t="n">
        <v>1</v>
      </c>
      <c r="C1264" s="22" t="n"/>
    </row>
    <row r="1265">
      <c r="A1265" s="7" t="n">
        <v>1</v>
      </c>
      <c r="C1265" s="22" t="n"/>
    </row>
    <row r="1266">
      <c r="A1266" s="7" t="n">
        <v>1</v>
      </c>
      <c r="C1266" s="22" t="n"/>
    </row>
    <row r="1267">
      <c r="A1267" s="7" t="n">
        <v>1</v>
      </c>
      <c r="C1267" s="22" t="n"/>
    </row>
    <row r="1268">
      <c r="A1268" s="7" t="n">
        <v>1</v>
      </c>
      <c r="C1268" s="22" t="n"/>
    </row>
    <row r="1269">
      <c r="A1269" s="7" t="n">
        <v>1</v>
      </c>
      <c r="C1269" s="22" t="n"/>
    </row>
    <row r="1270">
      <c r="A1270" s="7" t="n">
        <v>1</v>
      </c>
      <c r="C1270" s="22" t="n"/>
    </row>
    <row r="1271">
      <c r="A1271" s="7" t="n">
        <v>1</v>
      </c>
      <c r="C1271" s="22" t="n"/>
    </row>
    <row r="1272">
      <c r="A1272" s="7" t="n">
        <v>1</v>
      </c>
      <c r="C1272" s="22" t="n"/>
    </row>
    <row r="1273">
      <c r="A1273" s="7" t="n">
        <v>1</v>
      </c>
      <c r="C1273" s="22" t="n"/>
    </row>
    <row r="1274">
      <c r="A1274" s="7" t="n">
        <v>1</v>
      </c>
      <c r="C1274" s="22" t="n"/>
    </row>
    <row r="1275">
      <c r="A1275" s="7" t="n">
        <v>1</v>
      </c>
      <c r="C1275" s="22" t="n"/>
    </row>
    <row r="1276">
      <c r="A1276" s="7" t="n">
        <v>1</v>
      </c>
      <c r="C1276" s="22" t="n"/>
    </row>
    <row r="1277">
      <c r="A1277" s="7" t="n">
        <v>1</v>
      </c>
      <c r="C1277" s="22" t="n"/>
    </row>
    <row r="1278">
      <c r="A1278" s="7" t="n">
        <v>1</v>
      </c>
      <c r="C1278" s="22" t="n"/>
    </row>
    <row r="1279">
      <c r="A1279" s="7" t="n">
        <v>1</v>
      </c>
      <c r="C1279" s="22" t="n"/>
    </row>
    <row r="1280">
      <c r="A1280" s="7" t="n">
        <v>1</v>
      </c>
      <c r="C1280" s="22" t="n"/>
    </row>
    <row r="1281">
      <c r="A1281" s="7" t="n">
        <v>1</v>
      </c>
      <c r="C1281" s="22" t="n"/>
    </row>
    <row r="1282">
      <c r="A1282" s="7" t="n">
        <v>1</v>
      </c>
      <c r="C1282" s="22" t="n"/>
    </row>
    <row r="1283">
      <c r="A1283" s="7" t="n">
        <v>1</v>
      </c>
      <c r="C1283" s="22" t="n"/>
    </row>
    <row r="1284">
      <c r="A1284" s="7" t="n">
        <v>1</v>
      </c>
      <c r="C1284" s="22" t="n"/>
    </row>
    <row r="1285">
      <c r="A1285" s="7" t="n">
        <v>1</v>
      </c>
      <c r="C1285" s="22" t="n"/>
    </row>
    <row r="1286">
      <c r="A1286" s="7" t="n">
        <v>1</v>
      </c>
      <c r="C1286" s="22" t="n"/>
    </row>
    <row r="1287">
      <c r="A1287" s="7" t="n">
        <v>1</v>
      </c>
      <c r="C1287" s="22" t="n"/>
    </row>
    <row r="1288">
      <c r="A1288" s="7" t="n">
        <v>1</v>
      </c>
      <c r="C1288" s="22" t="n"/>
    </row>
    <row r="1289">
      <c r="A1289" s="7" t="n">
        <v>1</v>
      </c>
      <c r="C1289" s="22" t="n"/>
    </row>
    <row r="1290">
      <c r="A1290" s="7" t="n">
        <v>1</v>
      </c>
      <c r="C1290" s="22" t="n"/>
    </row>
    <row r="1291">
      <c r="A1291" s="7" t="n">
        <v>1</v>
      </c>
      <c r="C1291" s="22" t="n"/>
    </row>
    <row r="1292">
      <c r="A1292" s="7" t="n">
        <v>1</v>
      </c>
      <c r="C1292" s="22" t="n"/>
    </row>
    <row r="1293">
      <c r="A1293" s="7" t="n">
        <v>1</v>
      </c>
      <c r="C1293" s="22" t="n"/>
    </row>
    <row r="1294">
      <c r="A1294" s="7" t="n">
        <v>1</v>
      </c>
      <c r="C1294" s="22" t="n"/>
    </row>
    <row r="1295">
      <c r="A1295" s="7" t="n">
        <v>1</v>
      </c>
      <c r="C1295" s="22" t="n"/>
    </row>
    <row r="1296">
      <c r="A1296" s="7" t="n">
        <v>1</v>
      </c>
      <c r="C1296" s="22" t="n"/>
    </row>
    <row r="1297">
      <c r="A1297" s="7" t="n">
        <v>1</v>
      </c>
      <c r="C1297" s="22" t="n"/>
    </row>
    <row r="1298">
      <c r="A1298" s="7" t="n">
        <v>1</v>
      </c>
      <c r="C1298" s="22" t="n"/>
    </row>
    <row r="1299">
      <c r="A1299" s="7" t="n">
        <v>1</v>
      </c>
      <c r="C1299" s="22" t="n"/>
    </row>
    <row r="1300">
      <c r="A1300" s="7" t="n">
        <v>1</v>
      </c>
      <c r="C1300" s="22" t="n"/>
    </row>
    <row r="1301">
      <c r="A1301" s="7" t="n">
        <v>1</v>
      </c>
      <c r="C1301" s="22" t="n"/>
    </row>
    <row r="1302">
      <c r="A1302" s="7" t="n">
        <v>1</v>
      </c>
      <c r="C1302" s="22" t="n"/>
    </row>
    <row r="1303">
      <c r="A1303" s="7" t="n">
        <v>1</v>
      </c>
      <c r="C1303" s="22" t="n"/>
    </row>
    <row r="1304">
      <c r="A1304" s="7" t="n">
        <v>1</v>
      </c>
      <c r="C1304" s="22" t="n"/>
    </row>
    <row r="1305">
      <c r="A1305" s="7" t="n">
        <v>1</v>
      </c>
      <c r="C1305" s="22" t="n"/>
    </row>
    <row r="1306">
      <c r="A1306" s="7" t="n">
        <v>1</v>
      </c>
      <c r="C1306" s="22" t="n"/>
    </row>
    <row r="1307">
      <c r="A1307" s="7" t="n">
        <v>1</v>
      </c>
      <c r="C1307" s="22" t="n"/>
    </row>
    <row r="1308">
      <c r="A1308" s="7" t="n">
        <v>1</v>
      </c>
      <c r="C1308" s="22" t="n"/>
    </row>
    <row r="1309">
      <c r="A1309" s="7" t="n">
        <v>1</v>
      </c>
      <c r="C1309" s="22" t="n"/>
    </row>
    <row r="1310">
      <c r="A1310" s="7" t="n">
        <v>1</v>
      </c>
      <c r="C1310" s="22" t="n"/>
    </row>
    <row r="1311">
      <c r="A1311" s="7" t="n">
        <v>1</v>
      </c>
      <c r="C1311" s="22" t="n"/>
    </row>
    <row r="1312">
      <c r="A1312" s="7" t="n">
        <v>1</v>
      </c>
      <c r="C1312" s="22" t="n"/>
    </row>
    <row r="1313">
      <c r="A1313" s="7" t="n">
        <v>1</v>
      </c>
      <c r="C1313" s="22" t="n"/>
    </row>
    <row r="1314">
      <c r="A1314" s="7" t="n">
        <v>1</v>
      </c>
      <c r="C1314" s="22" t="n"/>
    </row>
    <row r="1315">
      <c r="A1315" s="7" t="n">
        <v>1</v>
      </c>
      <c r="C1315" s="22" t="n"/>
    </row>
    <row r="1316">
      <c r="A1316" s="7" t="n">
        <v>1</v>
      </c>
      <c r="C1316" s="22" t="n"/>
    </row>
    <row r="1317">
      <c r="A1317" s="7" t="n">
        <v>1</v>
      </c>
      <c r="C1317" s="22" t="n"/>
    </row>
    <row r="1318">
      <c r="A1318" s="7" t="n">
        <v>1</v>
      </c>
      <c r="C1318" s="22" t="n"/>
    </row>
    <row r="1319">
      <c r="A1319" s="7" t="n">
        <v>1</v>
      </c>
      <c r="C1319" s="22" t="n"/>
    </row>
    <row r="1320">
      <c r="A1320" s="7" t="n">
        <v>1</v>
      </c>
      <c r="C1320" s="22" t="n"/>
    </row>
    <row r="1321">
      <c r="A1321" s="7" t="n">
        <v>1</v>
      </c>
      <c r="C1321" s="22" t="n"/>
    </row>
    <row r="1322">
      <c r="A1322" s="7" t="n">
        <v>1</v>
      </c>
      <c r="C1322" s="22" t="n"/>
    </row>
    <row r="1323">
      <c r="A1323" s="7" t="n">
        <v>1</v>
      </c>
      <c r="C1323" s="22" t="n"/>
    </row>
    <row r="1324">
      <c r="A1324" s="7" t="n">
        <v>1</v>
      </c>
      <c r="C1324" s="22" t="n"/>
    </row>
    <row r="1325">
      <c r="A1325" s="7" t="n">
        <v>1</v>
      </c>
      <c r="C1325" s="22" t="n"/>
    </row>
    <row r="1326">
      <c r="A1326" s="7" t="n">
        <v>1</v>
      </c>
      <c r="C1326" s="22" t="n"/>
    </row>
    <row r="1327">
      <c r="A1327" s="7" t="n">
        <v>1</v>
      </c>
      <c r="C1327" s="22" t="n"/>
    </row>
    <row r="1328">
      <c r="A1328" s="7" t="n">
        <v>1</v>
      </c>
      <c r="C1328" s="22" t="n"/>
    </row>
    <row r="1329">
      <c r="A1329" s="7" t="n">
        <v>1</v>
      </c>
      <c r="C1329" s="22" t="n"/>
    </row>
    <row r="1330">
      <c r="A1330" s="7" t="n">
        <v>1</v>
      </c>
      <c r="C1330" s="22" t="n"/>
    </row>
    <row r="1331">
      <c r="A1331" s="7" t="n">
        <v>1</v>
      </c>
      <c r="C1331" s="22" t="n"/>
    </row>
    <row r="1332">
      <c r="A1332" s="7" t="n">
        <v>1</v>
      </c>
      <c r="C1332" s="22" t="n"/>
    </row>
    <row r="1333">
      <c r="A1333" s="7" t="n">
        <v>1</v>
      </c>
      <c r="C1333" s="22" t="n"/>
    </row>
    <row r="1334">
      <c r="A1334" s="7" t="n">
        <v>1</v>
      </c>
      <c r="C1334" s="22" t="n"/>
    </row>
    <row r="1335">
      <c r="A1335" s="7" t="n">
        <v>1</v>
      </c>
      <c r="C1335" s="22" t="n"/>
    </row>
    <row r="1336">
      <c r="A1336" s="7" t="n">
        <v>1</v>
      </c>
      <c r="C1336" s="22" t="n"/>
    </row>
    <row r="1337">
      <c r="A1337" s="7" t="n">
        <v>1</v>
      </c>
      <c r="C1337" s="22" t="n"/>
    </row>
    <row r="1338">
      <c r="A1338" s="7" t="n">
        <v>1</v>
      </c>
      <c r="C1338" s="22" t="n"/>
    </row>
    <row r="1339">
      <c r="A1339" s="7" t="n">
        <v>1</v>
      </c>
      <c r="C1339" s="22" t="n"/>
    </row>
    <row r="1340">
      <c r="A1340" s="7" t="n">
        <v>1</v>
      </c>
      <c r="C1340" s="22" t="n"/>
    </row>
    <row r="1341">
      <c r="A1341" s="7" t="n">
        <v>1</v>
      </c>
      <c r="C1341" s="22" t="n"/>
    </row>
    <row r="1342">
      <c r="A1342" s="7" t="n">
        <v>1</v>
      </c>
      <c r="C1342" s="22" t="n"/>
    </row>
    <row r="1343">
      <c r="A1343" s="7" t="n">
        <v>1</v>
      </c>
      <c r="C1343" s="22" t="n"/>
    </row>
    <row r="1344">
      <c r="A1344" s="7" t="n">
        <v>1</v>
      </c>
      <c r="C1344" s="22" t="n"/>
    </row>
    <row r="1345">
      <c r="A1345" s="7" t="n">
        <v>1</v>
      </c>
      <c r="C1345" s="22" t="n"/>
    </row>
    <row r="1346">
      <c r="A1346" s="7" t="n">
        <v>1</v>
      </c>
      <c r="C1346" s="22" t="n"/>
    </row>
    <row r="1347">
      <c r="A1347" s="7" t="n">
        <v>1</v>
      </c>
      <c r="C1347" s="22" t="n"/>
    </row>
    <row r="1348">
      <c r="A1348" s="7" t="n">
        <v>1</v>
      </c>
      <c r="C1348" s="22" t="n"/>
    </row>
    <row r="1349">
      <c r="A1349" s="7" t="n">
        <v>1</v>
      </c>
      <c r="C1349" s="22" t="n"/>
    </row>
    <row r="1350">
      <c r="A1350" s="7" t="n">
        <v>1</v>
      </c>
      <c r="C1350" s="22" t="n"/>
    </row>
    <row r="1351">
      <c r="A1351" s="7" t="n">
        <v>1</v>
      </c>
      <c r="C1351" s="22" t="n"/>
    </row>
    <row r="1352">
      <c r="A1352" s="7" t="n">
        <v>1</v>
      </c>
      <c r="C1352" s="22" t="n"/>
    </row>
    <row r="1353">
      <c r="A1353" s="7" t="n">
        <v>1</v>
      </c>
      <c r="C1353" s="22" t="n"/>
    </row>
    <row r="1354">
      <c r="A1354" s="7" t="n">
        <v>1</v>
      </c>
      <c r="C1354" s="22" t="n"/>
    </row>
    <row r="1355">
      <c r="A1355" s="7" t="n">
        <v>1</v>
      </c>
      <c r="C1355" s="22" t="n"/>
    </row>
    <row r="1356">
      <c r="A1356" s="7" t="n">
        <v>1</v>
      </c>
      <c r="C1356" s="22" t="n"/>
    </row>
    <row r="1357">
      <c r="A1357" s="7" t="n">
        <v>1</v>
      </c>
      <c r="C1357" s="22" t="n"/>
    </row>
    <row r="1358">
      <c r="A1358" s="7" t="n">
        <v>1</v>
      </c>
      <c r="C1358" s="22" t="n"/>
    </row>
    <row r="1359">
      <c r="A1359" s="7" t="n">
        <v>1</v>
      </c>
      <c r="C1359" s="22" t="n"/>
    </row>
    <row r="1360">
      <c r="A1360" s="7" t="n">
        <v>1</v>
      </c>
      <c r="C1360" s="22" t="n"/>
    </row>
    <row r="1361">
      <c r="A1361" s="7" t="n">
        <v>1</v>
      </c>
      <c r="C1361" s="22" t="n"/>
    </row>
    <row r="1362">
      <c r="A1362" s="7" t="n">
        <v>1</v>
      </c>
      <c r="C1362" s="22" t="n"/>
    </row>
    <row r="1363">
      <c r="A1363" s="7" t="n">
        <v>1</v>
      </c>
      <c r="C1363" s="22" t="n"/>
    </row>
    <row r="1364">
      <c r="A1364" s="7" t="n">
        <v>1</v>
      </c>
      <c r="C1364" s="22" t="n"/>
    </row>
    <row r="1365">
      <c r="A1365" s="7" t="n">
        <v>1</v>
      </c>
      <c r="C1365" s="22" t="n"/>
    </row>
    <row r="1366">
      <c r="A1366" s="7" t="n">
        <v>1</v>
      </c>
      <c r="C1366" s="22" t="n"/>
    </row>
    <row r="1367">
      <c r="A1367" s="7" t="n">
        <v>1</v>
      </c>
      <c r="C1367" s="22" t="n"/>
    </row>
    <row r="1368">
      <c r="A1368" s="7" t="n">
        <v>1</v>
      </c>
      <c r="C1368" s="22" t="n"/>
    </row>
    <row r="1369">
      <c r="A1369" s="7" t="n">
        <v>1</v>
      </c>
      <c r="C1369" s="22" t="n"/>
    </row>
    <row r="1370">
      <c r="A1370" s="7" t="n">
        <v>1</v>
      </c>
      <c r="C1370" s="22" t="n"/>
    </row>
    <row r="1371">
      <c r="A1371" s="7" t="n">
        <v>1</v>
      </c>
      <c r="C1371" s="22" t="n"/>
    </row>
    <row r="1372">
      <c r="A1372" s="7" t="n">
        <v>1</v>
      </c>
      <c r="C1372" s="22" t="n"/>
    </row>
    <row r="1373">
      <c r="A1373" s="7" t="n">
        <v>1</v>
      </c>
      <c r="C1373" s="22" t="n"/>
    </row>
    <row r="1374">
      <c r="A1374" s="7" t="n">
        <v>1</v>
      </c>
      <c r="C1374" s="22" t="n"/>
    </row>
    <row r="1375">
      <c r="A1375" s="7" t="n">
        <v>1</v>
      </c>
      <c r="C1375" s="22" t="n"/>
    </row>
    <row r="1376">
      <c r="A1376" s="7" t="n">
        <v>1</v>
      </c>
      <c r="C1376" s="22" t="n"/>
    </row>
    <row r="1377">
      <c r="A1377" s="7" t="n">
        <v>1</v>
      </c>
      <c r="C1377" s="22" t="n"/>
    </row>
    <row r="1378">
      <c r="A1378" s="7" t="n">
        <v>1</v>
      </c>
      <c r="C1378" s="22" t="n"/>
    </row>
    <row r="1379">
      <c r="A1379" s="7" t="n">
        <v>1</v>
      </c>
      <c r="C1379" s="22" t="n"/>
    </row>
    <row r="1380">
      <c r="A1380" s="7" t="n">
        <v>1</v>
      </c>
      <c r="C1380" s="22" t="n"/>
    </row>
    <row r="1381">
      <c r="A1381" s="7" t="n">
        <v>1</v>
      </c>
      <c r="C1381" s="22" t="n"/>
    </row>
    <row r="1382">
      <c r="A1382" s="7" t="n">
        <v>1</v>
      </c>
      <c r="C1382" s="22" t="n"/>
    </row>
    <row r="1383">
      <c r="A1383" s="7" t="n">
        <v>1</v>
      </c>
      <c r="C1383" s="22" t="n"/>
    </row>
    <row r="1384">
      <c r="A1384" s="7" t="n">
        <v>1</v>
      </c>
      <c r="C1384" s="22" t="n"/>
    </row>
    <row r="1385">
      <c r="A1385" s="7" t="n">
        <v>1</v>
      </c>
      <c r="C1385" s="22" t="n"/>
    </row>
    <row r="1386">
      <c r="A1386" s="7" t="n">
        <v>1</v>
      </c>
      <c r="C1386" s="22" t="n"/>
    </row>
    <row r="1387">
      <c r="A1387" s="7" t="n">
        <v>1</v>
      </c>
      <c r="C1387" s="22" t="n"/>
    </row>
    <row r="1388">
      <c r="A1388" s="7" t="n">
        <v>1</v>
      </c>
      <c r="C1388" s="22" t="n"/>
    </row>
    <row r="1389">
      <c r="A1389" s="7" t="n">
        <v>1</v>
      </c>
      <c r="C1389" s="22" t="n"/>
    </row>
    <row r="1390">
      <c r="A1390" s="7" t="n">
        <v>1</v>
      </c>
      <c r="C1390" s="22" t="n"/>
    </row>
    <row r="1391">
      <c r="A1391" s="7" t="n">
        <v>1</v>
      </c>
      <c r="C1391" s="22" t="n"/>
    </row>
    <row r="1392">
      <c r="A1392" s="7" t="n">
        <v>1</v>
      </c>
      <c r="C1392" s="22" t="n"/>
    </row>
    <row r="1393">
      <c r="A1393" s="7" t="n">
        <v>1</v>
      </c>
      <c r="C1393" s="22" t="n"/>
    </row>
    <row r="1394">
      <c r="A1394" s="7" t="n">
        <v>1</v>
      </c>
      <c r="C1394" s="22" t="n"/>
    </row>
    <row r="1395">
      <c r="A1395" s="7" t="n">
        <v>1</v>
      </c>
      <c r="C1395" s="22" t="n"/>
    </row>
    <row r="1396">
      <c r="A1396" s="7" t="n">
        <v>1</v>
      </c>
      <c r="C1396" s="22" t="n"/>
    </row>
    <row r="1397">
      <c r="A1397" s="7" t="n">
        <v>1</v>
      </c>
      <c r="C1397" s="22" t="n"/>
    </row>
    <row r="1398">
      <c r="A1398" s="7" t="n">
        <v>1</v>
      </c>
      <c r="C1398" s="22" t="n"/>
    </row>
    <row r="1399">
      <c r="A1399" s="7" t="n">
        <v>1</v>
      </c>
      <c r="C1399" s="22" t="n"/>
    </row>
    <row r="1400">
      <c r="A1400" s="7" t="n">
        <v>1</v>
      </c>
      <c r="C1400" s="22" t="n"/>
    </row>
    <row r="1401">
      <c r="A1401" s="7" t="n">
        <v>1</v>
      </c>
      <c r="C1401" s="22" t="n"/>
    </row>
    <row r="1402">
      <c r="A1402" s="7" t="n">
        <v>1</v>
      </c>
      <c r="C1402" s="22" t="n"/>
    </row>
    <row r="1403">
      <c r="A1403" s="7" t="n">
        <v>1</v>
      </c>
      <c r="C1403" s="22" t="n"/>
    </row>
    <row r="1404">
      <c r="A1404" s="7" t="n">
        <v>1</v>
      </c>
      <c r="C1404" s="22" t="n"/>
    </row>
    <row r="1405">
      <c r="A1405" s="7" t="n">
        <v>1</v>
      </c>
      <c r="C1405" s="22" t="n"/>
    </row>
    <row r="1406">
      <c r="A1406" s="7" t="n">
        <v>1</v>
      </c>
      <c r="C1406" s="22" t="n"/>
    </row>
    <row r="1407">
      <c r="A1407" s="7" t="n">
        <v>1</v>
      </c>
      <c r="C1407" s="22" t="n"/>
    </row>
    <row r="1408">
      <c r="A1408" s="7" t="n">
        <v>1</v>
      </c>
      <c r="C1408" s="22" t="n"/>
    </row>
    <row r="1409">
      <c r="A1409" s="7" t="n">
        <v>1</v>
      </c>
      <c r="C1409" s="22" t="n"/>
    </row>
    <row r="1410">
      <c r="A1410" s="7" t="n">
        <v>1</v>
      </c>
      <c r="C1410" s="22" t="n"/>
    </row>
    <row r="1411">
      <c r="A1411" s="7" t="n">
        <v>1</v>
      </c>
      <c r="C1411" s="22" t="n"/>
    </row>
    <row r="1412">
      <c r="A1412" s="7" t="n">
        <v>1</v>
      </c>
      <c r="C1412" s="22" t="n"/>
    </row>
    <row r="1413">
      <c r="A1413" s="7" t="n">
        <v>1</v>
      </c>
      <c r="C1413" s="22" t="n"/>
    </row>
    <row r="1414">
      <c r="A1414" s="7" t="n">
        <v>1</v>
      </c>
      <c r="C1414" s="22" t="n"/>
    </row>
    <row r="1415">
      <c r="A1415" s="7" t="n">
        <v>1</v>
      </c>
      <c r="C1415" s="22" t="n"/>
    </row>
    <row r="1416">
      <c r="A1416" s="7" t="n">
        <v>1</v>
      </c>
      <c r="C1416" s="22" t="n"/>
    </row>
    <row r="1417">
      <c r="A1417" s="7" t="n">
        <v>1</v>
      </c>
      <c r="C1417" s="22" t="n"/>
    </row>
    <row r="1418">
      <c r="A1418" s="7" t="n">
        <v>1</v>
      </c>
      <c r="C1418" s="22" t="n"/>
    </row>
    <row r="1419">
      <c r="A1419" s="7" t="n">
        <v>1</v>
      </c>
      <c r="C1419" s="22" t="n"/>
    </row>
    <row r="1420">
      <c r="A1420" s="7" t="n">
        <v>1</v>
      </c>
      <c r="C1420" s="22" t="n"/>
    </row>
    <row r="1421">
      <c r="A1421" s="7" t="n">
        <v>1</v>
      </c>
      <c r="C1421" s="22" t="n"/>
    </row>
    <row r="1422">
      <c r="A1422" s="7" t="n">
        <v>1</v>
      </c>
      <c r="C1422" s="22" t="n"/>
    </row>
    <row r="1423">
      <c r="A1423" s="7" t="n">
        <v>1</v>
      </c>
      <c r="C1423" s="22" t="n"/>
    </row>
    <row r="1424">
      <c r="A1424" s="7" t="n">
        <v>1</v>
      </c>
      <c r="C1424" s="22" t="n"/>
    </row>
    <row r="1425">
      <c r="A1425" s="7" t="n">
        <v>1</v>
      </c>
      <c r="C1425" s="22" t="n"/>
    </row>
    <row r="1426">
      <c r="A1426" s="7" t="n">
        <v>1</v>
      </c>
      <c r="C1426" s="22" t="n"/>
    </row>
    <row r="1427">
      <c r="A1427" s="7" t="n">
        <v>1</v>
      </c>
      <c r="C1427" s="22" t="n"/>
    </row>
    <row r="1428">
      <c r="A1428" s="7" t="n">
        <v>1</v>
      </c>
      <c r="C1428" s="22" t="n"/>
    </row>
    <row r="1429">
      <c r="A1429" s="7" t="n">
        <v>1</v>
      </c>
      <c r="C1429" s="22" t="n"/>
    </row>
    <row r="1430">
      <c r="A1430" s="7" t="n">
        <v>1</v>
      </c>
      <c r="C1430" s="22" t="n"/>
    </row>
    <row r="1431">
      <c r="A1431" s="7" t="n">
        <v>1</v>
      </c>
      <c r="C1431" s="22" t="n"/>
    </row>
    <row r="1432">
      <c r="A1432" s="7" t="n">
        <v>1</v>
      </c>
      <c r="C1432" s="22" t="n"/>
    </row>
    <row r="1433">
      <c r="A1433" s="7" t="n">
        <v>1</v>
      </c>
      <c r="C1433" s="22" t="n"/>
    </row>
    <row r="1434">
      <c r="A1434" s="7" t="n">
        <v>1</v>
      </c>
      <c r="C1434" s="22" t="n"/>
    </row>
    <row r="1435">
      <c r="A1435" s="7" t="n">
        <v>1</v>
      </c>
      <c r="C1435" s="22" t="n"/>
    </row>
    <row r="1436">
      <c r="A1436" s="7" t="n">
        <v>1</v>
      </c>
      <c r="C1436" s="22" t="n"/>
    </row>
    <row r="1437">
      <c r="A1437" s="7" t="n">
        <v>1</v>
      </c>
      <c r="C1437" s="22" t="n"/>
    </row>
    <row r="1438">
      <c r="A1438" s="7" t="n">
        <v>1</v>
      </c>
      <c r="C1438" s="22" t="n"/>
    </row>
    <row r="1439">
      <c r="A1439" s="7" t="n">
        <v>1</v>
      </c>
      <c r="C1439" s="22" t="n"/>
    </row>
    <row r="1440">
      <c r="A1440" s="7" t="n">
        <v>1</v>
      </c>
      <c r="C1440" s="22" t="n"/>
    </row>
    <row r="1441">
      <c r="A1441" s="7" t="n">
        <v>1</v>
      </c>
      <c r="C1441" s="22" t="n"/>
    </row>
    <row r="1442">
      <c r="A1442" s="7" t="n">
        <v>1</v>
      </c>
      <c r="C1442" s="22" t="n"/>
    </row>
    <row r="1443">
      <c r="A1443" s="7" t="n">
        <v>1</v>
      </c>
      <c r="C1443" s="22" t="n"/>
    </row>
    <row r="1444">
      <c r="A1444" s="7" t="n">
        <v>1</v>
      </c>
      <c r="C1444" s="22" t="n"/>
    </row>
    <row r="1445">
      <c r="A1445" s="7" t="n">
        <v>1</v>
      </c>
      <c r="C1445" s="22" t="n"/>
    </row>
    <row r="1446">
      <c r="A1446" s="7" t="n">
        <v>1</v>
      </c>
      <c r="C1446" s="22" t="n"/>
    </row>
    <row r="1447">
      <c r="A1447" s="7" t="n">
        <v>1</v>
      </c>
      <c r="C1447" s="22" t="n"/>
    </row>
    <row r="1448">
      <c r="A1448" s="7" t="n">
        <v>1</v>
      </c>
      <c r="C1448" s="22" t="n"/>
    </row>
    <row r="1449">
      <c r="A1449" s="7" t="n">
        <v>1</v>
      </c>
      <c r="C1449" s="22" t="n"/>
    </row>
    <row r="1450">
      <c r="A1450" s="7" t="n">
        <v>1</v>
      </c>
      <c r="C1450" s="22" t="n"/>
    </row>
    <row r="1451">
      <c r="A1451" s="7" t="n">
        <v>1</v>
      </c>
      <c r="C1451" s="22" t="n"/>
    </row>
    <row r="1452">
      <c r="A1452" s="7" t="n">
        <v>1</v>
      </c>
      <c r="C1452" s="22" t="n"/>
    </row>
    <row r="1453">
      <c r="A1453" s="7" t="n">
        <v>1</v>
      </c>
      <c r="C1453" s="22" t="n"/>
    </row>
    <row r="1454">
      <c r="A1454" s="7" t="n">
        <v>1</v>
      </c>
      <c r="C1454" s="22" t="n"/>
    </row>
    <row r="1455">
      <c r="A1455" s="7" t="n">
        <v>1</v>
      </c>
      <c r="C1455" s="22" t="n"/>
    </row>
    <row r="1456">
      <c r="A1456" s="7" t="n">
        <v>1</v>
      </c>
      <c r="C1456" s="22" t="n"/>
    </row>
    <row r="1457">
      <c r="A1457" s="7" t="n">
        <v>1</v>
      </c>
      <c r="C1457" s="22" t="n"/>
    </row>
    <row r="1458">
      <c r="A1458" s="7" t="n">
        <v>1</v>
      </c>
      <c r="C1458" s="22" t="n"/>
    </row>
    <row r="1459">
      <c r="A1459" s="7" t="n">
        <v>1</v>
      </c>
      <c r="C1459" s="22" t="n"/>
    </row>
    <row r="1460">
      <c r="A1460" s="7" t="n">
        <v>1</v>
      </c>
      <c r="C1460" s="22" t="n"/>
    </row>
    <row r="1461">
      <c r="A1461" s="7" t="n">
        <v>1</v>
      </c>
      <c r="C1461" s="22" t="n"/>
    </row>
    <row r="1462">
      <c r="A1462" s="7" t="n">
        <v>1</v>
      </c>
      <c r="C1462" s="22" t="n"/>
    </row>
    <row r="1463">
      <c r="A1463" s="7" t="n">
        <v>1</v>
      </c>
      <c r="C1463" s="22" t="n"/>
    </row>
    <row r="1464">
      <c r="A1464" s="7" t="n">
        <v>1</v>
      </c>
      <c r="C1464" s="22" t="n"/>
    </row>
    <row r="1465">
      <c r="A1465" s="7" t="n">
        <v>1</v>
      </c>
      <c r="C1465" s="22" t="n"/>
    </row>
    <row r="1466">
      <c r="A1466" s="7" t="n">
        <v>1</v>
      </c>
      <c r="C1466" s="22" t="n"/>
    </row>
    <row r="1467">
      <c r="A1467" s="7" t="n">
        <v>1</v>
      </c>
      <c r="C1467" s="22" t="n"/>
    </row>
    <row r="1468">
      <c r="A1468" s="7" t="n">
        <v>1</v>
      </c>
      <c r="C1468" s="22" t="n"/>
    </row>
    <row r="1469">
      <c r="A1469" s="7" t="n">
        <v>1</v>
      </c>
      <c r="C1469" s="22" t="n"/>
    </row>
    <row r="1470">
      <c r="A1470" s="7" t="n">
        <v>1</v>
      </c>
      <c r="C1470" s="22" t="n"/>
    </row>
    <row r="1471">
      <c r="A1471" s="7" t="n">
        <v>1</v>
      </c>
      <c r="C1471" s="22" t="n"/>
    </row>
    <row r="1472">
      <c r="A1472" s="7" t="n">
        <v>1</v>
      </c>
      <c r="C1472" s="22" t="n"/>
    </row>
    <row r="1473">
      <c r="A1473" s="7" t="n">
        <v>1</v>
      </c>
      <c r="C1473" s="22" t="n"/>
    </row>
    <row r="1474">
      <c r="A1474" s="7" t="n">
        <v>1</v>
      </c>
      <c r="C1474" s="22" t="n"/>
    </row>
    <row r="1475">
      <c r="A1475" s="7" t="n">
        <v>1</v>
      </c>
      <c r="C1475" s="22" t="n"/>
    </row>
    <row r="1476">
      <c r="A1476" s="7" t="n">
        <v>1</v>
      </c>
      <c r="C1476" s="22" t="n"/>
    </row>
    <row r="1477">
      <c r="A1477" s="7" t="n">
        <v>1</v>
      </c>
      <c r="C1477" s="22" t="n"/>
    </row>
    <row r="1478">
      <c r="A1478" s="7" t="n">
        <v>1</v>
      </c>
      <c r="C1478" s="22" t="n"/>
    </row>
    <row r="1479">
      <c r="A1479" s="7" t="n">
        <v>1</v>
      </c>
      <c r="C1479" s="22" t="n"/>
    </row>
    <row r="1480">
      <c r="A1480" s="7" t="n">
        <v>1</v>
      </c>
      <c r="C1480" s="22" t="n"/>
    </row>
    <row r="1481">
      <c r="A1481" s="7" t="n">
        <v>1</v>
      </c>
      <c r="C1481" s="22" t="n"/>
    </row>
    <row r="1482">
      <c r="A1482" s="7" t="n">
        <v>1</v>
      </c>
      <c r="C1482" s="22" t="n"/>
    </row>
    <row r="1483">
      <c r="A1483" s="7" t="n">
        <v>1</v>
      </c>
      <c r="C1483" s="22" t="n"/>
    </row>
    <row r="1484">
      <c r="A1484" s="7" t="n">
        <v>1</v>
      </c>
      <c r="C1484" s="22" t="n"/>
    </row>
    <row r="1485">
      <c r="A1485" s="7" t="n">
        <v>1</v>
      </c>
      <c r="C1485" s="22" t="n"/>
    </row>
    <row r="1486">
      <c r="A1486" s="7" t="n">
        <v>1</v>
      </c>
      <c r="C1486" s="22" t="n"/>
    </row>
    <row r="1487">
      <c r="A1487" s="7" t="n">
        <v>1</v>
      </c>
      <c r="C1487" s="22" t="n"/>
    </row>
    <row r="1488">
      <c r="A1488" s="7" t="n">
        <v>1</v>
      </c>
      <c r="C1488" s="22" t="n"/>
    </row>
    <row r="1489">
      <c r="A1489" s="7" t="n">
        <v>1</v>
      </c>
      <c r="C1489" s="22" t="n"/>
    </row>
    <row r="1490">
      <c r="A1490" s="7" t="n">
        <v>1</v>
      </c>
      <c r="C1490" s="22" t="n"/>
    </row>
    <row r="1491">
      <c r="A1491" s="7" t="n">
        <v>1</v>
      </c>
      <c r="C1491" s="22" t="n"/>
    </row>
    <row r="1492">
      <c r="A1492" s="7" t="n">
        <v>1</v>
      </c>
      <c r="C1492" s="22" t="n"/>
    </row>
    <row r="1493">
      <c r="A1493" s="7" t="n">
        <v>1</v>
      </c>
      <c r="C1493" s="22" t="n"/>
    </row>
    <row r="1494">
      <c r="A1494" s="7" t="n">
        <v>1</v>
      </c>
      <c r="C1494" s="22" t="n"/>
    </row>
    <row r="1495">
      <c r="A1495" s="7" t="n">
        <v>1</v>
      </c>
      <c r="C1495" s="22" t="n"/>
    </row>
    <row r="1496">
      <c r="A1496" s="7" t="n">
        <v>1</v>
      </c>
      <c r="C1496" s="22" t="n"/>
    </row>
    <row r="1497">
      <c r="A1497" s="7" t="n">
        <v>1</v>
      </c>
      <c r="C1497" s="22" t="n"/>
    </row>
    <row r="1498">
      <c r="A1498" s="7" t="n">
        <v>1</v>
      </c>
      <c r="C1498" s="22" t="n"/>
    </row>
    <row r="1499">
      <c r="A1499" s="7" t="n">
        <v>1</v>
      </c>
      <c r="C1499" s="22" t="n"/>
    </row>
    <row r="1500">
      <c r="A1500" s="7" t="n">
        <v>1</v>
      </c>
      <c r="C1500" s="22" t="n"/>
    </row>
    <row r="1501">
      <c r="A1501" s="7" t="n">
        <v>1</v>
      </c>
      <c r="C1501" s="22" t="n"/>
    </row>
    <row r="1502">
      <c r="A1502" s="7" t="n">
        <v>1</v>
      </c>
      <c r="C1502" s="22" t="n"/>
    </row>
    <row r="1503">
      <c r="A1503" s="7" t="n">
        <v>1</v>
      </c>
      <c r="C1503" s="22" t="n"/>
    </row>
    <row r="1504">
      <c r="A1504" s="7" t="n">
        <v>1</v>
      </c>
      <c r="C1504" s="22" t="n"/>
    </row>
    <row r="1505">
      <c r="A1505" s="7" t="n">
        <v>1</v>
      </c>
      <c r="C1505" s="22" t="n"/>
    </row>
    <row r="1506">
      <c r="A1506" s="7" t="n">
        <v>1</v>
      </c>
      <c r="C1506" s="22" t="n"/>
    </row>
    <row r="1507">
      <c r="A1507" s="7" t="n">
        <v>1</v>
      </c>
      <c r="C1507" s="22" t="n"/>
    </row>
    <row r="1508">
      <c r="A1508" s="7" t="n">
        <v>1</v>
      </c>
      <c r="C1508" s="22" t="n"/>
    </row>
    <row r="1509">
      <c r="A1509" s="7" t="n">
        <v>1</v>
      </c>
      <c r="C1509" s="22" t="n"/>
    </row>
    <row r="1510">
      <c r="A1510" s="7" t="n">
        <v>1</v>
      </c>
      <c r="C1510" s="22" t="n"/>
    </row>
    <row r="1511">
      <c r="A1511" s="7" t="n">
        <v>1</v>
      </c>
      <c r="C1511" s="22" t="n"/>
    </row>
    <row r="1512">
      <c r="A1512" s="7" t="n">
        <v>1</v>
      </c>
      <c r="C1512" s="22" t="n"/>
    </row>
    <row r="1513">
      <c r="A1513" s="7" t="n">
        <v>1</v>
      </c>
      <c r="C1513" s="22" t="n"/>
    </row>
    <row r="1514">
      <c r="A1514" s="7" t="n">
        <v>1</v>
      </c>
      <c r="C1514" s="22" t="n"/>
    </row>
    <row r="1515">
      <c r="A1515" s="7" t="n">
        <v>1</v>
      </c>
      <c r="C1515" s="22" t="n"/>
    </row>
    <row r="1516">
      <c r="A1516" s="7" t="n">
        <v>1</v>
      </c>
      <c r="C1516" s="22" t="n"/>
    </row>
    <row r="1517">
      <c r="A1517" s="7" t="n">
        <v>1</v>
      </c>
      <c r="C1517" s="22" t="n"/>
    </row>
    <row r="1518">
      <c r="A1518" s="7" t="n">
        <v>1</v>
      </c>
      <c r="C1518" s="22" t="n"/>
    </row>
    <row r="1519">
      <c r="A1519" s="7" t="n">
        <v>1</v>
      </c>
      <c r="C1519" s="22" t="n"/>
    </row>
    <row r="1520">
      <c r="A1520" s="7" t="n">
        <v>1</v>
      </c>
      <c r="C1520" s="2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9" sqref="L19"/>
    </sheetView>
  </sheetViews>
  <sheetFormatPr baseColWidth="8" defaultRowHeight="14.5"/>
  <cols>
    <col width="4.1796875" bestFit="1" customWidth="1" style="8" min="1" max="1"/>
    <col width="18.54296875" bestFit="1" customWidth="1" style="8" min="2" max="2"/>
    <col width="5.81640625" bestFit="1" customWidth="1" style="8" min="3" max="3"/>
    <col width="4.54296875" bestFit="1" customWidth="1" style="8" min="4" max="4"/>
    <col width="10.453125" bestFit="1" customWidth="1" style="2" min="5" max="5"/>
    <col width="7.7265625" bestFit="1" customWidth="1" style="2" min="6" max="6"/>
    <col width="10.453125" customWidth="1" style="2" min="7" max="7"/>
    <col width="9.1796875" bestFit="1" customWidth="1" style="9" min="8" max="8"/>
    <col width="15.81640625" bestFit="1" customWidth="1" style="9" min="9" max="9"/>
    <col width="11.453125" bestFit="1" customWidth="1" style="9" min="10" max="10"/>
    <col width="9.81640625" bestFit="1" customWidth="1" style="9" min="11" max="11"/>
    <col width="21.7265625" bestFit="1" customWidth="1" style="9" min="12" max="12"/>
    <col width="19.1796875" bestFit="1" customWidth="1" style="9" min="13" max="13"/>
    <col width="16.54296875" bestFit="1" customWidth="1" style="9" min="14" max="14"/>
    <col width="16.453125" bestFit="1" customWidth="1" style="9" min="15" max="15"/>
    <col width="14.1796875" bestFit="1" customWidth="1" style="9" min="16" max="16"/>
    <col width="14.81640625" bestFit="1" customWidth="1" style="9" min="17" max="17"/>
    <col width="13.453125" bestFit="1" customWidth="1" style="9" min="18" max="18"/>
    <col width="20.1796875" bestFit="1" customWidth="1" style="9" min="19" max="19"/>
    <col width="11.81640625" bestFit="1" customWidth="1" style="9" min="20" max="21"/>
    <col width="16.453125" bestFit="1" customWidth="1" style="9" min="22" max="22"/>
    <col width="17.1796875" bestFit="1" customWidth="1" style="9" min="23" max="23"/>
    <col width="21" bestFit="1" customWidth="1" style="9" min="24" max="24"/>
    <col width="21.81640625" bestFit="1" customWidth="1" style="9" min="25" max="25"/>
    <col width="16.7265625" bestFit="1" customWidth="1" style="9" min="26" max="26"/>
    <col width="17.453125" bestFit="1" customWidth="1" style="9" min="27" max="27"/>
    <col width="20.81640625" bestFit="1" customWidth="1" style="9" min="28" max="28"/>
    <col width="14.453125" bestFit="1" customWidth="1" style="11" min="29" max="29"/>
    <col width="10.1796875" bestFit="1" customWidth="1" style="11" min="30" max="30"/>
    <col width="15.1796875" bestFit="1" customWidth="1" style="11" min="31" max="31"/>
    <col width="23.54296875" bestFit="1" customWidth="1" style="11" min="32" max="32"/>
    <col width="13.1796875" bestFit="1" customWidth="1" style="11" min="33" max="33"/>
    <col width="20.1796875" bestFit="1" customWidth="1" style="11" min="34" max="34"/>
    <col width="19.1796875" bestFit="1" customWidth="1" style="11" min="35" max="35"/>
    <col width="21.453125" bestFit="1" customWidth="1" style="11" min="36" max="36"/>
    <col width="17.1796875" customWidth="1" style="5" min="37" max="37"/>
    <col width="15.453125" bestFit="1" customWidth="1" style="5" min="38" max="38"/>
    <col width="12.453125" bestFit="1" customWidth="1" style="5" min="39" max="39"/>
    <col width="20.453125" bestFit="1" customWidth="1" style="5" min="40" max="40"/>
    <col width="14.26953125" bestFit="1" customWidth="1" style="5" min="41" max="41"/>
    <col width="14.1796875" bestFit="1" customWidth="1" style="5" min="42" max="42"/>
    <col width="9" bestFit="1" customWidth="1" style="5" min="43" max="43"/>
    <col width="14.1796875" bestFit="1" customWidth="1" style="5" min="44" max="44"/>
    <col width="12.81640625" bestFit="1" customWidth="1" style="5" min="45" max="45"/>
    <col width="19.81640625" bestFit="1" customWidth="1" style="5" min="46" max="46"/>
    <col width="12.81640625" bestFit="1" customWidth="1" style="5" min="47" max="47"/>
    <col width="12.453125" bestFit="1" customWidth="1" style="5" min="48" max="48"/>
    <col width="12.453125" customWidth="1" style="5" min="49" max="50"/>
    <col width="10.54296875" bestFit="1" customWidth="1" style="1" min="51" max="52"/>
    <col width="10" bestFit="1" customWidth="1" style="1" min="53" max="53"/>
    <col width="16.81640625" bestFit="1" customWidth="1" style="1" min="54" max="54"/>
    <col width="26.453125" bestFit="1" customWidth="1" style="1" min="55" max="55"/>
    <col width="28.1796875" bestFit="1" customWidth="1" style="1" min="56" max="56"/>
    <col width="13.54296875" bestFit="1" customWidth="1" style="10" min="57" max="60"/>
    <col width="19.1796875" bestFit="1" customWidth="1" style="10" min="61" max="61"/>
    <col width="12.54296875" bestFit="1" customWidth="1" style="10" min="62" max="62"/>
    <col width="13.453125" bestFit="1" customWidth="1" style="10" min="63" max="63"/>
    <col width="20.54296875" bestFit="1" customWidth="1" style="10" min="64" max="64"/>
    <col width="14.54296875" bestFit="1" customWidth="1" style="10" min="65" max="65"/>
    <col width="20.1796875" bestFit="1" customWidth="1" style="10" min="66" max="66"/>
    <col width="16.453125" bestFit="1" customWidth="1" style="10" min="67" max="67"/>
    <col width="18.1796875" bestFit="1" customWidth="1" style="10" min="68" max="68"/>
    <col width="15.1796875" bestFit="1" customWidth="1" style="10" min="69" max="69"/>
    <col width="12.54296875" bestFit="1" customWidth="1" style="12" min="70" max="70"/>
    <col width="12.453125" bestFit="1" customWidth="1" style="12" min="71" max="71"/>
    <col width="13.453125" bestFit="1" customWidth="1" style="12" min="72" max="72"/>
    <col width="13.453125" customWidth="1" style="12" min="73" max="75"/>
    <col width="6.36328125" bestFit="1" customWidth="1" style="12" min="76" max="77"/>
    <col width="6.1796875" bestFit="1" customWidth="1" style="12" min="78" max="78"/>
    <col width="6.1796875" customWidth="1" style="12" min="79" max="81"/>
    <col width="13.81640625" bestFit="1" customWidth="1" style="12" min="82" max="82"/>
    <col width="13.81640625" customWidth="1" style="12" min="83" max="87"/>
    <col width="9.26953125" bestFit="1" customWidth="1" style="2" min="88" max="88"/>
    <col width="6.26953125" bestFit="1" customWidth="1" style="2" min="89" max="89"/>
    <col width="5.54296875" bestFit="1" customWidth="1" style="2" min="90" max="90"/>
    <col width="15.453125" bestFit="1" customWidth="1" style="2" min="91" max="91"/>
    <col width="5.453125" bestFit="1" customWidth="1" style="2" min="92" max="92"/>
    <col width="8.7265625" customWidth="1" style="2" min="93" max="93"/>
    <col width="9.54296875" bestFit="1" customWidth="1" style="2" min="94" max="94"/>
    <col width="6.26953125" bestFit="1" customWidth="1" style="2" min="95" max="95"/>
    <col width="20.453125" bestFit="1" customWidth="1" style="2" min="96" max="96"/>
    <col width="9.7265625" bestFit="1" customWidth="1" style="2" min="97" max="98"/>
    <col width="9.54296875" bestFit="1" customWidth="1" style="2" min="99" max="99"/>
    <col width="18.1796875" bestFit="1" customWidth="1" style="2" min="100" max="100"/>
    <col width="16.81640625" bestFit="1" customWidth="1" style="2" min="101" max="101"/>
    <col width="17.54296875" bestFit="1" customWidth="1" style="2" min="102" max="102"/>
    <col width="15.54296875" bestFit="1" customWidth="1" style="2" min="103" max="103"/>
    <col width="11.81640625" bestFit="1" customWidth="1" style="2" min="104" max="104"/>
    <col width="7.81640625" bestFit="1" customWidth="1" style="2" min="105" max="105"/>
    <col width="13.1796875" bestFit="1" customWidth="1" style="2" min="106" max="106"/>
    <col width="6.81640625" bestFit="1" customWidth="1" style="2" min="107" max="107"/>
    <col width="9.54296875" bestFit="1" customWidth="1" style="2" min="108" max="108"/>
    <col width="10.1796875" bestFit="1" customWidth="1" style="2" min="109" max="109"/>
    <col width="14" bestFit="1" customWidth="1" style="2" min="110" max="110"/>
    <col width="7.81640625" bestFit="1" customWidth="1" style="2" min="111" max="111"/>
    <col width="15.54296875" bestFit="1" customWidth="1" style="2" min="112" max="112"/>
    <col width="13.1796875" bestFit="1" customWidth="1" style="2" min="113" max="113"/>
    <col width="10.54296875" bestFit="1" customWidth="1" style="2" min="114" max="114"/>
    <col width="11" bestFit="1" customWidth="1" style="2" min="115" max="115"/>
    <col width="11.54296875" bestFit="1" customWidth="1" style="2" min="116" max="116"/>
    <col width="11.453125" bestFit="1" customWidth="1" style="2" min="117" max="117"/>
    <col width="17.54296875" bestFit="1" customWidth="1" style="2" min="118" max="118"/>
    <col width="13.54296875" bestFit="1" customWidth="1" style="2" min="119" max="119"/>
    <col width="13.453125" bestFit="1" customWidth="1" style="2" min="120" max="120"/>
    <col width="18.1796875" bestFit="1" customWidth="1" style="2" min="121" max="121"/>
    <col width="20.54296875" bestFit="1" customWidth="1" style="2" min="122" max="122"/>
    <col width="13.1796875" bestFit="1" customWidth="1" style="2" min="123" max="123"/>
    <col width="19.54296875" bestFit="1" customWidth="1" style="2" min="124" max="124"/>
    <col width="12" bestFit="1" customWidth="1" style="2" min="125" max="125"/>
    <col width="13.7265625" bestFit="1" customWidth="1" style="2" min="126" max="126"/>
  </cols>
  <sheetData>
    <row r="1" ht="14.15" customFormat="1" customHeight="1" s="6">
      <c r="A1" s="3" t="inlineStr">
        <is>
          <t>#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Pos.</t>
        </is>
      </c>
      <c r="E1" s="3" t="inlineStr">
        <is>
          <t>5v5 TOI</t>
        </is>
      </c>
      <c r="F1" s="3" t="inlineStr">
        <is>
          <t>Year</t>
        </is>
      </c>
      <c r="G1" s="3" t="inlineStr">
        <is>
          <t>Game</t>
        </is>
      </c>
      <c r="H1" s="3" t="inlineStr">
        <is>
          <t xml:space="preserve">Shots </t>
        </is>
      </c>
      <c r="I1" s="3" t="inlineStr">
        <is>
          <t>Shots On Goal</t>
        </is>
      </c>
      <c r="J1" s="3" t="inlineStr">
        <is>
          <t xml:space="preserve">Chances </t>
        </is>
      </c>
      <c r="K1" s="3" t="inlineStr">
        <is>
          <t xml:space="preserve">Passes </t>
        </is>
      </c>
      <c r="L1" s="3" t="inlineStr">
        <is>
          <t xml:space="preserve">Primary Shot Assists </t>
        </is>
      </c>
      <c r="M1" s="3" t="inlineStr">
        <is>
          <t>Secondary Assists</t>
        </is>
      </c>
      <c r="N1" s="3" t="inlineStr">
        <is>
          <t>Tertiary Assists</t>
        </is>
      </c>
      <c r="O1" s="3" t="inlineStr">
        <is>
          <t>Chance Assists</t>
        </is>
      </c>
      <c r="P1" s="3" t="inlineStr">
        <is>
          <t xml:space="preserve">Home Plate </t>
        </is>
      </c>
      <c r="Q1" s="3" t="inlineStr">
        <is>
          <t xml:space="preserve">Low-to-High </t>
        </is>
      </c>
      <c r="R1" s="3" t="inlineStr">
        <is>
          <t>Behind Net</t>
        </is>
      </c>
      <c r="S1" s="3" t="inlineStr">
        <is>
          <t>Center Lane Assists</t>
        </is>
      </c>
      <c r="T1" s="3" t="inlineStr">
        <is>
          <t xml:space="preserve">NZ Assist </t>
        </is>
      </c>
      <c r="U1" s="3" t="inlineStr">
        <is>
          <t xml:space="preserve">DZ Assist </t>
        </is>
      </c>
      <c r="V1" s="3" t="inlineStr">
        <is>
          <t>Shots off Rush</t>
        </is>
      </c>
      <c r="W1" s="3" t="inlineStr">
        <is>
          <t>Assists off Rush</t>
        </is>
      </c>
      <c r="X1" s="3" t="inlineStr">
        <is>
          <t>Shots off Forecheck or Cycle</t>
        </is>
      </c>
      <c r="Y1" s="3" t="inlineStr">
        <is>
          <t>Assists off Forecheck</t>
        </is>
      </c>
      <c r="Z1" s="3" t="inlineStr">
        <is>
          <t>Shots off Cycle</t>
        </is>
      </c>
      <c r="AA1" s="3" t="inlineStr">
        <is>
          <t>Assists off Cycle</t>
        </is>
      </c>
      <c r="AB1" s="3" t="inlineStr">
        <is>
          <t>Shots off HD Passes</t>
        </is>
      </c>
      <c r="AC1" s="3" t="inlineStr">
        <is>
          <t>Zone Entries</t>
        </is>
      </c>
      <c r="AD1" s="3" t="inlineStr">
        <is>
          <t xml:space="preserve">Carries </t>
        </is>
      </c>
      <c r="AE1" s="3" t="inlineStr">
        <is>
          <t>Failed Entries</t>
        </is>
      </c>
      <c r="AF1" s="3" t="inlineStr">
        <is>
          <t>Entries w/ Passing Play</t>
        </is>
      </c>
      <c r="AG1" s="3" t="inlineStr">
        <is>
          <t>Recoveries</t>
        </is>
      </c>
      <c r="AH1" s="3" t="inlineStr">
        <is>
          <t>Carries w/ Chances</t>
        </is>
      </c>
      <c r="AI1" s="3" t="inlineStr">
        <is>
          <t>Dump-in Chances</t>
        </is>
      </c>
      <c r="AJ1" s="3" t="inlineStr">
        <is>
          <t>Forecheck Pressures</t>
        </is>
      </c>
      <c r="AK1" s="3" t="inlineStr">
        <is>
          <t>DZ Puck Touches</t>
        </is>
      </c>
      <c r="AL1" s="3" t="inlineStr">
        <is>
          <t>DZ Retrievals</t>
        </is>
      </c>
      <c r="AM1" s="3" t="inlineStr">
        <is>
          <t>Zone Exits</t>
        </is>
      </c>
      <c r="AN1" s="3" t="inlineStr">
        <is>
          <t>Exits w/ Possession</t>
        </is>
      </c>
      <c r="AO1" s="3" t="inlineStr">
        <is>
          <t>Carried Exits</t>
        </is>
      </c>
      <c r="AP1" s="3" t="inlineStr">
        <is>
          <t>Passed Exits</t>
        </is>
      </c>
      <c r="AQ1" s="3" t="inlineStr">
        <is>
          <t>Clears</t>
        </is>
      </c>
      <c r="AR1" s="3" t="inlineStr">
        <is>
          <t>Missed Passes</t>
        </is>
      </c>
      <c r="AS1" s="3" t="inlineStr">
        <is>
          <t>Retrievals Leading to Exits</t>
        </is>
      </c>
      <c r="AT1" s="3" t="inlineStr">
        <is>
          <t>Botched Retrievals</t>
        </is>
      </c>
      <c r="AU1" s="3" t="inlineStr">
        <is>
          <t>Exchanges</t>
        </is>
      </c>
      <c r="AV1" s="3" t="inlineStr">
        <is>
          <t>Failed Exit</t>
        </is>
      </c>
      <c r="AW1" s="3" t="inlineStr">
        <is>
          <t>Rushed Exits</t>
        </is>
      </c>
      <c r="AX1" s="3" t="inlineStr">
        <is>
          <t>Second Touch Exits</t>
        </is>
      </c>
      <c r="AY1" s="3" t="inlineStr">
        <is>
          <t xml:space="preserve">Targets </t>
        </is>
      </c>
      <c r="AZ1" s="3" t="inlineStr">
        <is>
          <t xml:space="preserve">Carries  </t>
        </is>
      </c>
      <c r="BA1" s="3" t="inlineStr">
        <is>
          <t>Denials</t>
        </is>
      </c>
      <c r="BB1" s="3" t="inlineStr">
        <is>
          <t>Passes Allowed</t>
        </is>
      </c>
      <c r="BC1" s="3" t="inlineStr">
        <is>
          <t>Carries w/ Chance Against</t>
        </is>
      </c>
      <c r="BD1" s="3" t="inlineStr">
        <is>
          <t>Dump-in w/ Chance Against</t>
        </is>
      </c>
      <c r="BE1" s="3" t="inlineStr">
        <is>
          <t xml:space="preserve">5v4 Entries </t>
        </is>
      </c>
      <c r="BF1" s="3" t="inlineStr">
        <is>
          <t xml:space="preserve"> 5v4 Carries</t>
        </is>
      </c>
      <c r="BG1" s="3" t="inlineStr">
        <is>
          <t xml:space="preserve">5v4 Setups </t>
        </is>
      </c>
      <c r="BH1" s="3" t="inlineStr">
        <is>
          <t xml:space="preserve">4v5 Entries </t>
        </is>
      </c>
      <c r="BI1" s="3" t="inlineStr">
        <is>
          <t xml:space="preserve">4v5 Carry Denials </t>
        </is>
      </c>
      <c r="BJ1" s="3" t="inlineStr">
        <is>
          <t xml:space="preserve">5v4 Shots </t>
        </is>
      </c>
      <c r="BK1" s="3" t="inlineStr">
        <is>
          <t xml:space="preserve">5v4 Passes </t>
        </is>
      </c>
      <c r="BL1" s="3" t="inlineStr">
        <is>
          <t>5v4 Primary Setups</t>
        </is>
      </c>
      <c r="BM1" s="3" t="inlineStr">
        <is>
          <t>5v4 Chances</t>
        </is>
      </c>
      <c r="BN1" s="3" t="inlineStr">
        <is>
          <t>5v4 Chance Setups</t>
        </is>
      </c>
      <c r="BO1" s="3" t="inlineStr">
        <is>
          <t xml:space="preserve">5v4 Cross-Slot </t>
        </is>
      </c>
      <c r="BP1" s="3" t="inlineStr">
        <is>
          <t>5v4 Low-to-High</t>
        </is>
      </c>
      <c r="BQ1" s="3" t="inlineStr">
        <is>
          <t>5v4 Goal Line</t>
        </is>
      </c>
      <c r="BR1" s="3" t="inlineStr">
        <is>
          <t>One-timer</t>
        </is>
      </c>
      <c r="BS1" s="3" t="inlineStr">
        <is>
          <t>Rebounds</t>
        </is>
      </c>
      <c r="BT1" s="3" t="inlineStr">
        <is>
          <t>Deflections</t>
        </is>
      </c>
      <c r="BU1" s="3" t="inlineStr">
        <is>
          <t>One-timer Assists</t>
        </is>
      </c>
      <c r="BV1" s="3" t="inlineStr">
        <is>
          <t>Rebound Assists</t>
        </is>
      </c>
      <c r="BW1" s="3" t="inlineStr">
        <is>
          <t>Deflection Assists</t>
        </is>
      </c>
      <c r="BX1" s="3" t="inlineStr">
        <is>
          <t>OZ</t>
        </is>
      </c>
      <c r="BY1" s="3" t="inlineStr">
        <is>
          <t>NZ</t>
        </is>
      </c>
      <c r="BZ1" s="3" t="inlineStr">
        <is>
          <t>DZ</t>
        </is>
      </c>
      <c r="CA1" s="3" t="inlineStr">
        <is>
          <t>OZ Assists</t>
        </is>
      </c>
      <c r="CB1" s="3" t="inlineStr">
        <is>
          <t>NZ Assists</t>
        </is>
      </c>
      <c r="CC1" s="3" t="inlineStr">
        <is>
          <t>DZ Assists</t>
        </is>
      </c>
      <c r="CD1" s="3" t="inlineStr">
        <is>
          <t>DZ Retrieval</t>
        </is>
      </c>
      <c r="CE1" s="3" t="inlineStr">
        <is>
          <t>DZ Counter</t>
        </is>
      </c>
      <c r="CF1" s="3" t="inlineStr">
        <is>
          <t>NZ Turnover</t>
        </is>
      </c>
      <c r="CG1" s="3" t="inlineStr">
        <is>
          <t>NZ Regroup</t>
        </is>
      </c>
      <c r="CH1" s="3" t="inlineStr">
        <is>
          <t>NZ Reload</t>
        </is>
      </c>
      <c r="CI1" s="3" t="inlineStr">
        <is>
          <t>DZ Controlled Breakout</t>
        </is>
      </c>
      <c r="CJ1" s="3" t="inlineStr">
        <is>
          <t>Microstat Game Score</t>
        </is>
      </c>
      <c r="CK1" s="3" t="inlineStr">
        <is>
          <t>Offense</t>
        </is>
      </c>
      <c r="CL1" s="3" t="inlineStr">
        <is>
          <t>Zone Entries</t>
        </is>
      </c>
      <c r="CM1" s="3" t="inlineStr">
        <is>
          <t>Entry Defense</t>
        </is>
      </c>
      <c r="CN1" s="3" t="inlineStr">
        <is>
          <t>Exits</t>
        </is>
      </c>
      <c r="CO1" s="3" t="inlineStr">
        <is>
          <t>Forechecking</t>
        </is>
      </c>
      <c r="CP1" s="3" t="inlineStr">
        <is>
          <t>Special Teams</t>
        </is>
      </c>
      <c r="CQ1" s="3" t="inlineStr">
        <is>
          <t>5v5 Game Score</t>
        </is>
      </c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</row>
    <row r="2">
      <c r="A2" s="8" t="n">
        <v>73</v>
      </c>
      <c r="B2" s="8" t="inlineStr">
        <is>
          <t>Adam Erne</t>
        </is>
      </c>
      <c r="C2" s="8" t="inlineStr">
        <is>
          <t>DAL</t>
        </is>
      </c>
      <c r="D2" s="8" t="inlineStr">
        <is>
          <t>L</t>
        </is>
      </c>
      <c r="E2" s="8" t="n">
        <v>10.383333333333</v>
      </c>
      <c r="F2" s="8" t="inlineStr">
        <is>
          <t>2025-26</t>
        </is>
      </c>
      <c r="G2" s="19" t="inlineStr">
        <is>
          <t>3/6/2026 DAL vs. COL</t>
        </is>
      </c>
      <c r="H2" s="9">
        <f>COUNTIFS(Tracking!E:E,A2,Tracking!D:D,C2,Tracking!C:C,"5v5")</f>
        <v/>
      </c>
      <c r="I2" s="9">
        <f>COUNTIFS(Tracking!E:E,A2,Tracking!D:D,C2,Tracking!N:N,"y",Tracking!C:C,"5v5")</f>
        <v/>
      </c>
      <c r="J2" s="9">
        <f>COUNTIFS(Tracking!E:E,A2,Tracking!D:D,C2,Tracking!M:M,"y",Tracking!C:C,"5v5")</f>
        <v/>
      </c>
      <c r="K2" s="9">
        <f>L2+M2+N2</f>
        <v/>
      </c>
      <c r="L2" s="9">
        <f>COUNTIFS(Tracking!G:G,A2,Tracking!D:D,C2,Tracking!C:C,"5v5")</f>
        <v/>
      </c>
      <c r="M2" s="9">
        <f>COUNTIFS(Tracking!H:H,A2,Tracking!D:D,C2,Tracking!C:C,"5v5")</f>
        <v/>
      </c>
      <c r="N2" s="9">
        <f>COUNTIFS(Tracking!I:I,A2,Tracking!D:D,C2,Tracking!C:C,"5v5")</f>
        <v/>
      </c>
      <c r="O2" s="9">
        <f>COUNTIFS(Tracking!G:G,A2,Tracking!D:D,C2,Tracking!C:C,"5v5",Tracking!M:M,"y")</f>
        <v/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/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/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/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/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/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/>
      </c>
      <c r="V2" s="9">
        <f>COUNTIFS(Tracking!E:E,A2,Tracking!D:D,C2,Tracking!C:C,"5v5",Tracking!P:P,"r")</f>
        <v/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/>
      </c>
      <c r="X2" s="9">
        <f>COUNTIFS(Tracking!E:E,A2,Tracking!D:D,C2,Tracking!C:C,"5v5",Tracking!P:P,"f")</f>
        <v/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/>
      </c>
      <c r="Z2" s="9">
        <f>COUNTIFS(Tracking!E:E,A2,Tracking!D:D,C2,Tracking!C:C,"5v5",Tracking!P:P,"c")</f>
        <v/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/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/>
      </c>
      <c r="AC2" s="11">
        <f>COUNTIFS(Tracking!Z:Z,A2&amp;C2,Tracking!C:C,"5v5")-AE2</f>
        <v/>
      </c>
      <c r="AD2" s="11">
        <f>COUNTIFS(Tracking!Z:Z,A2&amp;C2,Tracking!C:C,"5v5",Tracking!Y:Y,"C")</f>
        <v/>
      </c>
      <c r="AE2" s="11">
        <f>COUNTIFS(Tracking!Z:Z,A2&amp;C2,Tracking!C:C,"5v5",Tracking!Y:Y,"F")</f>
        <v/>
      </c>
      <c r="AF2" s="11">
        <f>COUNTIFS(Tracking!Z:Z,A2&amp;C2,Tracking!C:C,"5v5",Tracking!Y:Y,"C",Tracking!AB:AB,"Y")</f>
        <v/>
      </c>
      <c r="AG2" s="11">
        <f>COUNTIFS(Tracking!AD:AD,A2&amp;C2,Tracking!C:C,"5v5")</f>
        <v/>
      </c>
      <c r="AH2" s="11">
        <f>COUNTIFS(Tracking!Z:Z,A2&amp;C2,Tracking!C:C,"5v5",Tracking!Y:Y,"C",Tracking!AE:AE,"Y")</f>
        <v/>
      </c>
      <c r="AI2" s="11">
        <f>COUNTIFS(Tracking!Z:Z,A2&amp;C2,Tracking!C:C,"5v5",Tracking!Y:Y,"D",Tracking!AE:AE,"Y")</f>
        <v/>
      </c>
      <c r="AJ2" s="11">
        <f>COUNTIFS(Tracking!AH:AH,A2&amp;C2)</f>
        <v/>
      </c>
      <c r="AK2" s="5">
        <f>COUNTIFS(Tracking!AI:AI,A2&amp;C2,Tracking!C:C,"5v5")+AL2</f>
        <v/>
      </c>
      <c r="AL2" s="5">
        <f>COUNTIFS(Tracking!AF:AF,A2&amp;C2,Tracking!C:C,"5v5")-AT2</f>
        <v/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/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/>
      </c>
      <c r="AO2" s="5">
        <f>COUNTIFS(Tracking!AF:AF,A2&amp;C2,Tracking!C:C,"5v5",Tracking!AG:AG,"CEX")+COUNTIFS(Tracking!AI:AI,A2&amp;C2,Tracking!C:C,"5v5",Tracking!AJ:AJ,"CEX")</f>
        <v/>
      </c>
      <c r="AP2" s="5">
        <f>COUNTIFS(Tracking!AF:AF,A2&amp;C2,Tracking!C:C,"5v5",Tracking!AG:AG,"PEX")</f>
        <v/>
      </c>
      <c r="AQ2" s="5">
        <f>COUNTIFS(Tracking!AF:AF,A2&amp;C2,Tracking!C:C,"5v5",Tracking!AG:AG,"CLE")+COUNTIFS(Tracking!AI:AI,A2&amp;C2,Tracking!C:C,"5v5",Tracking!AJ:AJ,"CLE")</f>
        <v/>
      </c>
      <c r="AR2" s="5">
        <f>COUNTIFS(Tracking!AF:AF,A2&amp;C2,Tracking!C:C,"5v5",Tracking!AG:AG,"MEX")</f>
        <v/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/>
      </c>
      <c r="AT2" s="5">
        <f>COUNTIFS(Tracking!AF:AF,A2&amp;C2,Tracking!C:C,"5v5",Tracking!AG:AG,"BOT")+COUNTIFS(Tracking!AF:AF,A2&amp;C2,Tracking!C:C,"5v5",Tracking!AG:AG,"FEX")</f>
        <v/>
      </c>
      <c r="AU2" s="5">
        <f>COUNTIFS(Tracking!AF:AF,A2&amp;C2,Tracking!C:C,"5v5",Tracking!AG:AG,"EXC")</f>
        <v/>
      </c>
      <c r="AV2" s="5">
        <f>COUNTIFS(Tracking!AF:AF,A2&amp;C2,Tracking!C:C,"5v5",Tracking!AG:AG,"FEX")+COUNTIFS(Tracking!AI:AI,A2&amp;C2,Tracking!C:C,"5v5",Tracking!AJ:AJ,"FEX")</f>
        <v/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/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/>
      </c>
      <c r="AY2" s="1">
        <f>COUNTIFS(Tracking!AA:AA,A2&amp;C2,Tracking!C:C,"5v5")</f>
        <v/>
      </c>
      <c r="AZ2" s="1">
        <f>COUNTIFS(Tracking!AA:AA,A2&amp;C2,Tracking!C:C,"5v5",Tracking!Y:Y,"C")</f>
        <v/>
      </c>
      <c r="BA2" s="1">
        <f>COUNTIFS(Tracking!AA:AA,A2&amp;C2,Tracking!C:C,"5v5",Tracking!Y:Y,"F")</f>
        <v/>
      </c>
      <c r="BB2" s="1">
        <f>COUNTIFS(Tracking!AA:AA,A2&amp;C2,Tracking!C:C,"5v5",Tracking!AB:AB,"Y")</f>
        <v/>
      </c>
      <c r="BC2" s="1">
        <f>COUNTIFS(Tracking!AA:AA,A2&amp;C2,Tracking!C:C,"5v5",Tracking!Y:Y,"C",Tracking!AE:AE,"Y")</f>
        <v/>
      </c>
      <c r="BD2" s="1">
        <f>COUNTIFS(Tracking!AA:AA,A2&amp;C2,Tracking!C:C,"5v5",Tracking!Y:Y,"D",Tracking!AE:AE,"Y")</f>
        <v/>
      </c>
      <c r="BE2" s="10">
        <f>COUNTIFS(Tracking!Z:Z,A2&amp;C2,Tracking!C:C,"5v4")</f>
        <v/>
      </c>
      <c r="BF2" s="10">
        <f>COUNTIFS(Tracking!Z:Z,A2&amp;C2,Tracking!C:C,"5v4",Tracking!Y:Y,"C")</f>
        <v/>
      </c>
      <c r="BG2" s="10">
        <f>COUNTIFS(Tracking!Z:Z,A2&amp;C2,Tracking!C:C,"5v4",Tracking!AB:AB,"Y")</f>
        <v/>
      </c>
      <c r="BH2" s="10">
        <f>COUNTIFS(Tracking!Z:Z,A2&amp;C2,Tracking!C:C,"4v5")</f>
        <v/>
      </c>
      <c r="BI2" s="10">
        <f>COUNTIFS(Tracking!AA:AA,A2&amp;C2,Tracking!C:C,"5v4",Tracking!Y:Y,"D")+COUNTIFS(Tracking!AA:AA,A2&amp;C2,Tracking!C:C,"5v4",Tracking!Y:Y,"F")</f>
        <v/>
      </c>
      <c r="BJ2" s="10">
        <f>COUNTIFS(Tracking!E:E,A2,Tracking!D:D,C2,Tracking!C:C,"5v4")</f>
        <v/>
      </c>
      <c r="BK2" s="10">
        <f>COUNTIFS(Tracking!G:G,A2,Tracking!D:D,C2,Tracking!C:C,"5v4")+COUNTIFS(Tracking!H:H,A2,Tracking!D:D,C2,Tracking!C:C,"5v4")+COUNTIFS(Tracking!I:I,A2,Tracking!D:D,C2,Tracking!C:C,"5v4")</f>
        <v/>
      </c>
      <c r="BL2" s="10">
        <f>COUNTIFS(Tracking!G:G,A2,Tracking!D:D,C2,Tracking!C:C,"5v4")</f>
        <v/>
      </c>
      <c r="BM2" s="10">
        <f>COUNTIFS(Tracking!E:E,A2,Tracking!D:D,C2,Tracking!C:C,"5v4",Tracking!M:M,"Y")</f>
        <v/>
      </c>
      <c r="BN2" s="10">
        <f>COUNTIFS(Tracking!G:G,A2,Tracking!D:D,C2,Tracking!C:C,"5v4",Tracking!M:M,"Y")</f>
        <v/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/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/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/>
      </c>
      <c r="BR2" s="12">
        <f>COUNTIFS(Tracking!E:E,A2,Tracking!D:D,C2,Tracking!C:C,"5v5",Tracking!F:F,"o")</f>
        <v/>
      </c>
      <c r="BS2" s="12">
        <f>COUNTIFS(Tracking!E:E,A2,Tracking!D:D,C2,Tracking!C:C,"5v5",Tracking!F:F,"r")</f>
        <v/>
      </c>
      <c r="BT2" s="12">
        <f>COUNTIFS(Tracking!E:E,A2,Tracking!D:D,C2,Tracking!C:C,"5v5",Tracking!F:F,"t")</f>
        <v/>
      </c>
      <c r="BU2" s="12">
        <f>COUNTIFS(Tracking!G:G,A2,Tracking!D:D,C2,Tracking!C:C,"5v5",Tracking!F:F,"o")</f>
        <v/>
      </c>
      <c r="BV2" s="12">
        <f>COUNTIFS(Tracking!E:E,A1,Tracking!D:D,C2,Tracking!C:C,"5v5",Tracking!F:F,"r")</f>
        <v/>
      </c>
      <c r="BW2" s="12">
        <f>COUNTIFS(Tracking!G:G,A2,Tracking!D:D,C2,Tracking!C:C,"5v5",Tracking!F:F,"T")</f>
        <v/>
      </c>
      <c r="BX2" s="12">
        <f>COUNTIFS(Tracking!E:E,A2,Tracking!D:D,C2,Tracking!C:C,"5v5",Tracking!Q:Q,"OZ")</f>
        <v/>
      </c>
      <c r="BY2" s="12">
        <f>COUNTIFS(Tracking!E:E,A2,Tracking!D:D,C2,Tracking!C:C,"5v5",Tracking!Q:Q,"nZ")</f>
        <v/>
      </c>
      <c r="BZ2" s="12">
        <f>COUNTIFS(Tracking!E:E,A2,Tracking!D:D,C2,Tracking!C:C,"5v5",Tracking!Q:Q,"dZ")</f>
        <v/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/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/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/>
      </c>
      <c r="CD2" s="12">
        <f>COUNTIFS(Tracking!E:E,A2,Tracking!D:D,C2,Tracking!C:C,"5v5",Tracking!R:R,"dz exit")</f>
        <v/>
      </c>
      <c r="CE2" s="12">
        <f>COUNTIFS(Tracking!E:E,A2,Tracking!D:D,C2,Tracking!C:C,"5v5",Tracking!R:R,"dz counter")</f>
        <v/>
      </c>
      <c r="CF2" s="12">
        <f>COUNTIFS(Tracking!E:E,A2,Tracking!D:D,C2,Tracking!C:C,"5v5",Tracking!R:R,"nz turnover")</f>
        <v/>
      </c>
      <c r="CG2" s="12">
        <f>COUNTIFS(Tracking!E:E,A2,Tracking!D:D,C2,Tracking!C:C,"5v5",Tracking!R:R,"nz regroup")</f>
        <v/>
      </c>
      <c r="CH2" s="12">
        <f>COUNTIFS(Tracking!E:E,A2,Tracking!D:D,C2,Tracking!C:C,"5v5",Tracking!R:R,"nz reload")</f>
        <v/>
      </c>
      <c r="CI2" s="12">
        <f>COUNTIFS(Tracking!E:E,A2,Tracking!D:D,C2,Tracking!C:C,"5v5",Tracking!R:R,"controlled breakout")</f>
        <v/>
      </c>
      <c r="CJ2" s="2">
        <f>CK2+CL2+CM2+CN2+CO2+CP2</f>
        <v/>
      </c>
      <c r="CK2" s="2">
        <f>(0.075*H2)+(0.07*L2)+(0.055*M2)+(0.055*N2)+(0.095*J2)+(0.09*O2)+(0.05*P2)+(0.05*R2)+(0.05*S2)+(0.05*AB2)</f>
        <v/>
      </c>
      <c r="CL2" s="2">
        <f>(0.045*AD2)-(0.045*AE2)+(0.055*AH2)+(0.035*AI2)</f>
        <v/>
      </c>
      <c r="CM2" s="2">
        <f>(0.025*(AY2-AZ2))+(0.035*BA2)-(0.015*BB2)-(0.015*BC2)+(0.015*(AY2-(BD2+BC2)))</f>
        <v/>
      </c>
      <c r="CN2" s="2">
        <f>(0.035*AN2)+(0.025*AS2)-(0.035*AT2)-(0.035*AV2)</f>
        <v/>
      </c>
      <c r="CO2" s="2">
        <f>(0.015*AJ2)+(0.045*AG2)</f>
        <v/>
      </c>
      <c r="CP2" s="2">
        <f>(0.055*BM2)+(0.055*BN2)+(0.035*BO2)+(0.035*BQ2)+(0.055*BH2)+(0.035*BI2)+(0.035*BG2)</f>
        <v/>
      </c>
      <c r="CQ2" s="2">
        <f>CK2+CL2+CM2+CN2+CO2</f>
        <v/>
      </c>
    </row>
    <row r="3">
      <c r="A3" s="8" t="n">
        <v>15</v>
      </c>
      <c r="B3" s="8" t="inlineStr">
        <is>
          <t>Colin Blackwell</t>
        </is>
      </c>
      <c r="C3" s="8" t="inlineStr">
        <is>
          <t>DAL</t>
        </is>
      </c>
      <c r="D3" s="8" t="inlineStr">
        <is>
          <t>C</t>
        </is>
      </c>
      <c r="E3" s="8" t="n">
        <v>7.8166666666667</v>
      </c>
      <c r="F3" s="8" t="inlineStr">
        <is>
          <t>2025-26</t>
        </is>
      </c>
      <c r="G3" s="19" t="inlineStr">
        <is>
          <t>3/6/2026 DAL vs. COL</t>
        </is>
      </c>
      <c r="H3" s="9">
        <f>COUNTIFS(Tracking!E:E,A3,Tracking!D:D,C3,Tracking!C:C,"5v5")</f>
        <v/>
      </c>
      <c r="I3" s="9">
        <f>COUNTIFS(Tracking!E:E,A3,Tracking!D:D,C3,Tracking!N:N,"y",Tracking!C:C,"5v5")</f>
        <v/>
      </c>
      <c r="J3" s="9">
        <f>COUNTIFS(Tracking!E:E,A3,Tracking!D:D,C3,Tracking!M:M,"y",Tracking!C:C,"5v5")</f>
        <v/>
      </c>
      <c r="K3" s="9">
        <f>L3+M3+N3</f>
        <v/>
      </c>
      <c r="L3" s="9">
        <f>COUNTIFS(Tracking!G:G,A3,Tracking!D:D,C3,Tracking!C:C,"5v5")</f>
        <v/>
      </c>
      <c r="M3" s="9">
        <f>COUNTIFS(Tracking!H:H,A3,Tracking!D:D,C3,Tracking!C:C,"5v5")</f>
        <v/>
      </c>
      <c r="N3" s="9">
        <f>COUNTIFS(Tracking!I:I,A3,Tracking!D:D,C3,Tracking!C:C,"5v5")</f>
        <v/>
      </c>
      <c r="O3" s="9">
        <f>COUNTIFS(Tracking!G:G,A3,Tracking!D:D,C3,Tracking!C:C,"5v5",Tracking!M:M,"y")</f>
        <v/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/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/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/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/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/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/>
      </c>
      <c r="V3" s="9">
        <f>COUNTIFS(Tracking!E:E,A3,Tracking!D:D,C3,Tracking!C:C,"5v5",Tracking!P:P,"r")</f>
        <v/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/>
      </c>
      <c r="X3" s="9">
        <f>COUNTIFS(Tracking!E:E,A3,Tracking!D:D,C3,Tracking!C:C,"5v5",Tracking!P:P,"f")</f>
        <v/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/>
      </c>
      <c r="Z3" s="9">
        <f>COUNTIFS(Tracking!E:E,A3,Tracking!D:D,C3,Tracking!C:C,"5v5",Tracking!P:P,"c")</f>
        <v/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/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/>
      </c>
      <c r="AC3" s="11">
        <f>COUNTIFS(Tracking!Z:Z,A3&amp;C3,Tracking!C:C,"5v5")-AE3</f>
        <v/>
      </c>
      <c r="AD3" s="11">
        <f>COUNTIFS(Tracking!Z:Z,A3&amp;C3,Tracking!C:C,"5v5",Tracking!Y:Y,"C")</f>
        <v/>
      </c>
      <c r="AE3" s="11">
        <f>COUNTIFS(Tracking!Z:Z,A3&amp;C3,Tracking!C:C,"5v5",Tracking!Y:Y,"F")</f>
        <v/>
      </c>
      <c r="AF3" s="11">
        <f>COUNTIFS(Tracking!Z:Z,A3&amp;C3,Tracking!C:C,"5v5",Tracking!Y:Y,"C",Tracking!AB:AB,"Y")</f>
        <v/>
      </c>
      <c r="AG3" s="11">
        <f>COUNTIFS(Tracking!AD:AD,A3&amp;C3,Tracking!C:C,"5v5")</f>
        <v/>
      </c>
      <c r="AH3" s="11">
        <f>COUNTIFS(Tracking!Z:Z,A3&amp;C3,Tracking!C:C,"5v5",Tracking!Y:Y,"C",Tracking!AE:AE,"Y")</f>
        <v/>
      </c>
      <c r="AI3" s="11">
        <f>COUNTIFS(Tracking!Z:Z,A3&amp;C3,Tracking!C:C,"5v5",Tracking!Y:Y,"D",Tracking!AE:AE,"Y")</f>
        <v/>
      </c>
      <c r="AJ3" s="11">
        <f>COUNTIFS(Tracking!AH:AH,A3&amp;C3)</f>
        <v/>
      </c>
      <c r="AK3" s="5">
        <f>COUNTIFS(Tracking!AI:AI,A3&amp;C3,Tracking!C:C,"5v5")+AL3</f>
        <v/>
      </c>
      <c r="AL3" s="5">
        <f>COUNTIFS(Tracking!AF:AF,A3&amp;C3,Tracking!C:C,"5v5")-AT3</f>
        <v/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/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/>
      </c>
      <c r="AO3" s="5">
        <f>COUNTIFS(Tracking!AF:AF,A3&amp;C3,Tracking!C:C,"5v5",Tracking!AG:AG,"CEX")+COUNTIFS(Tracking!AI:AI,A3&amp;C3,Tracking!C:C,"5v5",Tracking!AJ:AJ,"CEX")</f>
        <v/>
      </c>
      <c r="AP3" s="5">
        <f>COUNTIFS(Tracking!AF:AF,A3&amp;C3,Tracking!C:C,"5v5",Tracking!AG:AG,"PEX")</f>
        <v/>
      </c>
      <c r="AQ3" s="5">
        <f>COUNTIFS(Tracking!AF:AF,A3&amp;C3,Tracking!C:C,"5v5",Tracking!AG:AG,"CLE")+COUNTIFS(Tracking!AI:AI,A3&amp;C3,Tracking!C:C,"5v5",Tracking!AJ:AJ,"CLE")</f>
        <v/>
      </c>
      <c r="AR3" s="5">
        <f>COUNTIFS(Tracking!AF:AF,A3&amp;C3,Tracking!C:C,"5v5",Tracking!AG:AG,"MEX")</f>
        <v/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/>
      </c>
      <c r="AT3" s="5">
        <f>COUNTIFS(Tracking!AF:AF,A3&amp;C3,Tracking!C:C,"5v5",Tracking!AG:AG,"BOT")+COUNTIFS(Tracking!AF:AF,A3&amp;C3,Tracking!C:C,"5v5",Tracking!AG:AG,"FEX")</f>
        <v/>
      </c>
      <c r="AU3" s="5">
        <f>COUNTIFS(Tracking!AF:AF,A3&amp;C3,Tracking!C:C,"5v5",Tracking!AG:AG,"EXC")</f>
        <v/>
      </c>
      <c r="AV3" s="5">
        <f>COUNTIFS(Tracking!AF:AF,A3&amp;C3,Tracking!C:C,"5v5",Tracking!AG:AG,"FEX")+COUNTIFS(Tracking!AI:AI,A3&amp;C3,Tracking!C:C,"5v5",Tracking!AJ:AJ,"FEX")</f>
        <v/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/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/>
      </c>
      <c r="AY3" s="1">
        <f>COUNTIFS(Tracking!AA:AA,A3&amp;C3,Tracking!C:C,"5v5")</f>
        <v/>
      </c>
      <c r="AZ3" s="1">
        <f>COUNTIFS(Tracking!AA:AA,A3&amp;C3,Tracking!C:C,"5v5",Tracking!Y:Y,"C")</f>
        <v/>
      </c>
      <c r="BA3" s="1">
        <f>COUNTIFS(Tracking!AA:AA,A3&amp;C3,Tracking!C:C,"5v5",Tracking!Y:Y,"F")</f>
        <v/>
      </c>
      <c r="BB3" s="1">
        <f>COUNTIFS(Tracking!AA:AA,A3&amp;C3,Tracking!C:C,"5v5",Tracking!AB:AB,"Y")</f>
        <v/>
      </c>
      <c r="BC3" s="1">
        <f>COUNTIFS(Tracking!AA:AA,A3&amp;C3,Tracking!C:C,"5v5",Tracking!Y:Y,"C",Tracking!AE:AE,"Y")</f>
        <v/>
      </c>
      <c r="BD3" s="1">
        <f>COUNTIFS(Tracking!AA:AA,A3&amp;C3,Tracking!C:C,"5v5",Tracking!Y:Y,"D",Tracking!AE:AE,"Y")</f>
        <v/>
      </c>
      <c r="BE3" s="10">
        <f>COUNTIFS(Tracking!Z:Z,A3&amp;C3,Tracking!C:C,"5v4")</f>
        <v/>
      </c>
      <c r="BF3" s="10">
        <f>COUNTIFS(Tracking!Z:Z,A3&amp;C3,Tracking!C:C,"5v4",Tracking!Y:Y,"C")</f>
        <v/>
      </c>
      <c r="BG3" s="10">
        <f>COUNTIFS(Tracking!Z:Z,A3&amp;C3,Tracking!C:C,"5v4",Tracking!AB:AB,"Y")</f>
        <v/>
      </c>
      <c r="BH3" s="10">
        <f>COUNTIFS(Tracking!Z:Z,A3&amp;C3,Tracking!C:C,"4v5")</f>
        <v/>
      </c>
      <c r="BI3" s="10">
        <f>COUNTIFS(Tracking!AA:AA,A3&amp;C3,Tracking!C:C,"5v4",Tracking!Y:Y,"D")+COUNTIFS(Tracking!AA:AA,A3&amp;C3,Tracking!C:C,"5v4",Tracking!Y:Y,"F")</f>
        <v/>
      </c>
      <c r="BJ3" s="10">
        <f>COUNTIFS(Tracking!E:E,A3,Tracking!D:D,C3,Tracking!C:C,"5v4")</f>
        <v/>
      </c>
      <c r="BK3" s="10">
        <f>COUNTIFS(Tracking!G:G,A3,Tracking!D:D,C3,Tracking!C:C,"5v4")+COUNTIFS(Tracking!H:H,A3,Tracking!D:D,C3,Tracking!C:C,"5v4")+COUNTIFS(Tracking!I:I,A3,Tracking!D:D,C3,Tracking!C:C,"5v4")</f>
        <v/>
      </c>
      <c r="BL3" s="10">
        <f>COUNTIFS(Tracking!G:G,A3,Tracking!D:D,C3,Tracking!C:C,"5v4")</f>
        <v/>
      </c>
      <c r="BM3" s="10">
        <f>COUNTIFS(Tracking!E:E,A3,Tracking!D:D,C3,Tracking!C:C,"5v4",Tracking!M:M,"Y")</f>
        <v/>
      </c>
      <c r="BN3" s="10">
        <f>COUNTIFS(Tracking!G:G,A3,Tracking!D:D,C3,Tracking!C:C,"5v4",Tracking!M:M,"Y")</f>
        <v/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/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/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/>
      </c>
      <c r="BR3" s="12">
        <f>COUNTIFS(Tracking!E:E,A3,Tracking!D:D,C3,Tracking!C:C,"5v5",Tracking!F:F,"o")</f>
        <v/>
      </c>
      <c r="BS3" s="12">
        <f>COUNTIFS(Tracking!E:E,A3,Tracking!D:D,C3,Tracking!C:C,"5v5",Tracking!F:F,"r")</f>
        <v/>
      </c>
      <c r="BT3" s="12">
        <f>COUNTIFS(Tracking!E:E,A3,Tracking!D:D,C3,Tracking!C:C,"5v5",Tracking!F:F,"t")</f>
        <v/>
      </c>
      <c r="BU3" s="12">
        <f>COUNTIFS(Tracking!G:G,A3,Tracking!D:D,C3,Tracking!C:C,"5v5",Tracking!F:F,"o")</f>
        <v/>
      </c>
      <c r="BV3" s="12">
        <f>COUNTIFS(Tracking!E:E,A2,Tracking!D:D,C3,Tracking!C:C,"5v5",Tracking!F:F,"r")</f>
        <v/>
      </c>
      <c r="BW3" s="12">
        <f>COUNTIFS(Tracking!G:G,A3,Tracking!D:D,C3,Tracking!C:C,"5v5",Tracking!F:F,"T")</f>
        <v/>
      </c>
      <c r="BX3" s="12">
        <f>COUNTIFS(Tracking!E:E,A3,Tracking!D:D,C3,Tracking!C:C,"5v5",Tracking!Q:Q,"OZ")</f>
        <v/>
      </c>
      <c r="BY3" s="12">
        <f>COUNTIFS(Tracking!E:E,A3,Tracking!D:D,C3,Tracking!C:C,"5v5",Tracking!Q:Q,"nZ")</f>
        <v/>
      </c>
      <c r="BZ3" s="12">
        <f>COUNTIFS(Tracking!E:E,A3,Tracking!D:D,C3,Tracking!C:C,"5v5",Tracking!Q:Q,"dZ")</f>
        <v/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/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/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/>
      </c>
      <c r="CD3" s="12">
        <f>COUNTIFS(Tracking!E:E,A3,Tracking!D:D,C3,Tracking!C:C,"5v5",Tracking!R:R,"dz exit")</f>
        <v/>
      </c>
      <c r="CE3" s="12">
        <f>COUNTIFS(Tracking!E:E,A3,Tracking!D:D,C3,Tracking!C:C,"5v5",Tracking!R:R,"dz counter")</f>
        <v/>
      </c>
      <c r="CF3" s="12">
        <f>COUNTIFS(Tracking!E:E,A3,Tracking!D:D,C3,Tracking!C:C,"5v5",Tracking!R:R,"nz turnover")</f>
        <v/>
      </c>
      <c r="CG3" s="12">
        <f>COUNTIFS(Tracking!E:E,A3,Tracking!D:D,C3,Tracking!C:C,"5v5",Tracking!R:R,"nz regroup")</f>
        <v/>
      </c>
      <c r="CH3" s="12">
        <f>COUNTIFS(Tracking!E:E,A3,Tracking!D:D,C3,Tracking!C:C,"5v5",Tracking!R:R,"nz reload")</f>
        <v/>
      </c>
      <c r="CI3" s="12">
        <f>COUNTIFS(Tracking!E:E,A3,Tracking!D:D,C3,Tracking!C:C,"5v5",Tracking!R:R,"controlled breakout")</f>
        <v/>
      </c>
      <c r="CJ3" s="2">
        <f>CK3+CL3+CM3+CN3+CO3+CP3</f>
        <v/>
      </c>
      <c r="CK3" s="2">
        <f>(0.075*H3)+(0.07*L3)+(0.055*M3)+(0.055*N3)+(0.095*J3)+(0.09*O3)+(0.05*P3)+(0.05*R3)+(0.05*S3)+(0.05*AB3)</f>
        <v/>
      </c>
      <c r="CL3" s="2">
        <f>(0.045*AD3)-(0.045*AE3)+(0.055*AH3)+(0.035*AI3)</f>
        <v/>
      </c>
      <c r="CM3" s="2">
        <f>(0.025*(AY3-AZ3))+(0.035*BA3)-(0.015*BB3)-(0.015*BC3)+(0.015*(AY3-(BD3+BC3)))</f>
        <v/>
      </c>
      <c r="CN3" s="2">
        <f>(0.035*AN3)+(0.025*AS3)-(0.035*AT3)-(0.035*AV3)</f>
        <v/>
      </c>
      <c r="CO3" s="2">
        <f>(0.015*AJ3)+(0.045*AG3)</f>
        <v/>
      </c>
      <c r="CP3" s="2">
        <f>(0.055*BM3)+(0.055*BN3)+(0.035*BO3)+(0.035*BQ3)+(0.055*BH3)+(0.035*BI3)+(0.035*BG3)</f>
        <v/>
      </c>
      <c r="CQ3" s="2">
        <f>CK3+CL3+CM3+CN3+CO3</f>
        <v/>
      </c>
    </row>
    <row r="4">
      <c r="A4" s="8" t="n">
        <v>23</v>
      </c>
      <c r="B4" s="8" t="inlineStr">
        <is>
          <t>Esa Lindell</t>
        </is>
      </c>
      <c r="C4" s="8" t="inlineStr">
        <is>
          <t>DAL</t>
        </is>
      </c>
      <c r="D4" s="8" t="inlineStr">
        <is>
          <t>D</t>
        </is>
      </c>
      <c r="E4" s="8" t="n">
        <v>16.9</v>
      </c>
      <c r="F4" s="8" t="inlineStr">
        <is>
          <t>2025-26</t>
        </is>
      </c>
      <c r="G4" s="19" t="inlineStr">
        <is>
          <t>3/6/2026 DAL vs. COL</t>
        </is>
      </c>
      <c r="H4" s="9">
        <f>COUNTIFS(Tracking!E:E,A4,Tracking!D:D,C4,Tracking!C:C,"5v5")</f>
        <v/>
      </c>
      <c r="I4" s="9">
        <f>COUNTIFS(Tracking!E:E,A4,Tracking!D:D,C4,Tracking!N:N,"y",Tracking!C:C,"5v5")</f>
        <v/>
      </c>
      <c r="J4" s="9">
        <f>COUNTIFS(Tracking!E:E,A4,Tracking!D:D,C4,Tracking!M:M,"y",Tracking!C:C,"5v5")</f>
        <v/>
      </c>
      <c r="K4" s="9">
        <f>L4+M4+N4</f>
        <v/>
      </c>
      <c r="L4" s="9">
        <f>COUNTIFS(Tracking!G:G,A4,Tracking!D:D,C4,Tracking!C:C,"5v5")</f>
        <v/>
      </c>
      <c r="M4" s="9">
        <f>COUNTIFS(Tracking!H:H,A4,Tracking!D:D,C4,Tracking!C:C,"5v5")</f>
        <v/>
      </c>
      <c r="N4" s="9">
        <f>COUNTIFS(Tracking!I:I,A4,Tracking!D:D,C4,Tracking!C:C,"5v5")</f>
        <v/>
      </c>
      <c r="O4" s="9">
        <f>COUNTIFS(Tracking!G:G,A4,Tracking!D:D,C4,Tracking!C:C,"5v5",Tracking!M:M,"y")</f>
        <v/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/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/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/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/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/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/>
      </c>
      <c r="V4" s="9">
        <f>COUNTIFS(Tracking!E:E,A4,Tracking!D:D,C4,Tracking!C:C,"5v5",Tracking!P:P,"r")</f>
        <v/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/>
      </c>
      <c r="X4" s="9">
        <f>COUNTIFS(Tracking!E:E,A4,Tracking!D:D,C4,Tracking!C:C,"5v5",Tracking!P:P,"f")</f>
        <v/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/>
      </c>
      <c r="Z4" s="9">
        <f>COUNTIFS(Tracking!E:E,A4,Tracking!D:D,C4,Tracking!C:C,"5v5",Tracking!P:P,"c")</f>
        <v/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/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/>
      </c>
      <c r="AC4" s="11">
        <f>COUNTIFS(Tracking!Z:Z,A4&amp;C4,Tracking!C:C,"5v5")-AE4</f>
        <v/>
      </c>
      <c r="AD4" s="11">
        <f>COUNTIFS(Tracking!Z:Z,A4&amp;C4,Tracking!C:C,"5v5",Tracking!Y:Y,"C")</f>
        <v/>
      </c>
      <c r="AE4" s="11">
        <f>COUNTIFS(Tracking!Z:Z,A4&amp;C4,Tracking!C:C,"5v5",Tracking!Y:Y,"F")</f>
        <v/>
      </c>
      <c r="AF4" s="11">
        <f>COUNTIFS(Tracking!Z:Z,A4&amp;C4,Tracking!C:C,"5v5",Tracking!Y:Y,"C",Tracking!AB:AB,"Y")</f>
        <v/>
      </c>
      <c r="AG4" s="11">
        <f>COUNTIFS(Tracking!AD:AD,A4&amp;C4,Tracking!C:C,"5v5")</f>
        <v/>
      </c>
      <c r="AH4" s="11">
        <f>COUNTIFS(Tracking!Z:Z,A4&amp;C4,Tracking!C:C,"5v5",Tracking!Y:Y,"C",Tracking!AE:AE,"Y")</f>
        <v/>
      </c>
      <c r="AI4" s="11">
        <f>COUNTIFS(Tracking!Z:Z,A4&amp;C4,Tracking!C:C,"5v5",Tracking!Y:Y,"D",Tracking!AE:AE,"Y")</f>
        <v/>
      </c>
      <c r="AJ4" s="11">
        <f>COUNTIFS(Tracking!AH:AH,A4&amp;C4)</f>
        <v/>
      </c>
      <c r="AK4" s="5">
        <f>COUNTIFS(Tracking!AI:AI,A4&amp;C4,Tracking!C:C,"5v5")+AL4</f>
        <v/>
      </c>
      <c r="AL4" s="5">
        <f>COUNTIFS(Tracking!AF:AF,A4&amp;C4,Tracking!C:C,"5v5")-AT4</f>
        <v/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/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/>
      </c>
      <c r="AO4" s="5">
        <f>COUNTIFS(Tracking!AF:AF,A4&amp;C4,Tracking!C:C,"5v5",Tracking!AG:AG,"CEX")+COUNTIFS(Tracking!AI:AI,A4&amp;C4,Tracking!C:C,"5v5",Tracking!AJ:AJ,"CEX")</f>
        <v/>
      </c>
      <c r="AP4" s="5">
        <f>COUNTIFS(Tracking!AF:AF,A4&amp;C4,Tracking!C:C,"5v5",Tracking!AG:AG,"PEX")</f>
        <v/>
      </c>
      <c r="AQ4" s="5">
        <f>COUNTIFS(Tracking!AF:AF,A4&amp;C4,Tracking!C:C,"5v5",Tracking!AG:AG,"CLE")+COUNTIFS(Tracking!AI:AI,A4&amp;C4,Tracking!C:C,"5v5",Tracking!AJ:AJ,"CLE")</f>
        <v/>
      </c>
      <c r="AR4" s="5">
        <f>COUNTIFS(Tracking!AF:AF,A4&amp;C4,Tracking!C:C,"5v5",Tracking!AG:AG,"MEX")</f>
        <v/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/>
      </c>
      <c r="AT4" s="5">
        <f>COUNTIFS(Tracking!AF:AF,A4&amp;C4,Tracking!C:C,"5v5",Tracking!AG:AG,"BOT")+COUNTIFS(Tracking!AF:AF,A4&amp;C4,Tracking!C:C,"5v5",Tracking!AG:AG,"FEX")</f>
        <v/>
      </c>
      <c r="AU4" s="5">
        <f>COUNTIFS(Tracking!AF:AF,A4&amp;C4,Tracking!C:C,"5v5",Tracking!AG:AG,"EXC")</f>
        <v/>
      </c>
      <c r="AV4" s="5">
        <f>COUNTIFS(Tracking!AF:AF,A4&amp;C4,Tracking!C:C,"5v5",Tracking!AG:AG,"FEX")+COUNTIFS(Tracking!AI:AI,A4&amp;C4,Tracking!C:C,"5v5",Tracking!AJ:AJ,"FEX")</f>
        <v/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/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/>
      </c>
      <c r="AY4" s="1">
        <f>COUNTIFS(Tracking!AA:AA,A4&amp;C4,Tracking!C:C,"5v5")</f>
        <v/>
      </c>
      <c r="AZ4" s="1">
        <f>COUNTIFS(Tracking!AA:AA,A4&amp;C4,Tracking!C:C,"5v5",Tracking!Y:Y,"C")</f>
        <v/>
      </c>
      <c r="BA4" s="1">
        <f>COUNTIFS(Tracking!AA:AA,A4&amp;C4,Tracking!C:C,"5v5",Tracking!Y:Y,"F")</f>
        <v/>
      </c>
      <c r="BB4" s="1">
        <f>COUNTIFS(Tracking!AA:AA,A4&amp;C4,Tracking!C:C,"5v5",Tracking!AB:AB,"Y")</f>
        <v/>
      </c>
      <c r="BC4" s="1">
        <f>COUNTIFS(Tracking!AA:AA,A4&amp;C4,Tracking!C:C,"5v5",Tracking!Y:Y,"C",Tracking!AE:AE,"Y")</f>
        <v/>
      </c>
      <c r="BD4" s="1">
        <f>COUNTIFS(Tracking!AA:AA,A4&amp;C4,Tracking!C:C,"5v5",Tracking!Y:Y,"D",Tracking!AE:AE,"Y")</f>
        <v/>
      </c>
      <c r="BE4" s="10">
        <f>COUNTIFS(Tracking!Z:Z,A4&amp;C4,Tracking!C:C,"5v4")</f>
        <v/>
      </c>
      <c r="BF4" s="10">
        <f>COUNTIFS(Tracking!Z:Z,A4&amp;C4,Tracking!C:C,"5v4",Tracking!Y:Y,"C")</f>
        <v/>
      </c>
      <c r="BG4" s="10">
        <f>COUNTIFS(Tracking!Z:Z,A4&amp;C4,Tracking!C:C,"5v4",Tracking!AB:AB,"Y")</f>
        <v/>
      </c>
      <c r="BH4" s="10">
        <f>COUNTIFS(Tracking!Z:Z,A4&amp;C4,Tracking!C:C,"4v5")</f>
        <v/>
      </c>
      <c r="BI4" s="10">
        <f>COUNTIFS(Tracking!AA:AA,A4&amp;C4,Tracking!C:C,"5v4",Tracking!Y:Y,"D")+COUNTIFS(Tracking!AA:AA,A4&amp;C4,Tracking!C:C,"5v4",Tracking!Y:Y,"F")</f>
        <v/>
      </c>
      <c r="BJ4" s="10">
        <f>COUNTIFS(Tracking!E:E,A4,Tracking!D:D,C4,Tracking!C:C,"5v4")</f>
        <v/>
      </c>
      <c r="BK4" s="10">
        <f>COUNTIFS(Tracking!G:G,A4,Tracking!D:D,C4,Tracking!C:C,"5v4")+COUNTIFS(Tracking!H:H,A4,Tracking!D:D,C4,Tracking!C:C,"5v4")+COUNTIFS(Tracking!I:I,A4,Tracking!D:D,C4,Tracking!C:C,"5v4")</f>
        <v/>
      </c>
      <c r="BL4" s="10">
        <f>COUNTIFS(Tracking!G:G,A4,Tracking!D:D,C4,Tracking!C:C,"5v4")</f>
        <v/>
      </c>
      <c r="BM4" s="10">
        <f>COUNTIFS(Tracking!E:E,A4,Tracking!D:D,C4,Tracking!C:C,"5v4",Tracking!M:M,"Y")</f>
        <v/>
      </c>
      <c r="BN4" s="10">
        <f>COUNTIFS(Tracking!G:G,A4,Tracking!D:D,C4,Tracking!C:C,"5v4",Tracking!M:M,"Y")</f>
        <v/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/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/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/>
      </c>
      <c r="BR4" s="12">
        <f>COUNTIFS(Tracking!E:E,A4,Tracking!D:D,C4,Tracking!C:C,"5v5",Tracking!F:F,"o")</f>
        <v/>
      </c>
      <c r="BS4" s="12">
        <f>COUNTIFS(Tracking!E:E,A4,Tracking!D:D,C4,Tracking!C:C,"5v5",Tracking!F:F,"r")</f>
        <v/>
      </c>
      <c r="BT4" s="12">
        <f>COUNTIFS(Tracking!E:E,A4,Tracking!D:D,C4,Tracking!C:C,"5v5",Tracking!F:F,"t")</f>
        <v/>
      </c>
      <c r="BU4" s="12">
        <f>COUNTIFS(Tracking!G:G,A4,Tracking!D:D,C4,Tracking!C:C,"5v5",Tracking!F:F,"o")</f>
        <v/>
      </c>
      <c r="BV4" s="12">
        <f>COUNTIFS(Tracking!E:E,A3,Tracking!D:D,C4,Tracking!C:C,"5v5",Tracking!F:F,"r")</f>
        <v/>
      </c>
      <c r="BW4" s="12">
        <f>COUNTIFS(Tracking!G:G,A4,Tracking!D:D,C4,Tracking!C:C,"5v5",Tracking!F:F,"T")</f>
        <v/>
      </c>
      <c r="BX4" s="12">
        <f>COUNTIFS(Tracking!E:E,A4,Tracking!D:D,C4,Tracking!C:C,"5v5",Tracking!Q:Q,"OZ")</f>
        <v/>
      </c>
      <c r="BY4" s="12">
        <f>COUNTIFS(Tracking!E:E,A4,Tracking!D:D,C4,Tracking!C:C,"5v5",Tracking!Q:Q,"nZ")</f>
        <v/>
      </c>
      <c r="BZ4" s="12">
        <f>COUNTIFS(Tracking!E:E,A4,Tracking!D:D,C4,Tracking!C:C,"5v5",Tracking!Q:Q,"dZ")</f>
        <v/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/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/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/>
      </c>
      <c r="CD4" s="12">
        <f>COUNTIFS(Tracking!E:E,A4,Tracking!D:D,C4,Tracking!C:C,"5v5",Tracking!R:R,"dz exit")</f>
        <v/>
      </c>
      <c r="CE4" s="12">
        <f>COUNTIFS(Tracking!E:E,A4,Tracking!D:D,C4,Tracking!C:C,"5v5",Tracking!R:R,"dz counter")</f>
        <v/>
      </c>
      <c r="CF4" s="12">
        <f>COUNTIFS(Tracking!E:E,A4,Tracking!D:D,C4,Tracking!C:C,"5v5",Tracking!R:R,"nz turnover")</f>
        <v/>
      </c>
      <c r="CG4" s="12">
        <f>COUNTIFS(Tracking!E:E,A4,Tracking!D:D,C4,Tracking!C:C,"5v5",Tracking!R:R,"nz regroup")</f>
        <v/>
      </c>
      <c r="CH4" s="12">
        <f>COUNTIFS(Tracking!E:E,A4,Tracking!D:D,C4,Tracking!C:C,"5v5",Tracking!R:R,"nz reload")</f>
        <v/>
      </c>
      <c r="CI4" s="12">
        <f>COUNTIFS(Tracking!E:E,A4,Tracking!D:D,C4,Tracking!C:C,"5v5",Tracking!R:R,"controlled breakout")</f>
        <v/>
      </c>
      <c r="CJ4" s="2">
        <f>CK4+CL4+CM4+CN4+CO4+CP4</f>
        <v/>
      </c>
      <c r="CK4" s="2">
        <f>(0.075*H4)+(0.07*L4)+(0.055*M4)+(0.055*N4)+(0.095*J4)+(0.09*O4)+(0.05*P4)+(0.05*R4)+(0.05*S4)+(0.05*AB4)</f>
        <v/>
      </c>
      <c r="CL4" s="2">
        <f>(0.045*AD4)-(0.045*AE4)+(0.055*AH4)+(0.035*AI4)</f>
        <v/>
      </c>
      <c r="CM4" s="2">
        <f>(0.015*(AY4-AZ4))+(0.035*BA4)-(0.015*BB4)-(0.025*BC4)+(0.015*(AY4-(BD4+BC4)))</f>
        <v/>
      </c>
      <c r="CN4" s="2">
        <f>(0.035*AN4)+(0.025*AS4)-(0.035*AT4)-(0.035*AV4)</f>
        <v/>
      </c>
      <c r="CO4" s="2">
        <f>(0.015*AJ4)+(0.045*AG4)</f>
        <v/>
      </c>
      <c r="CP4" s="2">
        <f>(0.055*BM4)+(0.055*BN4)+(0.035*BO4)+(0.035*BQ4)+(0.055*BH4)+(0.035*BI4)+(0.035*BG4)</f>
        <v/>
      </c>
      <c r="CQ4" s="2">
        <f>CK4+CL4+CM4+CN4+CO4</f>
        <v/>
      </c>
    </row>
    <row r="5">
      <c r="A5" s="8" t="n">
        <v>46</v>
      </c>
      <c r="B5" s="8" t="inlineStr">
        <is>
          <t>Ilya Lyubushkin</t>
        </is>
      </c>
      <c r="C5" s="8" t="inlineStr">
        <is>
          <t>DAL</t>
        </is>
      </c>
      <c r="D5" s="8" t="inlineStr">
        <is>
          <t>D</t>
        </is>
      </c>
      <c r="E5" s="8" t="n">
        <v>10.333333333333</v>
      </c>
      <c r="F5" s="8" t="inlineStr">
        <is>
          <t>2025-26</t>
        </is>
      </c>
      <c r="G5" s="19" t="inlineStr">
        <is>
          <t>3/6/2026 DAL vs. COL</t>
        </is>
      </c>
      <c r="H5" s="9">
        <f>COUNTIFS(Tracking!E:E,A5,Tracking!D:D,C5,Tracking!C:C,"5v5")</f>
        <v/>
      </c>
      <c r="I5" s="9">
        <f>COUNTIFS(Tracking!E:E,A5,Tracking!D:D,C5,Tracking!N:N,"y",Tracking!C:C,"5v5")</f>
        <v/>
      </c>
      <c r="J5" s="9">
        <f>COUNTIFS(Tracking!E:E,A5,Tracking!D:D,C5,Tracking!M:M,"y",Tracking!C:C,"5v5")</f>
        <v/>
      </c>
      <c r="K5" s="9">
        <f>L5+M5+N5</f>
        <v/>
      </c>
      <c r="L5" s="9">
        <f>COUNTIFS(Tracking!G:G,A5,Tracking!D:D,C5,Tracking!C:C,"5v5")</f>
        <v/>
      </c>
      <c r="M5" s="9">
        <f>COUNTIFS(Tracking!H:H,A5,Tracking!D:D,C5,Tracking!C:C,"5v5")</f>
        <v/>
      </c>
      <c r="N5" s="9">
        <f>COUNTIFS(Tracking!I:I,A5,Tracking!D:D,C5,Tracking!C:C,"5v5")</f>
        <v/>
      </c>
      <c r="O5" s="9">
        <f>COUNTIFS(Tracking!G:G,A5,Tracking!D:D,C5,Tracking!C:C,"5v5",Tracking!M:M,"y")</f>
        <v/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/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/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/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/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/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/>
      </c>
      <c r="V5" s="9">
        <f>COUNTIFS(Tracking!E:E,A5,Tracking!D:D,C5,Tracking!C:C,"5v5",Tracking!P:P,"r")</f>
        <v/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/>
      </c>
      <c r="X5" s="9">
        <f>COUNTIFS(Tracking!E:E,A5,Tracking!D:D,C5,Tracking!C:C,"5v5",Tracking!P:P,"f")</f>
        <v/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/>
      </c>
      <c r="Z5" s="9">
        <f>COUNTIFS(Tracking!E:E,A5,Tracking!D:D,C5,Tracking!C:C,"5v5",Tracking!P:P,"c")</f>
        <v/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/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/>
      </c>
      <c r="AC5" s="11">
        <f>COUNTIFS(Tracking!Z:Z,A5&amp;C5,Tracking!C:C,"5v5")-AE5</f>
        <v/>
      </c>
      <c r="AD5" s="11">
        <f>COUNTIFS(Tracking!Z:Z,A5&amp;C5,Tracking!C:C,"5v5",Tracking!Y:Y,"C")</f>
        <v/>
      </c>
      <c r="AE5" s="11">
        <f>COUNTIFS(Tracking!Z:Z,A5&amp;C5,Tracking!C:C,"5v5",Tracking!Y:Y,"F")</f>
        <v/>
      </c>
      <c r="AF5" s="11">
        <f>COUNTIFS(Tracking!Z:Z,A5&amp;C5,Tracking!C:C,"5v5",Tracking!Y:Y,"C",Tracking!AB:AB,"Y")</f>
        <v/>
      </c>
      <c r="AG5" s="11">
        <f>COUNTIFS(Tracking!AD:AD,A5&amp;C5,Tracking!C:C,"5v5")</f>
        <v/>
      </c>
      <c r="AH5" s="11">
        <f>COUNTIFS(Tracking!Z:Z,A5&amp;C5,Tracking!C:C,"5v5",Tracking!Y:Y,"C",Tracking!AE:AE,"Y")</f>
        <v/>
      </c>
      <c r="AI5" s="11">
        <f>COUNTIFS(Tracking!Z:Z,A5&amp;C5,Tracking!C:C,"5v5",Tracking!Y:Y,"D",Tracking!AE:AE,"Y")</f>
        <v/>
      </c>
      <c r="AJ5" s="11">
        <f>COUNTIFS(Tracking!AH:AH,A5&amp;C5)</f>
        <v/>
      </c>
      <c r="AK5" s="5">
        <f>COUNTIFS(Tracking!AI:AI,A5&amp;C5,Tracking!C:C,"5v5")+AL5</f>
        <v/>
      </c>
      <c r="AL5" s="5">
        <f>COUNTIFS(Tracking!AF:AF,A5&amp;C5,Tracking!C:C,"5v5")-AT5</f>
        <v/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/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/>
      </c>
      <c r="AO5" s="5">
        <f>COUNTIFS(Tracking!AF:AF,A5&amp;C5,Tracking!C:C,"5v5",Tracking!AG:AG,"CEX")+COUNTIFS(Tracking!AI:AI,A5&amp;C5,Tracking!C:C,"5v5",Tracking!AJ:AJ,"CEX")</f>
        <v/>
      </c>
      <c r="AP5" s="5">
        <f>COUNTIFS(Tracking!AF:AF,A5&amp;C5,Tracking!C:C,"5v5",Tracking!AG:AG,"PEX")</f>
        <v/>
      </c>
      <c r="AQ5" s="5">
        <f>COUNTIFS(Tracking!AF:AF,A5&amp;C5,Tracking!C:C,"5v5",Tracking!AG:AG,"CLE")+COUNTIFS(Tracking!AI:AI,A5&amp;C5,Tracking!C:C,"5v5",Tracking!AJ:AJ,"CLE")</f>
        <v/>
      </c>
      <c r="AR5" s="5">
        <f>COUNTIFS(Tracking!AF:AF,A5&amp;C5,Tracking!C:C,"5v5",Tracking!AG:AG,"MEX")</f>
        <v/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/>
      </c>
      <c r="AT5" s="5">
        <f>COUNTIFS(Tracking!AF:AF,A5&amp;C5,Tracking!C:C,"5v5",Tracking!AG:AG,"BOT")+COUNTIFS(Tracking!AF:AF,A5&amp;C5,Tracking!C:C,"5v5",Tracking!AG:AG,"FEX")</f>
        <v/>
      </c>
      <c r="AU5" s="5">
        <f>COUNTIFS(Tracking!AF:AF,A5&amp;C5,Tracking!C:C,"5v5",Tracking!AG:AG,"EXC")</f>
        <v/>
      </c>
      <c r="AV5" s="5">
        <f>COUNTIFS(Tracking!AF:AF,A5&amp;C5,Tracking!C:C,"5v5",Tracking!AG:AG,"FEX")+COUNTIFS(Tracking!AI:AI,A5&amp;C5,Tracking!C:C,"5v5",Tracking!AJ:AJ,"FEX")</f>
        <v/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/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/>
      </c>
      <c r="AY5" s="1">
        <f>COUNTIFS(Tracking!AA:AA,A5&amp;C5,Tracking!C:C,"5v5")</f>
        <v/>
      </c>
      <c r="AZ5" s="1">
        <f>COUNTIFS(Tracking!AA:AA,A5&amp;C5,Tracking!C:C,"5v5",Tracking!Y:Y,"C")</f>
        <v/>
      </c>
      <c r="BA5" s="1">
        <f>COUNTIFS(Tracking!AA:AA,A5&amp;C5,Tracking!C:C,"5v5",Tracking!Y:Y,"F")</f>
        <v/>
      </c>
      <c r="BB5" s="1">
        <f>COUNTIFS(Tracking!AA:AA,A5&amp;C5,Tracking!C:C,"5v5",Tracking!AB:AB,"Y")</f>
        <v/>
      </c>
      <c r="BC5" s="1">
        <f>COUNTIFS(Tracking!AA:AA,A5&amp;C5,Tracking!C:C,"5v5",Tracking!Y:Y,"C",Tracking!AE:AE,"Y")</f>
        <v/>
      </c>
      <c r="BD5" s="1">
        <f>COUNTIFS(Tracking!AA:AA,A5&amp;C5,Tracking!C:C,"5v5",Tracking!Y:Y,"D",Tracking!AE:AE,"Y")</f>
        <v/>
      </c>
      <c r="BE5" s="10">
        <f>COUNTIFS(Tracking!Z:Z,A5&amp;C5,Tracking!C:C,"5v4")</f>
        <v/>
      </c>
      <c r="BF5" s="10">
        <f>COUNTIFS(Tracking!Z:Z,A5&amp;C5,Tracking!C:C,"5v4",Tracking!Y:Y,"C")</f>
        <v/>
      </c>
      <c r="BG5" s="10">
        <f>COUNTIFS(Tracking!Z:Z,A5&amp;C5,Tracking!C:C,"5v4",Tracking!AB:AB,"Y")</f>
        <v/>
      </c>
      <c r="BH5" s="10">
        <f>COUNTIFS(Tracking!Z:Z,A5&amp;C5,Tracking!C:C,"4v5")</f>
        <v/>
      </c>
      <c r="BI5" s="10">
        <f>COUNTIFS(Tracking!AA:AA,A5&amp;C5,Tracking!C:C,"5v4",Tracking!Y:Y,"D")+COUNTIFS(Tracking!AA:AA,A5&amp;C5,Tracking!C:C,"5v4",Tracking!Y:Y,"F")</f>
        <v/>
      </c>
      <c r="BJ5" s="10">
        <f>COUNTIFS(Tracking!E:E,A5,Tracking!D:D,C5,Tracking!C:C,"5v4")</f>
        <v/>
      </c>
      <c r="BK5" s="10">
        <f>COUNTIFS(Tracking!G:G,A5,Tracking!D:D,C5,Tracking!C:C,"5v4")+COUNTIFS(Tracking!H:H,A5,Tracking!D:D,C5,Tracking!C:C,"5v4")+COUNTIFS(Tracking!I:I,A5,Tracking!D:D,C5,Tracking!C:C,"5v4")</f>
        <v/>
      </c>
      <c r="BL5" s="10">
        <f>COUNTIFS(Tracking!G:G,A5,Tracking!D:D,C5,Tracking!C:C,"5v4")</f>
        <v/>
      </c>
      <c r="BM5" s="10">
        <f>COUNTIFS(Tracking!E:E,A5,Tracking!D:D,C5,Tracking!C:C,"5v4",Tracking!M:M,"Y")</f>
        <v/>
      </c>
      <c r="BN5" s="10">
        <f>COUNTIFS(Tracking!G:G,A5,Tracking!D:D,C5,Tracking!C:C,"5v4",Tracking!M:M,"Y")</f>
        <v/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/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/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/>
      </c>
      <c r="BR5" s="12">
        <f>COUNTIFS(Tracking!E:E,A5,Tracking!D:D,C5,Tracking!C:C,"5v5",Tracking!F:F,"o")</f>
        <v/>
      </c>
      <c r="BS5" s="12">
        <f>COUNTIFS(Tracking!E:E,A5,Tracking!D:D,C5,Tracking!C:C,"5v5",Tracking!F:F,"r")</f>
        <v/>
      </c>
      <c r="BT5" s="12">
        <f>COUNTIFS(Tracking!E:E,A5,Tracking!D:D,C5,Tracking!C:C,"5v5",Tracking!F:F,"t")</f>
        <v/>
      </c>
      <c r="BU5" s="12">
        <f>COUNTIFS(Tracking!G:G,A5,Tracking!D:D,C5,Tracking!C:C,"5v5",Tracking!F:F,"o")</f>
        <v/>
      </c>
      <c r="BV5" s="12">
        <f>COUNTIFS(Tracking!E:E,A4,Tracking!D:D,C5,Tracking!C:C,"5v5",Tracking!F:F,"r")</f>
        <v/>
      </c>
      <c r="BW5" s="12">
        <f>COUNTIFS(Tracking!G:G,A5,Tracking!D:D,C5,Tracking!C:C,"5v5",Tracking!F:F,"T")</f>
        <v/>
      </c>
      <c r="BX5" s="12">
        <f>COUNTIFS(Tracking!E:E,A5,Tracking!D:D,C5,Tracking!C:C,"5v5",Tracking!Q:Q,"OZ")</f>
        <v/>
      </c>
      <c r="BY5" s="12">
        <f>COUNTIFS(Tracking!E:E,A5,Tracking!D:D,C5,Tracking!C:C,"5v5",Tracking!Q:Q,"nZ")</f>
        <v/>
      </c>
      <c r="BZ5" s="12">
        <f>COUNTIFS(Tracking!E:E,A5,Tracking!D:D,C5,Tracking!C:C,"5v5",Tracking!Q:Q,"dZ")</f>
        <v/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/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/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/>
      </c>
      <c r="CD5" s="12">
        <f>COUNTIFS(Tracking!E:E,A5,Tracking!D:D,C5,Tracking!C:C,"5v5",Tracking!R:R,"dz exit")</f>
        <v/>
      </c>
      <c r="CE5" s="12">
        <f>COUNTIFS(Tracking!E:E,A5,Tracking!D:D,C5,Tracking!C:C,"5v5",Tracking!R:R,"dz counter")</f>
        <v/>
      </c>
      <c r="CF5" s="12">
        <f>COUNTIFS(Tracking!E:E,A5,Tracking!D:D,C5,Tracking!C:C,"5v5",Tracking!R:R,"nz turnover")</f>
        <v/>
      </c>
      <c r="CG5" s="12">
        <f>COUNTIFS(Tracking!E:E,A5,Tracking!D:D,C5,Tracking!C:C,"5v5",Tracking!R:R,"nz regroup")</f>
        <v/>
      </c>
      <c r="CH5" s="12">
        <f>COUNTIFS(Tracking!E:E,A5,Tracking!D:D,C5,Tracking!C:C,"5v5",Tracking!R:R,"nz reload")</f>
        <v/>
      </c>
      <c r="CI5" s="12">
        <f>COUNTIFS(Tracking!E:E,A5,Tracking!D:D,C5,Tracking!C:C,"5v5",Tracking!R:R,"controlled breakout")</f>
        <v/>
      </c>
      <c r="CJ5" s="2">
        <f>CK5+CL5+CM5+CN5+CO5+CP5</f>
        <v/>
      </c>
      <c r="CK5" s="2">
        <f>(0.075*H5)+(0.07*L5)+(0.055*M5)+(0.055*N5)+(0.095*J5)+(0.09*O5)+(0.05*P5)+(0.05*R5)+(0.05*S5)+(0.05*AB5)</f>
        <v/>
      </c>
      <c r="CL5" s="2">
        <f>(0.045*AD5)-(0.045*AE5)+(0.055*AH5)+(0.035*AI5)</f>
        <v/>
      </c>
      <c r="CM5" s="2">
        <f>(0.015*(AY5-AZ5))+(0.035*BA5)-(0.015*BB5)-(0.025*BC5)+(0.015*(AY5-(BD5+BC5)))</f>
        <v/>
      </c>
      <c r="CN5" s="2">
        <f>(0.035*AN5)+(0.025*AS5)-(0.035*AT5)-(0.035*AV5)</f>
        <v/>
      </c>
      <c r="CO5" s="2">
        <f>(0.015*AJ5)+(0.045*AG5)</f>
        <v/>
      </c>
      <c r="CP5" s="2">
        <f>(0.055*BM5)+(0.055*BN5)+(0.035*BO5)+(0.035*BQ5)+(0.055*BH5)+(0.035*BI5)+(0.035*BG5)</f>
        <v/>
      </c>
      <c r="CQ5" s="2">
        <f>CK5+CL5+CM5+CN5+CO5</f>
        <v/>
      </c>
    </row>
    <row r="6">
      <c r="A6" s="8" t="n">
        <v>14</v>
      </c>
      <c r="B6" s="8" t="inlineStr">
        <is>
          <t>Jamie Benn</t>
        </is>
      </c>
      <c r="C6" s="8" t="inlineStr">
        <is>
          <t>DAL</t>
        </is>
      </c>
      <c r="D6" s="8" t="inlineStr">
        <is>
          <t>L</t>
        </is>
      </c>
      <c r="E6" s="8" t="n">
        <v>9.483333333333301</v>
      </c>
      <c r="F6" s="8" t="inlineStr">
        <is>
          <t>2025-26</t>
        </is>
      </c>
      <c r="G6" s="19" t="inlineStr">
        <is>
          <t>3/6/2026 DAL vs. COL</t>
        </is>
      </c>
      <c r="H6" s="9">
        <f>COUNTIFS(Tracking!E:E,A6,Tracking!D:D,C6,Tracking!C:C,"5v5")</f>
        <v/>
      </c>
      <c r="I6" s="9">
        <f>COUNTIFS(Tracking!E:E,A6,Tracking!D:D,C6,Tracking!N:N,"y",Tracking!C:C,"5v5")</f>
        <v/>
      </c>
      <c r="J6" s="9">
        <f>COUNTIFS(Tracking!E:E,A6,Tracking!D:D,C6,Tracking!M:M,"y",Tracking!C:C,"5v5")</f>
        <v/>
      </c>
      <c r="K6" s="9">
        <f>L6+M6+N6</f>
        <v/>
      </c>
      <c r="L6" s="9">
        <f>COUNTIFS(Tracking!G:G,A6,Tracking!D:D,C6,Tracking!C:C,"5v5")</f>
        <v/>
      </c>
      <c r="M6" s="9">
        <f>COUNTIFS(Tracking!H:H,A6,Tracking!D:D,C6,Tracking!C:C,"5v5")</f>
        <v/>
      </c>
      <c r="N6" s="9">
        <f>COUNTIFS(Tracking!I:I,A6,Tracking!D:D,C6,Tracking!C:C,"5v5")</f>
        <v/>
      </c>
      <c r="O6" s="9">
        <f>COUNTIFS(Tracking!G:G,A6,Tracking!D:D,C6,Tracking!C:C,"5v5",Tracking!M:M,"y")</f>
        <v/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/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/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/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/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/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/>
      </c>
      <c r="V6" s="9">
        <f>COUNTIFS(Tracking!E:E,A6,Tracking!D:D,C6,Tracking!C:C,"5v5",Tracking!P:P,"r")</f>
        <v/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/>
      </c>
      <c r="X6" s="9">
        <f>COUNTIFS(Tracking!E:E,A6,Tracking!D:D,C6,Tracking!C:C,"5v5",Tracking!P:P,"f")</f>
        <v/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/>
      </c>
      <c r="Z6" s="9">
        <f>COUNTIFS(Tracking!E:E,A6,Tracking!D:D,C6,Tracking!C:C,"5v5",Tracking!P:P,"c")</f>
        <v/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/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/>
      </c>
      <c r="AC6" s="11">
        <f>COUNTIFS(Tracking!Z:Z,A6&amp;C6,Tracking!C:C,"5v5")-AE6</f>
        <v/>
      </c>
      <c r="AD6" s="11">
        <f>COUNTIFS(Tracking!Z:Z,A6&amp;C6,Tracking!C:C,"5v5",Tracking!Y:Y,"C")</f>
        <v/>
      </c>
      <c r="AE6" s="11">
        <f>COUNTIFS(Tracking!Z:Z,A6&amp;C6,Tracking!C:C,"5v5",Tracking!Y:Y,"F")</f>
        <v/>
      </c>
      <c r="AF6" s="11">
        <f>COUNTIFS(Tracking!Z:Z,A6&amp;C6,Tracking!C:C,"5v5",Tracking!Y:Y,"C",Tracking!AB:AB,"Y")</f>
        <v/>
      </c>
      <c r="AG6" s="11">
        <f>COUNTIFS(Tracking!AD:AD,A6&amp;C6,Tracking!C:C,"5v5")</f>
        <v/>
      </c>
      <c r="AH6" s="11">
        <f>COUNTIFS(Tracking!Z:Z,A6&amp;C6,Tracking!C:C,"5v5",Tracking!Y:Y,"C",Tracking!AE:AE,"Y")</f>
        <v/>
      </c>
      <c r="AI6" s="11">
        <f>COUNTIFS(Tracking!Z:Z,A6&amp;C6,Tracking!C:C,"5v5",Tracking!Y:Y,"D",Tracking!AE:AE,"Y")</f>
        <v/>
      </c>
      <c r="AJ6" s="11">
        <f>COUNTIFS(Tracking!AH:AH,A6&amp;C6)</f>
        <v/>
      </c>
      <c r="AK6" s="5">
        <f>COUNTIFS(Tracking!AI:AI,A6&amp;C6,Tracking!C:C,"5v5")+AL6</f>
        <v/>
      </c>
      <c r="AL6" s="5">
        <f>COUNTIFS(Tracking!AF:AF,A6&amp;C6,Tracking!C:C,"5v5")-AT6</f>
        <v/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/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/>
      </c>
      <c r="AO6" s="5">
        <f>COUNTIFS(Tracking!AF:AF,A6&amp;C6,Tracking!C:C,"5v5",Tracking!AG:AG,"CEX")+COUNTIFS(Tracking!AI:AI,A6&amp;C6,Tracking!C:C,"5v5",Tracking!AJ:AJ,"CEX")</f>
        <v/>
      </c>
      <c r="AP6" s="5">
        <f>COUNTIFS(Tracking!AF:AF,A6&amp;C6,Tracking!C:C,"5v5",Tracking!AG:AG,"PEX")</f>
        <v/>
      </c>
      <c r="AQ6" s="5">
        <f>COUNTIFS(Tracking!AF:AF,A6&amp;C6,Tracking!C:C,"5v5",Tracking!AG:AG,"CLE")+COUNTIFS(Tracking!AI:AI,A6&amp;C6,Tracking!C:C,"5v5",Tracking!AJ:AJ,"CLE")</f>
        <v/>
      </c>
      <c r="AR6" s="5">
        <f>COUNTIFS(Tracking!AF:AF,A6&amp;C6,Tracking!C:C,"5v5",Tracking!AG:AG,"MEX")</f>
        <v/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/>
      </c>
      <c r="AT6" s="5">
        <f>COUNTIFS(Tracking!AF:AF,A6&amp;C6,Tracking!C:C,"5v5",Tracking!AG:AG,"BOT")+COUNTIFS(Tracking!AF:AF,A6&amp;C6,Tracking!C:C,"5v5",Tracking!AG:AG,"FEX")</f>
        <v/>
      </c>
      <c r="AU6" s="5">
        <f>COUNTIFS(Tracking!AF:AF,A6&amp;C6,Tracking!C:C,"5v5",Tracking!AG:AG,"EXC")</f>
        <v/>
      </c>
      <c r="AV6" s="5">
        <f>COUNTIFS(Tracking!AF:AF,A6&amp;C6,Tracking!C:C,"5v5",Tracking!AG:AG,"FEX")+COUNTIFS(Tracking!AI:AI,A6&amp;C6,Tracking!C:C,"5v5",Tracking!AJ:AJ,"FEX")</f>
        <v/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/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/>
      </c>
      <c r="AY6" s="1">
        <f>COUNTIFS(Tracking!AA:AA,A6&amp;C6,Tracking!C:C,"5v5")</f>
        <v/>
      </c>
      <c r="AZ6" s="1">
        <f>COUNTIFS(Tracking!AA:AA,A6&amp;C6,Tracking!C:C,"5v5",Tracking!Y:Y,"C")</f>
        <v/>
      </c>
      <c r="BA6" s="1">
        <f>COUNTIFS(Tracking!AA:AA,A6&amp;C6,Tracking!C:C,"5v5",Tracking!Y:Y,"F")</f>
        <v/>
      </c>
      <c r="BB6" s="1">
        <f>COUNTIFS(Tracking!AA:AA,A6&amp;C6,Tracking!C:C,"5v5",Tracking!AB:AB,"Y")</f>
        <v/>
      </c>
      <c r="BC6" s="1">
        <f>COUNTIFS(Tracking!AA:AA,A6&amp;C6,Tracking!C:C,"5v5",Tracking!Y:Y,"C",Tracking!AE:AE,"Y")</f>
        <v/>
      </c>
      <c r="BD6" s="1">
        <f>COUNTIFS(Tracking!AA:AA,A6&amp;C6,Tracking!C:C,"5v5",Tracking!Y:Y,"D",Tracking!AE:AE,"Y")</f>
        <v/>
      </c>
      <c r="BE6" s="10">
        <f>COUNTIFS(Tracking!Z:Z,A6&amp;C6,Tracking!C:C,"5v4")</f>
        <v/>
      </c>
      <c r="BF6" s="10">
        <f>COUNTIFS(Tracking!Z:Z,A6&amp;C6,Tracking!C:C,"5v4",Tracking!Y:Y,"C")</f>
        <v/>
      </c>
      <c r="BG6" s="10">
        <f>COUNTIFS(Tracking!Z:Z,A6&amp;C6,Tracking!C:C,"5v4",Tracking!AB:AB,"Y")</f>
        <v/>
      </c>
      <c r="BH6" s="10">
        <f>COUNTIFS(Tracking!Z:Z,A6&amp;C6,Tracking!C:C,"4v5")</f>
        <v/>
      </c>
      <c r="BI6" s="10">
        <f>COUNTIFS(Tracking!AA:AA,A6&amp;C6,Tracking!C:C,"5v4",Tracking!Y:Y,"D")+COUNTIFS(Tracking!AA:AA,A6&amp;C6,Tracking!C:C,"5v4",Tracking!Y:Y,"F")</f>
        <v/>
      </c>
      <c r="BJ6" s="10">
        <f>COUNTIFS(Tracking!E:E,A6,Tracking!D:D,C6,Tracking!C:C,"5v4")</f>
        <v/>
      </c>
      <c r="BK6" s="10">
        <f>COUNTIFS(Tracking!G:G,A6,Tracking!D:D,C6,Tracking!C:C,"5v4")+COUNTIFS(Tracking!H:H,A6,Tracking!D:D,C6,Tracking!C:C,"5v4")+COUNTIFS(Tracking!I:I,A6,Tracking!D:D,C6,Tracking!C:C,"5v4")</f>
        <v/>
      </c>
      <c r="BL6" s="10">
        <f>COUNTIFS(Tracking!G:G,A6,Tracking!D:D,C6,Tracking!C:C,"5v4")</f>
        <v/>
      </c>
      <c r="BM6" s="10">
        <f>COUNTIFS(Tracking!E:E,A6,Tracking!D:D,C6,Tracking!C:C,"5v4",Tracking!M:M,"Y")</f>
        <v/>
      </c>
      <c r="BN6" s="10">
        <f>COUNTIFS(Tracking!G:G,A6,Tracking!D:D,C6,Tracking!C:C,"5v4",Tracking!M:M,"Y")</f>
        <v/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/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/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/>
      </c>
      <c r="BR6" s="12">
        <f>COUNTIFS(Tracking!E:E,A6,Tracking!D:D,C6,Tracking!C:C,"5v5",Tracking!F:F,"o")</f>
        <v/>
      </c>
      <c r="BS6" s="12">
        <f>COUNTIFS(Tracking!E:E,A6,Tracking!D:D,C6,Tracking!C:C,"5v5",Tracking!F:F,"r")</f>
        <v/>
      </c>
      <c r="BT6" s="12">
        <f>COUNTIFS(Tracking!E:E,A6,Tracking!D:D,C6,Tracking!C:C,"5v5",Tracking!F:F,"t")</f>
        <v/>
      </c>
      <c r="BU6" s="12">
        <f>COUNTIFS(Tracking!G:G,A6,Tracking!D:D,C6,Tracking!C:C,"5v5",Tracking!F:F,"o")</f>
        <v/>
      </c>
      <c r="BV6" s="12">
        <f>COUNTIFS(Tracking!E:E,A5,Tracking!D:D,C6,Tracking!C:C,"5v5",Tracking!F:F,"r")</f>
        <v/>
      </c>
      <c r="BW6" s="12">
        <f>COUNTIFS(Tracking!G:G,A6,Tracking!D:D,C6,Tracking!C:C,"5v5",Tracking!F:F,"T")</f>
        <v/>
      </c>
      <c r="BX6" s="12">
        <f>COUNTIFS(Tracking!E:E,A6,Tracking!D:D,C6,Tracking!C:C,"5v5",Tracking!Q:Q,"OZ")</f>
        <v/>
      </c>
      <c r="BY6" s="12">
        <f>COUNTIFS(Tracking!E:E,A6,Tracking!D:D,C6,Tracking!C:C,"5v5",Tracking!Q:Q,"nZ")</f>
        <v/>
      </c>
      <c r="BZ6" s="12">
        <f>COUNTIFS(Tracking!E:E,A6,Tracking!D:D,C6,Tracking!C:C,"5v5",Tracking!Q:Q,"dZ")</f>
        <v/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/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/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/>
      </c>
      <c r="CD6" s="12">
        <f>COUNTIFS(Tracking!E:E,A6,Tracking!D:D,C6,Tracking!C:C,"5v5",Tracking!R:R,"dz exit")</f>
        <v/>
      </c>
      <c r="CE6" s="12">
        <f>COUNTIFS(Tracking!E:E,A6,Tracking!D:D,C6,Tracking!C:C,"5v5",Tracking!R:R,"dz counter")</f>
        <v/>
      </c>
      <c r="CF6" s="12">
        <f>COUNTIFS(Tracking!E:E,A6,Tracking!D:D,C6,Tracking!C:C,"5v5",Tracking!R:R,"nz turnover")</f>
        <v/>
      </c>
      <c r="CG6" s="12">
        <f>COUNTIFS(Tracking!E:E,A6,Tracking!D:D,C6,Tracking!C:C,"5v5",Tracking!R:R,"nz regroup")</f>
        <v/>
      </c>
      <c r="CH6" s="12">
        <f>COUNTIFS(Tracking!E:E,A6,Tracking!D:D,C6,Tracking!C:C,"5v5",Tracking!R:R,"nz reload")</f>
        <v/>
      </c>
      <c r="CI6" s="12">
        <f>COUNTIFS(Tracking!E:E,A6,Tracking!D:D,C6,Tracking!C:C,"5v5",Tracking!R:R,"controlled breakout")</f>
        <v/>
      </c>
      <c r="CJ6" s="2">
        <f>CK6+CL6+CM6+CN6+CO6+CP6</f>
        <v/>
      </c>
      <c r="CK6" s="2">
        <f>(0.075*H6)+(0.07*L6)+(0.055*M6)+(0.055*N6)+(0.095*J6)+(0.09*O6)+(0.05*P6)+(0.05*R6)+(0.05*S6)+(0.05*AB6)</f>
        <v/>
      </c>
      <c r="CL6" s="2">
        <f>(0.045*AD6)-(0.045*AE6)+(0.055*AH6)+(0.035*AI6)</f>
        <v/>
      </c>
      <c r="CM6" s="2">
        <f>(0.015*(AY6-AZ6))+(0.035*BA6)-(0.015*BB6)-(0.025*BC6)+(0.015*(AY6-(BD6+BC6)))</f>
        <v/>
      </c>
      <c r="CN6" s="2">
        <f>(0.035*AN6)+(0.025*AS6)-(0.035*AT6)-(0.035*AV6)</f>
        <v/>
      </c>
      <c r="CO6" s="2">
        <f>(0.015*AJ6)+(0.045*AG6)</f>
        <v/>
      </c>
      <c r="CP6" s="2">
        <f>(0.055*BM6)+(0.055*BN6)+(0.035*BO6)+(0.035*BQ6)+(0.055*BH6)+(0.035*BI6)+(0.035*BG6)</f>
        <v/>
      </c>
      <c r="CQ6" s="2">
        <f>CK6+CL6+CM6+CN6+CO6</f>
        <v/>
      </c>
    </row>
    <row r="7">
      <c r="A7" s="8" t="n">
        <v>21</v>
      </c>
      <c r="B7" s="8" t="inlineStr">
        <is>
          <t>Jason Robertson</t>
        </is>
      </c>
      <c r="C7" s="8" t="inlineStr">
        <is>
          <t>DAL</t>
        </is>
      </c>
      <c r="D7" s="8" t="inlineStr">
        <is>
          <t>L</t>
        </is>
      </c>
      <c r="E7" s="8" t="n">
        <v>14.433333333333</v>
      </c>
      <c r="F7" s="8" t="inlineStr">
        <is>
          <t>2025-26</t>
        </is>
      </c>
      <c r="G7" s="19" t="inlineStr">
        <is>
          <t>3/6/2026 DAL vs. COL</t>
        </is>
      </c>
      <c r="H7" s="9">
        <f>COUNTIFS(Tracking!E:E,A7,Tracking!D:D,C7,Tracking!C:C,"5v5")</f>
        <v/>
      </c>
      <c r="I7" s="9">
        <f>COUNTIFS(Tracking!E:E,A7,Tracking!D:D,C7,Tracking!N:N,"y",Tracking!C:C,"5v5")</f>
        <v/>
      </c>
      <c r="J7" s="9">
        <f>COUNTIFS(Tracking!E:E,A7,Tracking!D:D,C7,Tracking!M:M,"y",Tracking!C:C,"5v5")</f>
        <v/>
      </c>
      <c r="K7" s="9">
        <f>L7+M7+N7</f>
        <v/>
      </c>
      <c r="L7" s="9">
        <f>COUNTIFS(Tracking!G:G,A7,Tracking!D:D,C7,Tracking!C:C,"5v5")</f>
        <v/>
      </c>
      <c r="M7" s="9">
        <f>COUNTIFS(Tracking!H:H,A7,Tracking!D:D,C7,Tracking!C:C,"5v5")</f>
        <v/>
      </c>
      <c r="N7" s="9">
        <f>COUNTIFS(Tracking!I:I,A7,Tracking!D:D,C7,Tracking!C:C,"5v5")</f>
        <v/>
      </c>
      <c r="O7" s="9">
        <f>COUNTIFS(Tracking!G:G,A7,Tracking!D:D,C7,Tracking!C:C,"5v5",Tracking!M:M,"y")</f>
        <v/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/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/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/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/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/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/>
      </c>
      <c r="V7" s="9">
        <f>COUNTIFS(Tracking!E:E,A7,Tracking!D:D,C7,Tracking!C:C,"5v5",Tracking!P:P,"r")</f>
        <v/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/>
      </c>
      <c r="X7" s="9">
        <f>COUNTIFS(Tracking!E:E,A7,Tracking!D:D,C7,Tracking!C:C,"5v5",Tracking!P:P,"f")</f>
        <v/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/>
      </c>
      <c r="Z7" s="9">
        <f>COUNTIFS(Tracking!E:E,A7,Tracking!D:D,C7,Tracking!C:C,"5v5",Tracking!P:P,"c")</f>
        <v/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/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/>
      </c>
      <c r="AC7" s="11">
        <f>COUNTIFS(Tracking!Z:Z,A7&amp;C7,Tracking!C:C,"5v5")-AE7</f>
        <v/>
      </c>
      <c r="AD7" s="11">
        <f>COUNTIFS(Tracking!Z:Z,A7&amp;C7,Tracking!C:C,"5v5",Tracking!Y:Y,"C")</f>
        <v/>
      </c>
      <c r="AE7" s="11">
        <f>COUNTIFS(Tracking!Z:Z,A7&amp;C7,Tracking!C:C,"5v5",Tracking!Y:Y,"F")</f>
        <v/>
      </c>
      <c r="AF7" s="11">
        <f>COUNTIFS(Tracking!Z:Z,A7&amp;C7,Tracking!C:C,"5v5",Tracking!Y:Y,"C",Tracking!AB:AB,"Y")</f>
        <v/>
      </c>
      <c r="AG7" s="11">
        <f>COUNTIFS(Tracking!AD:AD,A7&amp;C7,Tracking!C:C,"5v5")</f>
        <v/>
      </c>
      <c r="AH7" s="11">
        <f>COUNTIFS(Tracking!Z:Z,A7&amp;C7,Tracking!C:C,"5v5",Tracking!Y:Y,"C",Tracking!AE:AE,"Y")</f>
        <v/>
      </c>
      <c r="AI7" s="11">
        <f>COUNTIFS(Tracking!Z:Z,A7&amp;C7,Tracking!C:C,"5v5",Tracking!Y:Y,"D",Tracking!AE:AE,"Y")</f>
        <v/>
      </c>
      <c r="AJ7" s="11">
        <f>COUNTIFS(Tracking!AH:AH,A7&amp;C7)</f>
        <v/>
      </c>
      <c r="AK7" s="5">
        <f>COUNTIFS(Tracking!AI:AI,A7&amp;C7,Tracking!C:C,"5v5")+AL7</f>
        <v/>
      </c>
      <c r="AL7" s="5">
        <f>COUNTIFS(Tracking!AF:AF,A7&amp;C7,Tracking!C:C,"5v5")-AT7</f>
        <v/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/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/>
      </c>
      <c r="AO7" s="5">
        <f>COUNTIFS(Tracking!AF:AF,A7&amp;C7,Tracking!C:C,"5v5",Tracking!AG:AG,"CEX")+COUNTIFS(Tracking!AI:AI,A7&amp;C7,Tracking!C:C,"5v5",Tracking!AJ:AJ,"CEX")</f>
        <v/>
      </c>
      <c r="AP7" s="5">
        <f>COUNTIFS(Tracking!AF:AF,A7&amp;C7,Tracking!C:C,"5v5",Tracking!AG:AG,"PEX")</f>
        <v/>
      </c>
      <c r="AQ7" s="5">
        <f>COUNTIFS(Tracking!AF:AF,A7&amp;C7,Tracking!C:C,"5v5",Tracking!AG:AG,"CLE")+COUNTIFS(Tracking!AI:AI,A7&amp;C7,Tracking!C:C,"5v5",Tracking!AJ:AJ,"CLE")</f>
        <v/>
      </c>
      <c r="AR7" s="5">
        <f>COUNTIFS(Tracking!AF:AF,A7&amp;C7,Tracking!C:C,"5v5",Tracking!AG:AG,"MEX")</f>
        <v/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/>
      </c>
      <c r="AT7" s="5">
        <f>COUNTIFS(Tracking!AF:AF,A7&amp;C7,Tracking!C:C,"5v5",Tracking!AG:AG,"BOT")+COUNTIFS(Tracking!AF:AF,A7&amp;C7,Tracking!C:C,"5v5",Tracking!AG:AG,"FEX")</f>
        <v/>
      </c>
      <c r="AU7" s="5">
        <f>COUNTIFS(Tracking!AF:AF,A7&amp;C7,Tracking!C:C,"5v5",Tracking!AG:AG,"EXC")</f>
        <v/>
      </c>
      <c r="AV7" s="5">
        <f>COUNTIFS(Tracking!AF:AF,A7&amp;C7,Tracking!C:C,"5v5",Tracking!AG:AG,"FEX")+COUNTIFS(Tracking!AI:AI,A7&amp;C7,Tracking!C:C,"5v5",Tracking!AJ:AJ,"FEX")</f>
        <v/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/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/>
      </c>
      <c r="AY7" s="1">
        <f>COUNTIFS(Tracking!AA:AA,A7&amp;C7,Tracking!C:C,"5v5")</f>
        <v/>
      </c>
      <c r="AZ7" s="1">
        <f>COUNTIFS(Tracking!AA:AA,A7&amp;C7,Tracking!C:C,"5v5",Tracking!Y:Y,"C")</f>
        <v/>
      </c>
      <c r="BA7" s="1">
        <f>COUNTIFS(Tracking!AA:AA,A7&amp;C7,Tracking!C:C,"5v5",Tracking!Y:Y,"F")</f>
        <v/>
      </c>
      <c r="BB7" s="1">
        <f>COUNTIFS(Tracking!AA:AA,A7&amp;C7,Tracking!C:C,"5v5",Tracking!AB:AB,"Y")</f>
        <v/>
      </c>
      <c r="BC7" s="1">
        <f>COUNTIFS(Tracking!AA:AA,A7&amp;C7,Tracking!C:C,"5v5",Tracking!Y:Y,"C",Tracking!AE:AE,"Y")</f>
        <v/>
      </c>
      <c r="BD7" s="1">
        <f>COUNTIFS(Tracking!AA:AA,A7&amp;C7,Tracking!C:C,"5v5",Tracking!Y:Y,"D",Tracking!AE:AE,"Y")</f>
        <v/>
      </c>
      <c r="BE7" s="10">
        <f>COUNTIFS(Tracking!Z:Z,A7&amp;C7,Tracking!C:C,"5v4")</f>
        <v/>
      </c>
      <c r="BF7" s="10">
        <f>COUNTIFS(Tracking!Z:Z,A7&amp;C7,Tracking!C:C,"5v4",Tracking!Y:Y,"C")</f>
        <v/>
      </c>
      <c r="BG7" s="10">
        <f>COUNTIFS(Tracking!Z:Z,A7&amp;C7,Tracking!C:C,"5v4",Tracking!AB:AB,"Y")</f>
        <v/>
      </c>
      <c r="BH7" s="10">
        <f>COUNTIFS(Tracking!Z:Z,A7&amp;C7,Tracking!C:C,"4v5")</f>
        <v/>
      </c>
      <c r="BI7" s="10">
        <f>COUNTIFS(Tracking!AA:AA,A7&amp;C7,Tracking!C:C,"5v4",Tracking!Y:Y,"D")+COUNTIFS(Tracking!AA:AA,A7&amp;C7,Tracking!C:C,"5v4",Tracking!Y:Y,"F")</f>
        <v/>
      </c>
      <c r="BJ7" s="10">
        <f>COUNTIFS(Tracking!E:E,A7,Tracking!D:D,C7,Tracking!C:C,"5v4")</f>
        <v/>
      </c>
      <c r="BK7" s="10">
        <f>COUNTIFS(Tracking!G:G,A7,Tracking!D:D,C7,Tracking!C:C,"5v4")+COUNTIFS(Tracking!H:H,A7,Tracking!D:D,C7,Tracking!C:C,"5v4")+COUNTIFS(Tracking!I:I,A7,Tracking!D:D,C7,Tracking!C:C,"5v4")</f>
        <v/>
      </c>
      <c r="BL7" s="10">
        <f>COUNTIFS(Tracking!G:G,A7,Tracking!D:D,C7,Tracking!C:C,"5v4")</f>
        <v/>
      </c>
      <c r="BM7" s="10">
        <f>COUNTIFS(Tracking!E:E,A7,Tracking!D:D,C7,Tracking!C:C,"5v4",Tracking!M:M,"Y")</f>
        <v/>
      </c>
      <c r="BN7" s="10">
        <f>COUNTIFS(Tracking!G:G,A7,Tracking!D:D,C7,Tracking!C:C,"5v4",Tracking!M:M,"Y")</f>
        <v/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/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/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/>
      </c>
      <c r="BR7" s="12">
        <f>COUNTIFS(Tracking!E:E,A7,Tracking!D:D,C7,Tracking!C:C,"5v5",Tracking!F:F,"o")</f>
        <v/>
      </c>
      <c r="BS7" s="12">
        <f>COUNTIFS(Tracking!E:E,A7,Tracking!D:D,C7,Tracking!C:C,"5v5",Tracking!F:F,"r")</f>
        <v/>
      </c>
      <c r="BT7" s="12">
        <f>COUNTIFS(Tracking!E:E,A7,Tracking!D:D,C7,Tracking!C:C,"5v5",Tracking!F:F,"t")</f>
        <v/>
      </c>
      <c r="BU7" s="12">
        <f>COUNTIFS(Tracking!G:G,A7,Tracking!D:D,C7,Tracking!C:C,"5v5",Tracking!F:F,"o")</f>
        <v/>
      </c>
      <c r="BV7" s="12">
        <f>COUNTIFS(Tracking!E:E,A6,Tracking!D:D,C7,Tracking!C:C,"5v5",Tracking!F:F,"r")</f>
        <v/>
      </c>
      <c r="BW7" s="12">
        <f>COUNTIFS(Tracking!G:G,A7,Tracking!D:D,C7,Tracking!C:C,"5v5",Tracking!F:F,"T")</f>
        <v/>
      </c>
      <c r="BX7" s="12">
        <f>COUNTIFS(Tracking!E:E,A7,Tracking!D:D,C7,Tracking!C:C,"5v5",Tracking!Q:Q,"OZ")</f>
        <v/>
      </c>
      <c r="BY7" s="12">
        <f>COUNTIFS(Tracking!E:E,A7,Tracking!D:D,C7,Tracking!C:C,"5v5",Tracking!Q:Q,"nZ")</f>
        <v/>
      </c>
      <c r="BZ7" s="12">
        <f>COUNTIFS(Tracking!E:E,A7,Tracking!D:D,C7,Tracking!C:C,"5v5",Tracking!Q:Q,"dZ")</f>
        <v/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/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/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/>
      </c>
      <c r="CD7" s="12">
        <f>COUNTIFS(Tracking!E:E,A7,Tracking!D:D,C7,Tracking!C:C,"5v5",Tracking!R:R,"dz exit")</f>
        <v/>
      </c>
      <c r="CE7" s="12">
        <f>COUNTIFS(Tracking!E:E,A7,Tracking!D:D,C7,Tracking!C:C,"5v5",Tracking!R:R,"dz counter")</f>
        <v/>
      </c>
      <c r="CF7" s="12">
        <f>COUNTIFS(Tracking!E:E,A7,Tracking!D:D,C7,Tracking!C:C,"5v5",Tracking!R:R,"nz turnover")</f>
        <v/>
      </c>
      <c r="CG7" s="12">
        <f>COUNTIFS(Tracking!E:E,A7,Tracking!D:D,C7,Tracking!C:C,"5v5",Tracking!R:R,"nz regroup")</f>
        <v/>
      </c>
      <c r="CH7" s="12">
        <f>COUNTIFS(Tracking!E:E,A7,Tracking!D:D,C7,Tracking!C:C,"5v5",Tracking!R:R,"nz reload")</f>
        <v/>
      </c>
      <c r="CI7" s="12">
        <f>COUNTIFS(Tracking!E:E,A7,Tracking!D:D,C7,Tracking!C:C,"5v5",Tracking!R:R,"controlled breakout")</f>
        <v/>
      </c>
      <c r="CJ7" s="2">
        <f>CK7+CL7+CM7+CN7+CO7+CP7</f>
        <v/>
      </c>
      <c r="CK7" s="2">
        <f>(0.075*H7)+(0.07*L7)+(0.055*M7)+(0.055*N7)+(0.095*J7)+(0.09*O7)+(0.05*P7)+(0.05*R7)+(0.05*S7)+(0.05*AB7)</f>
        <v/>
      </c>
      <c r="CL7" s="2">
        <f>(0.045*AD7)-(0.045*AE7)+(0.055*AH7)+(0.035*AI7)</f>
        <v/>
      </c>
      <c r="CM7" s="2">
        <f>(0.015*(AY7-AZ7))+(0.035*BA7)-(0.015*BB7)-(0.025*BC7)+(0.015*(AY7-(BD7+BC7)))</f>
        <v/>
      </c>
      <c r="CN7" s="2">
        <f>(0.035*AN7)+(0.025*AS7)-(0.035*AT7)-(0.035*AV7)</f>
        <v/>
      </c>
      <c r="CO7" s="2">
        <f>(0.015*AJ7)+(0.045*AG7)</f>
        <v/>
      </c>
      <c r="CP7" s="2">
        <f>(0.055*BM7)+(0.055*BN7)+(0.035*BO7)+(0.035*BQ7)+(0.055*BH7)+(0.035*BI7)+(0.035*BG7)</f>
        <v/>
      </c>
      <c r="CQ7" s="2">
        <f>CK7+CL7+CM7+CN7+CO7</f>
        <v/>
      </c>
    </row>
    <row r="8">
      <c r="A8" s="8" t="n">
        <v>49</v>
      </c>
      <c r="B8" s="8" t="inlineStr">
        <is>
          <t>Justin Hryckowian</t>
        </is>
      </c>
      <c r="C8" s="8" t="inlineStr">
        <is>
          <t>DAL</t>
        </is>
      </c>
      <c r="D8" s="8" t="inlineStr">
        <is>
          <t>C</t>
        </is>
      </c>
      <c r="E8" s="8" t="n">
        <v>13.8</v>
      </c>
      <c r="F8" s="8" t="inlineStr">
        <is>
          <t>2025-26</t>
        </is>
      </c>
      <c r="G8" s="19" t="inlineStr">
        <is>
          <t>3/6/2026 DAL vs. COL</t>
        </is>
      </c>
      <c r="H8" s="9">
        <f>COUNTIFS(Tracking!E:E,A8,Tracking!D:D,C8,Tracking!C:C,"5v5")</f>
        <v/>
      </c>
      <c r="I8" s="9">
        <f>COUNTIFS(Tracking!E:E,A8,Tracking!D:D,C8,Tracking!N:N,"y",Tracking!C:C,"5v5")</f>
        <v/>
      </c>
      <c r="J8" s="9">
        <f>COUNTIFS(Tracking!E:E,A8,Tracking!D:D,C8,Tracking!M:M,"y",Tracking!C:C,"5v5")</f>
        <v/>
      </c>
      <c r="K8" s="9">
        <f>L8+M8+N8</f>
        <v/>
      </c>
      <c r="L8" s="9">
        <f>COUNTIFS(Tracking!G:G,A8,Tracking!D:D,C8,Tracking!C:C,"5v5")</f>
        <v/>
      </c>
      <c r="M8" s="9">
        <f>COUNTIFS(Tracking!H:H,A8,Tracking!D:D,C8,Tracking!C:C,"5v5")</f>
        <v/>
      </c>
      <c r="N8" s="9">
        <f>COUNTIFS(Tracking!I:I,A8,Tracking!D:D,C8,Tracking!C:C,"5v5")</f>
        <v/>
      </c>
      <c r="O8" s="9">
        <f>COUNTIFS(Tracking!G:G,A8,Tracking!D:D,C8,Tracking!C:C,"5v5",Tracking!M:M,"y")</f>
        <v/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/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/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/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/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/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/>
      </c>
      <c r="V8" s="9">
        <f>COUNTIFS(Tracking!E:E,A8,Tracking!D:D,C8,Tracking!C:C,"5v5",Tracking!P:P,"r")</f>
        <v/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/>
      </c>
      <c r="X8" s="9">
        <f>COUNTIFS(Tracking!E:E,A8,Tracking!D:D,C8,Tracking!C:C,"5v5",Tracking!P:P,"f")</f>
        <v/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/>
      </c>
      <c r="Z8" s="9">
        <f>COUNTIFS(Tracking!E:E,A8,Tracking!D:D,C8,Tracking!C:C,"5v5",Tracking!P:P,"c")</f>
        <v/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/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/>
      </c>
      <c r="AC8" s="11">
        <f>COUNTIFS(Tracking!Z:Z,A8&amp;C8,Tracking!C:C,"5v5")-AE8</f>
        <v/>
      </c>
      <c r="AD8" s="11">
        <f>COUNTIFS(Tracking!Z:Z,A8&amp;C8,Tracking!C:C,"5v5",Tracking!Y:Y,"C")</f>
        <v/>
      </c>
      <c r="AE8" s="11">
        <f>COUNTIFS(Tracking!Z:Z,A8&amp;C8,Tracking!C:C,"5v5",Tracking!Y:Y,"F")</f>
        <v/>
      </c>
      <c r="AF8" s="11">
        <f>COUNTIFS(Tracking!Z:Z,A8&amp;C8,Tracking!C:C,"5v5",Tracking!Y:Y,"C",Tracking!AB:AB,"Y")</f>
        <v/>
      </c>
      <c r="AG8" s="11">
        <f>COUNTIFS(Tracking!AD:AD,A8&amp;C8,Tracking!C:C,"5v5")</f>
        <v/>
      </c>
      <c r="AH8" s="11">
        <f>COUNTIFS(Tracking!Z:Z,A8&amp;C8,Tracking!C:C,"5v5",Tracking!Y:Y,"C",Tracking!AE:AE,"Y")</f>
        <v/>
      </c>
      <c r="AI8" s="11">
        <f>COUNTIFS(Tracking!Z:Z,A8&amp;C8,Tracking!C:C,"5v5",Tracking!Y:Y,"D",Tracking!AE:AE,"Y")</f>
        <v/>
      </c>
      <c r="AJ8" s="11">
        <f>COUNTIFS(Tracking!AH:AH,A8&amp;C8)</f>
        <v/>
      </c>
      <c r="AK8" s="5">
        <f>COUNTIFS(Tracking!AI:AI,A8&amp;C8,Tracking!C:C,"5v5")+AL8</f>
        <v/>
      </c>
      <c r="AL8" s="5">
        <f>COUNTIFS(Tracking!AF:AF,A8&amp;C8,Tracking!C:C,"5v5")-AT8</f>
        <v/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/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/>
      </c>
      <c r="AO8" s="5">
        <f>COUNTIFS(Tracking!AF:AF,A8&amp;C8,Tracking!C:C,"5v5",Tracking!AG:AG,"CEX")+COUNTIFS(Tracking!AI:AI,A8&amp;C8,Tracking!C:C,"5v5",Tracking!AJ:AJ,"CEX")</f>
        <v/>
      </c>
      <c r="AP8" s="5">
        <f>COUNTIFS(Tracking!AF:AF,A8&amp;C8,Tracking!C:C,"5v5",Tracking!AG:AG,"PEX")</f>
        <v/>
      </c>
      <c r="AQ8" s="5">
        <f>COUNTIFS(Tracking!AF:AF,A8&amp;C8,Tracking!C:C,"5v5",Tracking!AG:AG,"CLE")+COUNTIFS(Tracking!AI:AI,A8&amp;C8,Tracking!C:C,"5v5",Tracking!AJ:AJ,"CLE")</f>
        <v/>
      </c>
      <c r="AR8" s="5">
        <f>COUNTIFS(Tracking!AF:AF,A8&amp;C8,Tracking!C:C,"5v5",Tracking!AG:AG,"MEX")</f>
        <v/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/>
      </c>
      <c r="AT8" s="5">
        <f>COUNTIFS(Tracking!AF:AF,A8&amp;C8,Tracking!C:C,"5v5",Tracking!AG:AG,"BOT")+COUNTIFS(Tracking!AF:AF,A8&amp;C8,Tracking!C:C,"5v5",Tracking!AG:AG,"FEX")</f>
        <v/>
      </c>
      <c r="AU8" s="5">
        <f>COUNTIFS(Tracking!AF:AF,A8&amp;C8,Tracking!C:C,"5v5",Tracking!AG:AG,"EXC")</f>
        <v/>
      </c>
      <c r="AV8" s="5">
        <f>COUNTIFS(Tracking!AF:AF,A8&amp;C8,Tracking!C:C,"5v5",Tracking!AG:AG,"FEX")+COUNTIFS(Tracking!AI:AI,A8&amp;C8,Tracking!C:C,"5v5",Tracking!AJ:AJ,"FEX")</f>
        <v/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/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/>
      </c>
      <c r="AY8" s="1">
        <f>COUNTIFS(Tracking!AA:AA,A8&amp;C8,Tracking!C:C,"5v5")</f>
        <v/>
      </c>
      <c r="AZ8" s="1">
        <f>COUNTIFS(Tracking!AA:AA,A8&amp;C8,Tracking!C:C,"5v5",Tracking!Y:Y,"C")</f>
        <v/>
      </c>
      <c r="BA8" s="1">
        <f>COUNTIFS(Tracking!AA:AA,A8&amp;C8,Tracking!C:C,"5v5",Tracking!Y:Y,"F")</f>
        <v/>
      </c>
      <c r="BB8" s="1">
        <f>COUNTIFS(Tracking!AA:AA,A8&amp;C8,Tracking!C:C,"5v5",Tracking!AB:AB,"Y")</f>
        <v/>
      </c>
      <c r="BC8" s="1">
        <f>COUNTIFS(Tracking!AA:AA,A8&amp;C8,Tracking!C:C,"5v5",Tracking!Y:Y,"C",Tracking!AE:AE,"Y")</f>
        <v/>
      </c>
      <c r="BD8" s="1">
        <f>COUNTIFS(Tracking!AA:AA,A8&amp;C8,Tracking!C:C,"5v5",Tracking!Y:Y,"D",Tracking!AE:AE,"Y")</f>
        <v/>
      </c>
      <c r="BE8" s="10">
        <f>COUNTIFS(Tracking!Z:Z,A8&amp;C8,Tracking!C:C,"5v4")</f>
        <v/>
      </c>
      <c r="BF8" s="10">
        <f>COUNTIFS(Tracking!Z:Z,A8&amp;C8,Tracking!C:C,"5v4",Tracking!Y:Y,"C")</f>
        <v/>
      </c>
      <c r="BG8" s="10">
        <f>COUNTIFS(Tracking!Z:Z,A8&amp;C8,Tracking!C:C,"5v4",Tracking!AB:AB,"Y")</f>
        <v/>
      </c>
      <c r="BH8" s="10">
        <f>COUNTIFS(Tracking!Z:Z,A8&amp;C8,Tracking!C:C,"4v5")</f>
        <v/>
      </c>
      <c r="BI8" s="10">
        <f>COUNTIFS(Tracking!AA:AA,A8&amp;C8,Tracking!C:C,"5v4",Tracking!Y:Y,"D")+COUNTIFS(Tracking!AA:AA,A8&amp;C8,Tracking!C:C,"5v4",Tracking!Y:Y,"F")</f>
        <v/>
      </c>
      <c r="BJ8" s="10">
        <f>COUNTIFS(Tracking!E:E,A8,Tracking!D:D,C8,Tracking!C:C,"5v4")</f>
        <v/>
      </c>
      <c r="BK8" s="10">
        <f>COUNTIFS(Tracking!G:G,A8,Tracking!D:D,C8,Tracking!C:C,"5v4")+COUNTIFS(Tracking!H:H,A8,Tracking!D:D,C8,Tracking!C:C,"5v4")+COUNTIFS(Tracking!I:I,A8,Tracking!D:D,C8,Tracking!C:C,"5v4")</f>
        <v/>
      </c>
      <c r="BL8" s="10">
        <f>COUNTIFS(Tracking!G:G,A8,Tracking!D:D,C8,Tracking!C:C,"5v4")</f>
        <v/>
      </c>
      <c r="BM8" s="10">
        <f>COUNTIFS(Tracking!E:E,A8,Tracking!D:D,C8,Tracking!C:C,"5v4",Tracking!M:M,"Y")</f>
        <v/>
      </c>
      <c r="BN8" s="10">
        <f>COUNTIFS(Tracking!G:G,A8,Tracking!D:D,C8,Tracking!C:C,"5v4",Tracking!M:M,"Y")</f>
        <v/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/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/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/>
      </c>
      <c r="BR8" s="12">
        <f>COUNTIFS(Tracking!E:E,A8,Tracking!D:D,C8,Tracking!C:C,"5v5",Tracking!F:F,"o")</f>
        <v/>
      </c>
      <c r="BS8" s="12">
        <f>COUNTIFS(Tracking!E:E,A8,Tracking!D:D,C8,Tracking!C:C,"5v5",Tracking!F:F,"r")</f>
        <v/>
      </c>
      <c r="BT8" s="12">
        <f>COUNTIFS(Tracking!E:E,A8,Tracking!D:D,C8,Tracking!C:C,"5v5",Tracking!F:F,"t")</f>
        <v/>
      </c>
      <c r="BU8" s="12">
        <f>COUNTIFS(Tracking!G:G,A8,Tracking!D:D,C8,Tracking!C:C,"5v5",Tracking!F:F,"o")</f>
        <v/>
      </c>
      <c r="BV8" s="12">
        <f>COUNTIFS(Tracking!E:E,A7,Tracking!D:D,C8,Tracking!C:C,"5v5",Tracking!F:F,"r")</f>
        <v/>
      </c>
      <c r="BW8" s="12">
        <f>COUNTIFS(Tracking!G:G,A8,Tracking!D:D,C8,Tracking!C:C,"5v5",Tracking!F:F,"T")</f>
        <v/>
      </c>
      <c r="BX8" s="12">
        <f>COUNTIFS(Tracking!E:E,A8,Tracking!D:D,C8,Tracking!C:C,"5v5",Tracking!Q:Q,"OZ")</f>
        <v/>
      </c>
      <c r="BY8" s="12">
        <f>COUNTIFS(Tracking!E:E,A8,Tracking!D:D,C8,Tracking!C:C,"5v5",Tracking!Q:Q,"nZ")</f>
        <v/>
      </c>
      <c r="BZ8" s="12">
        <f>COUNTIFS(Tracking!E:E,A8,Tracking!D:D,C8,Tracking!C:C,"5v5",Tracking!Q:Q,"dZ")</f>
        <v/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/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/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/>
      </c>
      <c r="CD8" s="12">
        <f>COUNTIFS(Tracking!E:E,A8,Tracking!D:D,C8,Tracking!C:C,"5v5",Tracking!R:R,"dz exit")</f>
        <v/>
      </c>
      <c r="CE8" s="12">
        <f>COUNTIFS(Tracking!E:E,A8,Tracking!D:D,C8,Tracking!C:C,"5v5",Tracking!R:R,"dz counter")</f>
        <v/>
      </c>
      <c r="CF8" s="12">
        <f>COUNTIFS(Tracking!E:E,A8,Tracking!D:D,C8,Tracking!C:C,"5v5",Tracking!R:R,"nz turnover")</f>
        <v/>
      </c>
      <c r="CG8" s="12">
        <f>COUNTIFS(Tracking!E:E,A8,Tracking!D:D,C8,Tracking!C:C,"5v5",Tracking!R:R,"nz regroup")</f>
        <v/>
      </c>
      <c r="CH8" s="12">
        <f>COUNTIFS(Tracking!E:E,A8,Tracking!D:D,C8,Tracking!C:C,"5v5",Tracking!R:R,"nz reload")</f>
        <v/>
      </c>
      <c r="CI8" s="12">
        <f>COUNTIFS(Tracking!E:E,A8,Tracking!D:D,C8,Tracking!C:C,"5v5",Tracking!R:R,"controlled breakout")</f>
        <v/>
      </c>
      <c r="CJ8" s="2">
        <f>CK8+CL8+CM8+CN8+CO8+CP8</f>
        <v/>
      </c>
      <c r="CK8" s="2">
        <f>(0.075*H8)+(0.07*L8)+(0.055*M8)+(0.055*N8)+(0.095*J8)+(0.09*O8)+(0.05*P8)+(0.05*R8)+(0.05*S8)+(0.05*AB8)</f>
        <v/>
      </c>
      <c r="CL8" s="2">
        <f>(0.045*AD8)-(0.045*AE8)+(0.055*AH8)+(0.035*AI8)</f>
        <v/>
      </c>
      <c r="CM8" s="2">
        <f>(0.015*(AY8-AZ8))+(0.035*BA8)-(0.015*BB8)-(0.025*BC8)+(0.015*(AY8-(BD8+BC8)))</f>
        <v/>
      </c>
      <c r="CN8" s="2">
        <f>(0.035*AN8)+(0.025*AS8)-(0.035*AT8)-(0.035*AV8)</f>
        <v/>
      </c>
      <c r="CO8" s="2">
        <f>(0.015*AJ8)+(0.045*AG8)</f>
        <v/>
      </c>
      <c r="CP8" s="2">
        <f>(0.055*BM8)+(0.055*BN8)+(0.035*BO8)+(0.035*BQ8)+(0.055*BH8)+(0.035*BI8)+(0.035*BG8)</f>
        <v/>
      </c>
      <c r="CQ8" s="2">
        <f>CK8+CL8+CM8+CN8+CO8</f>
        <v/>
      </c>
    </row>
    <row r="9">
      <c r="A9" s="8" t="n">
        <v>6</v>
      </c>
      <c r="B9" s="8" t="inlineStr">
        <is>
          <t>Lian Bichsel</t>
        </is>
      </c>
      <c r="C9" s="8" t="inlineStr">
        <is>
          <t>DAL</t>
        </is>
      </c>
      <c r="D9" s="8" t="inlineStr">
        <is>
          <t>D</t>
        </is>
      </c>
      <c r="E9" s="8" t="n">
        <v>11.083333333333</v>
      </c>
      <c r="F9" s="8" t="inlineStr">
        <is>
          <t>2025-26</t>
        </is>
      </c>
      <c r="G9" s="19" t="inlineStr">
        <is>
          <t>3/6/2026 DAL vs. COL</t>
        </is>
      </c>
      <c r="H9" s="9">
        <f>COUNTIFS(Tracking!E:E,A9,Tracking!D:D,C9,Tracking!C:C,"5v5")</f>
        <v/>
      </c>
      <c r="I9" s="9">
        <f>COUNTIFS(Tracking!E:E,A9,Tracking!D:D,C9,Tracking!N:N,"y",Tracking!C:C,"5v5")</f>
        <v/>
      </c>
      <c r="J9" s="9">
        <f>COUNTIFS(Tracking!E:E,A9,Tracking!D:D,C9,Tracking!M:M,"y",Tracking!C:C,"5v5")</f>
        <v/>
      </c>
      <c r="K9" s="9">
        <f>L9+M9+N9</f>
        <v/>
      </c>
      <c r="L9" s="9">
        <f>COUNTIFS(Tracking!G:G,A9,Tracking!D:D,C9,Tracking!C:C,"5v5")</f>
        <v/>
      </c>
      <c r="M9" s="9">
        <f>COUNTIFS(Tracking!H:H,A9,Tracking!D:D,C9,Tracking!C:C,"5v5")</f>
        <v/>
      </c>
      <c r="N9" s="9">
        <f>COUNTIFS(Tracking!I:I,A9,Tracking!D:D,C9,Tracking!C:C,"5v5")</f>
        <v/>
      </c>
      <c r="O9" s="9">
        <f>COUNTIFS(Tracking!G:G,A9,Tracking!D:D,C9,Tracking!C:C,"5v5",Tracking!M:M,"y")</f>
        <v/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/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/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/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/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/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/>
      </c>
      <c r="V9" s="9">
        <f>COUNTIFS(Tracking!E:E,A9,Tracking!D:D,C9,Tracking!C:C,"5v5",Tracking!P:P,"r")</f>
        <v/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/>
      </c>
      <c r="X9" s="9">
        <f>COUNTIFS(Tracking!E:E,A9,Tracking!D:D,C9,Tracking!C:C,"5v5",Tracking!P:P,"f")</f>
        <v/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/>
      </c>
      <c r="Z9" s="9">
        <f>COUNTIFS(Tracking!E:E,A9,Tracking!D:D,C9,Tracking!C:C,"5v5",Tracking!P:P,"c")</f>
        <v/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/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/>
      </c>
      <c r="AC9" s="11">
        <f>COUNTIFS(Tracking!Z:Z,A9&amp;C9,Tracking!C:C,"5v5")-AE9</f>
        <v/>
      </c>
      <c r="AD9" s="11">
        <f>COUNTIFS(Tracking!Z:Z,A9&amp;C9,Tracking!C:C,"5v5",Tracking!Y:Y,"C")</f>
        <v/>
      </c>
      <c r="AE9" s="11">
        <f>COUNTIFS(Tracking!Z:Z,A9&amp;C9,Tracking!C:C,"5v5",Tracking!Y:Y,"F")</f>
        <v/>
      </c>
      <c r="AF9" s="11">
        <f>COUNTIFS(Tracking!Z:Z,A9&amp;C9,Tracking!C:C,"5v5",Tracking!Y:Y,"C",Tracking!AB:AB,"Y")</f>
        <v/>
      </c>
      <c r="AG9" s="11">
        <f>COUNTIFS(Tracking!AD:AD,A9&amp;C9,Tracking!C:C,"5v5")</f>
        <v/>
      </c>
      <c r="AH9" s="11">
        <f>COUNTIFS(Tracking!Z:Z,A9&amp;C9,Tracking!C:C,"5v5",Tracking!Y:Y,"C",Tracking!AE:AE,"Y")</f>
        <v/>
      </c>
      <c r="AI9" s="11">
        <f>COUNTIFS(Tracking!Z:Z,A9&amp;C9,Tracking!C:C,"5v5",Tracking!Y:Y,"D",Tracking!AE:AE,"Y")</f>
        <v/>
      </c>
      <c r="AJ9" s="11">
        <f>COUNTIFS(Tracking!AH:AH,A9&amp;C9)</f>
        <v/>
      </c>
      <c r="AK9" s="5">
        <f>COUNTIFS(Tracking!AI:AI,A9&amp;C9,Tracking!C:C,"5v5")+AL9</f>
        <v/>
      </c>
      <c r="AL9" s="5">
        <f>COUNTIFS(Tracking!AF:AF,A9&amp;C9,Tracking!C:C,"5v5")-AT9</f>
        <v/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/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/>
      </c>
      <c r="AO9" s="5">
        <f>COUNTIFS(Tracking!AF:AF,A9&amp;C9,Tracking!C:C,"5v5",Tracking!AG:AG,"CEX")+COUNTIFS(Tracking!AI:AI,A9&amp;C9,Tracking!C:C,"5v5",Tracking!AJ:AJ,"CEX")</f>
        <v/>
      </c>
      <c r="AP9" s="5">
        <f>COUNTIFS(Tracking!AF:AF,A9&amp;C9,Tracking!C:C,"5v5",Tracking!AG:AG,"PEX")</f>
        <v/>
      </c>
      <c r="AQ9" s="5">
        <f>COUNTIFS(Tracking!AF:AF,A9&amp;C9,Tracking!C:C,"5v5",Tracking!AG:AG,"CLE")+COUNTIFS(Tracking!AI:AI,A9&amp;C9,Tracking!C:C,"5v5",Tracking!AJ:AJ,"CLE")</f>
        <v/>
      </c>
      <c r="AR9" s="5">
        <f>COUNTIFS(Tracking!AF:AF,A9&amp;C9,Tracking!C:C,"5v5",Tracking!AG:AG,"MEX")</f>
        <v/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/>
      </c>
      <c r="AT9" s="5">
        <f>COUNTIFS(Tracking!AF:AF,A9&amp;C9,Tracking!C:C,"5v5",Tracking!AG:AG,"BOT")+COUNTIFS(Tracking!AF:AF,A9&amp;C9,Tracking!C:C,"5v5",Tracking!AG:AG,"FEX")</f>
        <v/>
      </c>
      <c r="AU9" s="5">
        <f>COUNTIFS(Tracking!AF:AF,A9&amp;C9,Tracking!C:C,"5v5",Tracking!AG:AG,"EXC")</f>
        <v/>
      </c>
      <c r="AV9" s="5">
        <f>COUNTIFS(Tracking!AF:AF,A9&amp;C9,Tracking!C:C,"5v5",Tracking!AG:AG,"FEX")+COUNTIFS(Tracking!AI:AI,A9&amp;C9,Tracking!C:C,"5v5",Tracking!AJ:AJ,"FEX")</f>
        <v/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/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/>
      </c>
      <c r="AY9" s="1">
        <f>COUNTIFS(Tracking!AA:AA,A9&amp;C9,Tracking!C:C,"5v5")</f>
        <v/>
      </c>
      <c r="AZ9" s="1">
        <f>COUNTIFS(Tracking!AA:AA,A9&amp;C9,Tracking!C:C,"5v5",Tracking!Y:Y,"C")</f>
        <v/>
      </c>
      <c r="BA9" s="1">
        <f>COUNTIFS(Tracking!AA:AA,A9&amp;C9,Tracking!C:C,"5v5",Tracking!Y:Y,"F")</f>
        <v/>
      </c>
      <c r="BB9" s="1">
        <f>COUNTIFS(Tracking!AA:AA,A9&amp;C9,Tracking!C:C,"5v5",Tracking!AB:AB,"Y")</f>
        <v/>
      </c>
      <c r="BC9" s="1">
        <f>COUNTIFS(Tracking!AA:AA,A9&amp;C9,Tracking!C:C,"5v5",Tracking!Y:Y,"C",Tracking!AE:AE,"Y")</f>
        <v/>
      </c>
      <c r="BD9" s="1">
        <f>COUNTIFS(Tracking!AA:AA,A9&amp;C9,Tracking!C:C,"5v5",Tracking!Y:Y,"D",Tracking!AE:AE,"Y")</f>
        <v/>
      </c>
      <c r="BE9" s="10">
        <f>COUNTIFS(Tracking!Z:Z,A9&amp;C9,Tracking!C:C,"5v4")</f>
        <v/>
      </c>
      <c r="BF9" s="10">
        <f>COUNTIFS(Tracking!Z:Z,A9&amp;C9,Tracking!C:C,"5v4",Tracking!Y:Y,"C")</f>
        <v/>
      </c>
      <c r="BG9" s="10">
        <f>COUNTIFS(Tracking!Z:Z,A9&amp;C9,Tracking!C:C,"5v4",Tracking!AB:AB,"Y")</f>
        <v/>
      </c>
      <c r="BH9" s="10">
        <f>COUNTIFS(Tracking!Z:Z,A9&amp;C9,Tracking!C:C,"4v5")</f>
        <v/>
      </c>
      <c r="BI9" s="10">
        <f>COUNTIFS(Tracking!AA:AA,A9&amp;C9,Tracking!C:C,"5v4",Tracking!Y:Y,"D")+COUNTIFS(Tracking!AA:AA,A9&amp;C9,Tracking!C:C,"5v4",Tracking!Y:Y,"F")</f>
        <v/>
      </c>
      <c r="BJ9" s="10">
        <f>COUNTIFS(Tracking!E:E,A9,Tracking!D:D,C9,Tracking!C:C,"5v4")</f>
        <v/>
      </c>
      <c r="BK9" s="10">
        <f>COUNTIFS(Tracking!G:G,A9,Tracking!D:D,C9,Tracking!C:C,"5v4")+COUNTIFS(Tracking!H:H,A9,Tracking!D:D,C9,Tracking!C:C,"5v4")+COUNTIFS(Tracking!I:I,A9,Tracking!D:D,C9,Tracking!C:C,"5v4")</f>
        <v/>
      </c>
      <c r="BL9" s="10">
        <f>COUNTIFS(Tracking!G:G,A9,Tracking!D:D,C9,Tracking!C:C,"5v4")</f>
        <v/>
      </c>
      <c r="BM9" s="10">
        <f>COUNTIFS(Tracking!E:E,A9,Tracking!D:D,C9,Tracking!C:C,"5v4",Tracking!M:M,"Y")</f>
        <v/>
      </c>
      <c r="BN9" s="10">
        <f>COUNTIFS(Tracking!G:G,A9,Tracking!D:D,C9,Tracking!C:C,"5v4",Tracking!M:M,"Y")</f>
        <v/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/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/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/>
      </c>
      <c r="BR9" s="12">
        <f>COUNTIFS(Tracking!E:E,A9,Tracking!D:D,C9,Tracking!C:C,"5v5",Tracking!F:F,"o")</f>
        <v/>
      </c>
      <c r="BS9" s="12">
        <f>COUNTIFS(Tracking!E:E,A9,Tracking!D:D,C9,Tracking!C:C,"5v5",Tracking!F:F,"r")</f>
        <v/>
      </c>
      <c r="BT9" s="12">
        <f>COUNTIFS(Tracking!E:E,A9,Tracking!D:D,C9,Tracking!C:C,"5v5",Tracking!F:F,"t")</f>
        <v/>
      </c>
      <c r="BU9" s="12">
        <f>COUNTIFS(Tracking!G:G,A9,Tracking!D:D,C9,Tracking!C:C,"5v5",Tracking!F:F,"o")</f>
        <v/>
      </c>
      <c r="BV9" s="12">
        <f>COUNTIFS(Tracking!E:E,A8,Tracking!D:D,C9,Tracking!C:C,"5v5",Tracking!F:F,"r")</f>
        <v/>
      </c>
      <c r="BW9" s="12">
        <f>COUNTIFS(Tracking!G:G,A9,Tracking!D:D,C9,Tracking!C:C,"5v5",Tracking!F:F,"T")</f>
        <v/>
      </c>
      <c r="BX9" s="12">
        <f>COUNTIFS(Tracking!E:E,A9,Tracking!D:D,C9,Tracking!C:C,"5v5",Tracking!Q:Q,"OZ")</f>
        <v/>
      </c>
      <c r="BY9" s="12">
        <f>COUNTIFS(Tracking!E:E,A9,Tracking!D:D,C9,Tracking!C:C,"5v5",Tracking!Q:Q,"nZ")</f>
        <v/>
      </c>
      <c r="BZ9" s="12">
        <f>COUNTIFS(Tracking!E:E,A9,Tracking!D:D,C9,Tracking!C:C,"5v5",Tracking!Q:Q,"dZ")</f>
        <v/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/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/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/>
      </c>
      <c r="CD9" s="12">
        <f>COUNTIFS(Tracking!E:E,A9,Tracking!D:D,C9,Tracking!C:C,"5v5",Tracking!R:R,"dz exit")</f>
        <v/>
      </c>
      <c r="CE9" s="12">
        <f>COUNTIFS(Tracking!E:E,A9,Tracking!D:D,C9,Tracking!C:C,"5v5",Tracking!R:R,"dz counter")</f>
        <v/>
      </c>
      <c r="CF9" s="12">
        <f>COUNTIFS(Tracking!E:E,A9,Tracking!D:D,C9,Tracking!C:C,"5v5",Tracking!R:R,"nz turnover")</f>
        <v/>
      </c>
      <c r="CG9" s="12">
        <f>COUNTIFS(Tracking!E:E,A9,Tracking!D:D,C9,Tracking!C:C,"5v5",Tracking!R:R,"nz regroup")</f>
        <v/>
      </c>
      <c r="CH9" s="12">
        <f>COUNTIFS(Tracking!E:E,A9,Tracking!D:D,C9,Tracking!C:C,"5v5",Tracking!R:R,"nz reload")</f>
        <v/>
      </c>
      <c r="CI9" s="12">
        <f>COUNTIFS(Tracking!E:E,A9,Tracking!D:D,C9,Tracking!C:C,"5v5",Tracking!R:R,"controlled breakout")</f>
        <v/>
      </c>
      <c r="CJ9" s="2">
        <f>CK9+CL9+CM9+CN9+CO9+CP9</f>
        <v/>
      </c>
      <c r="CK9" s="2">
        <f>(0.075*H9)+(0.07*L9)+(0.055*M9)+(0.055*N9)+(0.095*J9)+(0.09*O9)+(0.05*P9)+(0.05*R9)+(0.05*S9)+(0.05*AB9)</f>
        <v/>
      </c>
      <c r="CL9" s="2">
        <f>(0.045*AD9)-(0.045*AE9)+(0.055*AH9)+(0.035*AI9)</f>
        <v/>
      </c>
      <c r="CM9" s="2">
        <f>(0.015*(AY9-AZ9))+(0.035*BA9)-(0.015*BB9)-(0.025*BC9)+(0.015*(AY9-(BD9+BC9)))</f>
        <v/>
      </c>
      <c r="CN9" s="2">
        <f>(0.035*AN9)+(0.025*AS9)-(0.035*AT9)-(0.035*AV9)</f>
        <v/>
      </c>
      <c r="CO9" s="2">
        <f>(0.015*AJ9)+(0.045*AG9)</f>
        <v/>
      </c>
      <c r="CP9" s="2">
        <f>(0.055*BM9)+(0.055*BN9)+(0.035*BO9)+(0.035*BQ9)+(0.055*BH9)+(0.035*BI9)+(0.035*BG9)</f>
        <v/>
      </c>
      <c r="CQ9" s="2">
        <f>CK9+CL9+CM9+CN9+CO9</f>
        <v/>
      </c>
    </row>
    <row r="10">
      <c r="A10" s="8" t="n">
        <v>95</v>
      </c>
      <c r="B10" s="8" t="inlineStr">
        <is>
          <t>Matt Duchene</t>
        </is>
      </c>
      <c r="C10" s="8" t="inlineStr">
        <is>
          <t>DAL</t>
        </is>
      </c>
      <c r="D10" s="8" t="inlineStr">
        <is>
          <t>C</t>
        </is>
      </c>
      <c r="E10" s="8" t="n">
        <v>10.983333333333</v>
      </c>
      <c r="F10" s="8" t="inlineStr">
        <is>
          <t>2025-26</t>
        </is>
      </c>
      <c r="G10" s="19" t="inlineStr">
        <is>
          <t>3/6/2026 DAL vs. COL</t>
        </is>
      </c>
      <c r="H10" s="9">
        <f>COUNTIFS(Tracking!E:E,A10,Tracking!D:D,C10,Tracking!C:C,"5v5")</f>
        <v/>
      </c>
      <c r="I10" s="9">
        <f>COUNTIFS(Tracking!E:E,A10,Tracking!D:D,C10,Tracking!N:N,"y",Tracking!C:C,"5v5")</f>
        <v/>
      </c>
      <c r="J10" s="9">
        <f>COUNTIFS(Tracking!E:E,A10,Tracking!D:D,C10,Tracking!M:M,"y",Tracking!C:C,"5v5")</f>
        <v/>
      </c>
      <c r="K10" s="9">
        <f>L10+M10+N10</f>
        <v/>
      </c>
      <c r="L10" s="9">
        <f>COUNTIFS(Tracking!G:G,A10,Tracking!D:D,C10,Tracking!C:C,"5v5")</f>
        <v/>
      </c>
      <c r="M10" s="9">
        <f>COUNTIFS(Tracking!H:H,A10,Tracking!D:D,C10,Tracking!C:C,"5v5")</f>
        <v/>
      </c>
      <c r="N10" s="9">
        <f>COUNTIFS(Tracking!I:I,A10,Tracking!D:D,C10,Tracking!C:C,"5v5")</f>
        <v/>
      </c>
      <c r="O10" s="9">
        <f>COUNTIFS(Tracking!G:G,A10,Tracking!D:D,C10,Tracking!C:C,"5v5",Tracking!M:M,"y")</f>
        <v/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/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/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/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/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/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/>
      </c>
      <c r="V10" s="9">
        <f>COUNTIFS(Tracking!E:E,A10,Tracking!D:D,C10,Tracking!C:C,"5v5",Tracking!P:P,"r")</f>
        <v/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/>
      </c>
      <c r="X10" s="9">
        <f>COUNTIFS(Tracking!E:E,A10,Tracking!D:D,C10,Tracking!C:C,"5v5",Tracking!P:P,"f")</f>
        <v/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/>
      </c>
      <c r="Z10" s="9">
        <f>COUNTIFS(Tracking!E:E,A10,Tracking!D:D,C10,Tracking!C:C,"5v5",Tracking!P:P,"c")</f>
        <v/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/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/>
      </c>
      <c r="AC10" s="11">
        <f>COUNTIFS(Tracking!Z:Z,A10&amp;C10,Tracking!C:C,"5v5")-AE10</f>
        <v/>
      </c>
      <c r="AD10" s="11">
        <f>COUNTIFS(Tracking!Z:Z,A10&amp;C10,Tracking!C:C,"5v5",Tracking!Y:Y,"C")</f>
        <v/>
      </c>
      <c r="AE10" s="11">
        <f>COUNTIFS(Tracking!Z:Z,A10&amp;C10,Tracking!C:C,"5v5",Tracking!Y:Y,"F")</f>
        <v/>
      </c>
      <c r="AF10" s="11">
        <f>COUNTIFS(Tracking!Z:Z,A10&amp;C10,Tracking!C:C,"5v5",Tracking!Y:Y,"C",Tracking!AB:AB,"Y")</f>
        <v/>
      </c>
      <c r="AG10" s="11">
        <f>COUNTIFS(Tracking!AD:AD,A10&amp;C10,Tracking!C:C,"5v5")</f>
        <v/>
      </c>
      <c r="AH10" s="11">
        <f>COUNTIFS(Tracking!Z:Z,A10&amp;C10,Tracking!C:C,"5v5",Tracking!Y:Y,"C",Tracking!AE:AE,"Y")</f>
        <v/>
      </c>
      <c r="AI10" s="11">
        <f>COUNTIFS(Tracking!Z:Z,A10&amp;C10,Tracking!C:C,"5v5",Tracking!Y:Y,"D",Tracking!AE:AE,"Y")</f>
        <v/>
      </c>
      <c r="AJ10" s="11">
        <f>COUNTIFS(Tracking!AH:AH,A10&amp;C10)</f>
        <v/>
      </c>
      <c r="AK10" s="5">
        <f>COUNTIFS(Tracking!AI:AI,A10&amp;C10,Tracking!C:C,"5v5")+AL10</f>
        <v/>
      </c>
      <c r="AL10" s="5">
        <f>COUNTIFS(Tracking!AF:AF,A10&amp;C10,Tracking!C:C,"5v5")-AT10</f>
        <v/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/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/>
      </c>
      <c r="AO10" s="5">
        <f>COUNTIFS(Tracking!AF:AF,A10&amp;C10,Tracking!C:C,"5v5",Tracking!AG:AG,"CEX")+COUNTIFS(Tracking!AI:AI,A10&amp;C10,Tracking!C:C,"5v5",Tracking!AJ:AJ,"CEX")</f>
        <v/>
      </c>
      <c r="AP10" s="5">
        <f>COUNTIFS(Tracking!AF:AF,A10&amp;C10,Tracking!C:C,"5v5",Tracking!AG:AG,"PEX")</f>
        <v/>
      </c>
      <c r="AQ10" s="5">
        <f>COUNTIFS(Tracking!AF:AF,A10&amp;C10,Tracking!C:C,"5v5",Tracking!AG:AG,"CLE")+COUNTIFS(Tracking!AI:AI,A10&amp;C10,Tracking!C:C,"5v5",Tracking!AJ:AJ,"CLE")</f>
        <v/>
      </c>
      <c r="AR10" s="5">
        <f>COUNTIFS(Tracking!AF:AF,A10&amp;C10,Tracking!C:C,"5v5",Tracking!AG:AG,"MEX")</f>
        <v/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/>
      </c>
      <c r="AT10" s="5">
        <f>COUNTIFS(Tracking!AF:AF,A10&amp;C10,Tracking!C:C,"5v5",Tracking!AG:AG,"BOT")+COUNTIFS(Tracking!AF:AF,A10&amp;C10,Tracking!C:C,"5v5",Tracking!AG:AG,"FEX")</f>
        <v/>
      </c>
      <c r="AU10" s="5">
        <f>COUNTIFS(Tracking!AF:AF,A10&amp;C10,Tracking!C:C,"5v5",Tracking!AG:AG,"EXC")</f>
        <v/>
      </c>
      <c r="AV10" s="5">
        <f>COUNTIFS(Tracking!AF:AF,A10&amp;C10,Tracking!C:C,"5v5",Tracking!AG:AG,"FEX")+COUNTIFS(Tracking!AI:AI,A10&amp;C10,Tracking!C:C,"5v5",Tracking!AJ:AJ,"FEX")</f>
        <v/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/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/>
      </c>
      <c r="AY10" s="1">
        <f>COUNTIFS(Tracking!AA:AA,A10&amp;C10,Tracking!C:C,"5v5")</f>
        <v/>
      </c>
      <c r="AZ10" s="1">
        <f>COUNTIFS(Tracking!AA:AA,A10&amp;C10,Tracking!C:C,"5v5",Tracking!Y:Y,"C")</f>
        <v/>
      </c>
      <c r="BA10" s="1">
        <f>COUNTIFS(Tracking!AA:AA,A10&amp;C10,Tracking!C:C,"5v5",Tracking!Y:Y,"F")</f>
        <v/>
      </c>
      <c r="BB10" s="1">
        <f>COUNTIFS(Tracking!AA:AA,A10&amp;C10,Tracking!C:C,"5v5",Tracking!AB:AB,"Y")</f>
        <v/>
      </c>
      <c r="BC10" s="1">
        <f>COUNTIFS(Tracking!AA:AA,A10&amp;C10,Tracking!C:C,"5v5",Tracking!Y:Y,"C",Tracking!AE:AE,"Y")</f>
        <v/>
      </c>
      <c r="BD10" s="1">
        <f>COUNTIFS(Tracking!AA:AA,A10&amp;C10,Tracking!C:C,"5v5",Tracking!Y:Y,"D",Tracking!AE:AE,"Y")</f>
        <v/>
      </c>
      <c r="BE10" s="10">
        <f>COUNTIFS(Tracking!Z:Z,A10&amp;C10,Tracking!C:C,"5v4")</f>
        <v/>
      </c>
      <c r="BF10" s="10">
        <f>COUNTIFS(Tracking!Z:Z,A10&amp;C10,Tracking!C:C,"5v4",Tracking!Y:Y,"C")</f>
        <v/>
      </c>
      <c r="BG10" s="10">
        <f>COUNTIFS(Tracking!Z:Z,A10&amp;C10,Tracking!C:C,"5v4",Tracking!AB:AB,"Y")</f>
        <v/>
      </c>
      <c r="BH10" s="10">
        <f>COUNTIFS(Tracking!Z:Z,A10&amp;C10,Tracking!C:C,"4v5")</f>
        <v/>
      </c>
      <c r="BI10" s="10">
        <f>COUNTIFS(Tracking!AA:AA,A10&amp;C10,Tracking!C:C,"5v4",Tracking!Y:Y,"D")+COUNTIFS(Tracking!AA:AA,A10&amp;C10,Tracking!C:C,"5v4",Tracking!Y:Y,"F")</f>
        <v/>
      </c>
      <c r="BJ10" s="10">
        <f>COUNTIFS(Tracking!E:E,A10,Tracking!D:D,C10,Tracking!C:C,"5v4")</f>
        <v/>
      </c>
      <c r="BK10" s="10">
        <f>COUNTIFS(Tracking!G:G,A10,Tracking!D:D,C10,Tracking!C:C,"5v4")+COUNTIFS(Tracking!H:H,A10,Tracking!D:D,C10,Tracking!C:C,"5v4")+COUNTIFS(Tracking!I:I,A10,Tracking!D:D,C10,Tracking!C:C,"5v4")</f>
        <v/>
      </c>
      <c r="BL10" s="10">
        <f>COUNTIFS(Tracking!G:G,A10,Tracking!D:D,C10,Tracking!C:C,"5v4")</f>
        <v/>
      </c>
      <c r="BM10" s="10">
        <f>COUNTIFS(Tracking!E:E,A10,Tracking!D:D,C10,Tracking!C:C,"5v4",Tracking!M:M,"Y")</f>
        <v/>
      </c>
      <c r="BN10" s="10">
        <f>COUNTIFS(Tracking!G:G,A10,Tracking!D:D,C10,Tracking!C:C,"5v4",Tracking!M:M,"Y")</f>
        <v/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/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/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/>
      </c>
      <c r="BR10" s="12">
        <f>COUNTIFS(Tracking!E:E,A10,Tracking!D:D,C10,Tracking!C:C,"5v5",Tracking!F:F,"o")</f>
        <v/>
      </c>
      <c r="BS10" s="12">
        <f>COUNTIFS(Tracking!E:E,A10,Tracking!D:D,C10,Tracking!C:C,"5v5",Tracking!F:F,"r")</f>
        <v/>
      </c>
      <c r="BT10" s="12">
        <f>COUNTIFS(Tracking!E:E,A10,Tracking!D:D,C10,Tracking!C:C,"5v5",Tracking!F:F,"t")</f>
        <v/>
      </c>
      <c r="BU10" s="12">
        <f>COUNTIFS(Tracking!G:G,A10,Tracking!D:D,C10,Tracking!C:C,"5v5",Tracking!F:F,"o")</f>
        <v/>
      </c>
      <c r="BV10" s="12">
        <f>COUNTIFS(Tracking!E:E,A9,Tracking!D:D,C10,Tracking!C:C,"5v5",Tracking!F:F,"r")</f>
        <v/>
      </c>
      <c r="BW10" s="12">
        <f>COUNTIFS(Tracking!G:G,A10,Tracking!D:D,C10,Tracking!C:C,"5v5",Tracking!F:F,"T")</f>
        <v/>
      </c>
      <c r="BX10" s="12">
        <f>COUNTIFS(Tracking!E:E,A10,Tracking!D:D,C10,Tracking!C:C,"5v5",Tracking!Q:Q,"OZ")</f>
        <v/>
      </c>
      <c r="BY10" s="12">
        <f>COUNTIFS(Tracking!E:E,A10,Tracking!D:D,C10,Tracking!C:C,"5v5",Tracking!Q:Q,"nZ")</f>
        <v/>
      </c>
      <c r="BZ10" s="12">
        <f>COUNTIFS(Tracking!E:E,A10,Tracking!D:D,C10,Tracking!C:C,"5v5",Tracking!Q:Q,"dZ")</f>
        <v/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/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/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/>
      </c>
      <c r="CD10" s="12">
        <f>COUNTIFS(Tracking!E:E,A10,Tracking!D:D,C10,Tracking!C:C,"5v5",Tracking!R:R,"dz exit")</f>
        <v/>
      </c>
      <c r="CE10" s="12">
        <f>COUNTIFS(Tracking!E:E,A10,Tracking!D:D,C10,Tracking!C:C,"5v5",Tracking!R:R,"dz counter")</f>
        <v/>
      </c>
      <c r="CF10" s="12">
        <f>COUNTIFS(Tracking!E:E,A10,Tracking!D:D,C10,Tracking!C:C,"5v5",Tracking!R:R,"nz turnover")</f>
        <v/>
      </c>
      <c r="CG10" s="12">
        <f>COUNTIFS(Tracking!E:E,A10,Tracking!D:D,C10,Tracking!C:C,"5v5",Tracking!R:R,"nz regroup")</f>
        <v/>
      </c>
      <c r="CH10" s="12">
        <f>COUNTIFS(Tracking!E:E,A10,Tracking!D:D,C10,Tracking!C:C,"5v5",Tracking!R:R,"nz reload")</f>
        <v/>
      </c>
      <c r="CI10" s="12">
        <f>COUNTIFS(Tracking!E:E,A10,Tracking!D:D,C10,Tracking!C:C,"5v5",Tracking!R:R,"controlled breakout")</f>
        <v/>
      </c>
      <c r="CJ10" s="2">
        <f>CK10+CL10+CM10+CN10+CO10+CP10</f>
        <v/>
      </c>
      <c r="CK10" s="2">
        <f>(0.075*H10)+(0.07*L10)+(0.055*M10)+(0.055*N10)+(0.095*J10)+(0.09*O10)+(0.05*P10)+(0.05*R10)+(0.05*S10)+(0.05*AB10)</f>
        <v/>
      </c>
      <c r="CL10" s="2">
        <f>(0.045*AD10)-(0.045*AE10)+(0.055*AH10)+(0.035*AI10)</f>
        <v/>
      </c>
      <c r="CM10" s="2">
        <f>(0.015*(AY10-AZ10))+(0.035*BA10)-(0.015*BB10)-(0.025*BC10)+(0.015*(AY10-(BD10+BC10)))</f>
        <v/>
      </c>
      <c r="CN10" s="2">
        <f>(0.035*AN10)+(0.025*AS10)-(0.035*AT10)-(0.035*AV10)</f>
        <v/>
      </c>
      <c r="CO10" s="2">
        <f>(0.015*AJ10)+(0.045*AG10)</f>
        <v/>
      </c>
      <c r="CP10" s="2">
        <f>(0.055*BM10)+(0.055*BN10)+(0.035*BO10)+(0.035*BQ10)+(0.055*BH10)+(0.035*BI10)+(0.035*BG10)</f>
        <v/>
      </c>
      <c r="CQ10" s="2">
        <f>CK10+CL10+CM10+CN10+CO10</f>
        <v/>
      </c>
    </row>
    <row r="11">
      <c r="A11" s="8" t="n">
        <v>22</v>
      </c>
      <c r="B11" s="8" t="inlineStr">
        <is>
          <t>Mavrik Bourque</t>
        </is>
      </c>
      <c r="C11" s="8" t="inlineStr">
        <is>
          <t>DAL</t>
        </is>
      </c>
      <c r="D11" s="8" t="inlineStr">
        <is>
          <t>C</t>
        </is>
      </c>
      <c r="E11" s="8" t="n">
        <v>13.683333333333</v>
      </c>
      <c r="F11" s="8" t="inlineStr">
        <is>
          <t>2025-26</t>
        </is>
      </c>
      <c r="G11" s="19" t="inlineStr">
        <is>
          <t>3/6/2026 DAL vs. COL</t>
        </is>
      </c>
      <c r="H11" s="9">
        <f>COUNTIFS(Tracking!E:E,A11,Tracking!D:D,C11,Tracking!C:C,"5v5")</f>
        <v/>
      </c>
      <c r="I11" s="9">
        <f>COUNTIFS(Tracking!E:E,A11,Tracking!D:D,C11,Tracking!N:N,"y",Tracking!C:C,"5v5")</f>
        <v/>
      </c>
      <c r="J11" s="9">
        <f>COUNTIFS(Tracking!E:E,A11,Tracking!D:D,C11,Tracking!M:M,"y",Tracking!C:C,"5v5")</f>
        <v/>
      </c>
      <c r="K11" s="9">
        <f>L11+M11+N11</f>
        <v/>
      </c>
      <c r="L11" s="9">
        <f>COUNTIFS(Tracking!G:G,A11,Tracking!D:D,C11,Tracking!C:C,"5v5")</f>
        <v/>
      </c>
      <c r="M11" s="9">
        <f>COUNTIFS(Tracking!H:H,A11,Tracking!D:D,C11,Tracking!C:C,"5v5")</f>
        <v/>
      </c>
      <c r="N11" s="9">
        <f>COUNTIFS(Tracking!I:I,A11,Tracking!D:D,C11,Tracking!C:C,"5v5")</f>
        <v/>
      </c>
      <c r="O11" s="9">
        <f>COUNTIFS(Tracking!G:G,A11,Tracking!D:D,C11,Tracking!C:C,"5v5",Tracking!M:M,"y")</f>
        <v/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/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/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/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/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/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/>
      </c>
      <c r="V11" s="9">
        <f>COUNTIFS(Tracking!E:E,A11,Tracking!D:D,C11,Tracking!C:C,"5v5",Tracking!P:P,"r")</f>
        <v/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/>
      </c>
      <c r="X11" s="9">
        <f>COUNTIFS(Tracking!E:E,A11,Tracking!D:D,C11,Tracking!C:C,"5v5",Tracking!P:P,"f")</f>
        <v/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/>
      </c>
      <c r="Z11" s="9">
        <f>COUNTIFS(Tracking!E:E,A11,Tracking!D:D,C11,Tracking!C:C,"5v5",Tracking!P:P,"c")</f>
        <v/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/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/>
      </c>
      <c r="AC11" s="11">
        <f>COUNTIFS(Tracking!Z:Z,A11&amp;C11,Tracking!C:C,"5v5")-AE11</f>
        <v/>
      </c>
      <c r="AD11" s="11">
        <f>COUNTIFS(Tracking!Z:Z,A11&amp;C11,Tracking!C:C,"5v5",Tracking!Y:Y,"C")</f>
        <v/>
      </c>
      <c r="AE11" s="11">
        <f>COUNTIFS(Tracking!Z:Z,A11&amp;C11,Tracking!C:C,"5v5",Tracking!Y:Y,"F")</f>
        <v/>
      </c>
      <c r="AF11" s="11">
        <f>COUNTIFS(Tracking!Z:Z,A11&amp;C11,Tracking!C:C,"5v5",Tracking!Y:Y,"C",Tracking!AB:AB,"Y")</f>
        <v/>
      </c>
      <c r="AG11" s="11">
        <f>COUNTIFS(Tracking!AD:AD,A11&amp;C11,Tracking!C:C,"5v5")</f>
        <v/>
      </c>
      <c r="AH11" s="11">
        <f>COUNTIFS(Tracking!Z:Z,A11&amp;C11,Tracking!C:C,"5v5",Tracking!Y:Y,"C",Tracking!AE:AE,"Y")</f>
        <v/>
      </c>
      <c r="AI11" s="11">
        <f>COUNTIFS(Tracking!Z:Z,A11&amp;C11,Tracking!C:C,"5v5",Tracking!Y:Y,"D",Tracking!AE:AE,"Y")</f>
        <v/>
      </c>
      <c r="AJ11" s="11">
        <f>COUNTIFS(Tracking!AH:AH,A11&amp;C11)</f>
        <v/>
      </c>
      <c r="AK11" s="5">
        <f>COUNTIFS(Tracking!AI:AI,A11&amp;C11,Tracking!C:C,"5v5")+AL11</f>
        <v/>
      </c>
      <c r="AL11" s="5">
        <f>COUNTIFS(Tracking!AF:AF,A11&amp;C11,Tracking!C:C,"5v5")-AT11</f>
        <v/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/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/>
      </c>
      <c r="AO11" s="5">
        <f>COUNTIFS(Tracking!AF:AF,A11&amp;C11,Tracking!C:C,"5v5",Tracking!AG:AG,"CEX")+COUNTIFS(Tracking!AI:AI,A11&amp;C11,Tracking!C:C,"5v5",Tracking!AJ:AJ,"CEX")</f>
        <v/>
      </c>
      <c r="AP11" s="5">
        <f>COUNTIFS(Tracking!AF:AF,A11&amp;C11,Tracking!C:C,"5v5",Tracking!AG:AG,"PEX")</f>
        <v/>
      </c>
      <c r="AQ11" s="5">
        <f>COUNTIFS(Tracking!AF:AF,A11&amp;C11,Tracking!C:C,"5v5",Tracking!AG:AG,"CLE")+COUNTIFS(Tracking!AI:AI,A11&amp;C11,Tracking!C:C,"5v5",Tracking!AJ:AJ,"CLE")</f>
        <v/>
      </c>
      <c r="AR11" s="5">
        <f>COUNTIFS(Tracking!AF:AF,A11&amp;C11,Tracking!C:C,"5v5",Tracking!AG:AG,"MEX")</f>
        <v/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/>
      </c>
      <c r="AT11" s="5">
        <f>COUNTIFS(Tracking!AF:AF,A11&amp;C11,Tracking!C:C,"5v5",Tracking!AG:AG,"BOT")+COUNTIFS(Tracking!AF:AF,A11&amp;C11,Tracking!C:C,"5v5",Tracking!AG:AG,"FEX")</f>
        <v/>
      </c>
      <c r="AU11" s="5">
        <f>COUNTIFS(Tracking!AF:AF,A11&amp;C11,Tracking!C:C,"5v5",Tracking!AG:AG,"EXC")</f>
        <v/>
      </c>
      <c r="AV11" s="5">
        <f>COUNTIFS(Tracking!AF:AF,A11&amp;C11,Tracking!C:C,"5v5",Tracking!AG:AG,"FEX")+COUNTIFS(Tracking!AI:AI,A11&amp;C11,Tracking!C:C,"5v5",Tracking!AJ:AJ,"FEX")</f>
        <v/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/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/>
      </c>
      <c r="AY11" s="1">
        <f>COUNTIFS(Tracking!AA:AA,A11&amp;C11,Tracking!C:C,"5v5")</f>
        <v/>
      </c>
      <c r="AZ11" s="1">
        <f>COUNTIFS(Tracking!AA:AA,A11&amp;C11,Tracking!C:C,"5v5",Tracking!Y:Y,"C")</f>
        <v/>
      </c>
      <c r="BA11" s="1">
        <f>COUNTIFS(Tracking!AA:AA,A11&amp;C11,Tracking!C:C,"5v5",Tracking!Y:Y,"F")</f>
        <v/>
      </c>
      <c r="BB11" s="1">
        <f>COUNTIFS(Tracking!AA:AA,A11&amp;C11,Tracking!C:C,"5v5",Tracking!AB:AB,"Y")</f>
        <v/>
      </c>
      <c r="BC11" s="1">
        <f>COUNTIFS(Tracking!AA:AA,A11&amp;C11,Tracking!C:C,"5v5",Tracking!Y:Y,"C",Tracking!AE:AE,"Y")</f>
        <v/>
      </c>
      <c r="BD11" s="1">
        <f>COUNTIFS(Tracking!AA:AA,A11&amp;C11,Tracking!C:C,"5v5",Tracking!Y:Y,"D",Tracking!AE:AE,"Y")</f>
        <v/>
      </c>
      <c r="BE11" s="10">
        <f>COUNTIFS(Tracking!Z:Z,A11&amp;C11,Tracking!C:C,"5v4")</f>
        <v/>
      </c>
      <c r="BF11" s="10">
        <f>COUNTIFS(Tracking!Z:Z,A11&amp;C11,Tracking!C:C,"5v4",Tracking!Y:Y,"C")</f>
        <v/>
      </c>
      <c r="BG11" s="10">
        <f>COUNTIFS(Tracking!Z:Z,A11&amp;C11,Tracking!C:C,"5v4",Tracking!AB:AB,"Y")</f>
        <v/>
      </c>
      <c r="BH11" s="10">
        <f>COUNTIFS(Tracking!Z:Z,A11&amp;C11,Tracking!C:C,"4v5")</f>
        <v/>
      </c>
      <c r="BI11" s="10">
        <f>COUNTIFS(Tracking!AA:AA,A11&amp;C11,Tracking!C:C,"5v4",Tracking!Y:Y,"D")+COUNTIFS(Tracking!AA:AA,A11&amp;C11,Tracking!C:C,"5v4",Tracking!Y:Y,"F")</f>
        <v/>
      </c>
      <c r="BJ11" s="10">
        <f>COUNTIFS(Tracking!E:E,A11,Tracking!D:D,C11,Tracking!C:C,"5v4")</f>
        <v/>
      </c>
      <c r="BK11" s="10">
        <f>COUNTIFS(Tracking!G:G,A11,Tracking!D:D,C11,Tracking!C:C,"5v4")+COUNTIFS(Tracking!H:H,A11,Tracking!D:D,C11,Tracking!C:C,"5v4")+COUNTIFS(Tracking!I:I,A11,Tracking!D:D,C11,Tracking!C:C,"5v4")</f>
        <v/>
      </c>
      <c r="BL11" s="10">
        <f>COUNTIFS(Tracking!G:G,A11,Tracking!D:D,C11,Tracking!C:C,"5v4")</f>
        <v/>
      </c>
      <c r="BM11" s="10">
        <f>COUNTIFS(Tracking!E:E,A11,Tracking!D:D,C11,Tracking!C:C,"5v4",Tracking!M:M,"Y")</f>
        <v/>
      </c>
      <c r="BN11" s="10">
        <f>COUNTIFS(Tracking!G:G,A11,Tracking!D:D,C11,Tracking!C:C,"5v4",Tracking!M:M,"Y")</f>
        <v/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/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/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/>
      </c>
      <c r="BR11" s="12">
        <f>COUNTIFS(Tracking!E:E,A11,Tracking!D:D,C11,Tracking!C:C,"5v5",Tracking!F:F,"o")</f>
        <v/>
      </c>
      <c r="BS11" s="12">
        <f>COUNTIFS(Tracking!E:E,A11,Tracking!D:D,C11,Tracking!C:C,"5v5",Tracking!F:F,"r")</f>
        <v/>
      </c>
      <c r="BT11" s="12">
        <f>COUNTIFS(Tracking!E:E,A11,Tracking!D:D,C11,Tracking!C:C,"5v5",Tracking!F:F,"t")</f>
        <v/>
      </c>
      <c r="BU11" s="12">
        <f>COUNTIFS(Tracking!G:G,A11,Tracking!D:D,C11,Tracking!C:C,"5v5",Tracking!F:F,"o")</f>
        <v/>
      </c>
      <c r="BV11" s="12">
        <f>COUNTIFS(Tracking!E:E,A10,Tracking!D:D,C11,Tracking!C:C,"5v5",Tracking!F:F,"r")</f>
        <v/>
      </c>
      <c r="BW11" s="12">
        <f>COUNTIFS(Tracking!G:G,A11,Tracking!D:D,C11,Tracking!C:C,"5v5",Tracking!F:F,"T")</f>
        <v/>
      </c>
      <c r="BX11" s="12">
        <f>COUNTIFS(Tracking!E:E,A11,Tracking!D:D,C11,Tracking!C:C,"5v5",Tracking!Q:Q,"OZ")</f>
        <v/>
      </c>
      <c r="BY11" s="12">
        <f>COUNTIFS(Tracking!E:E,A11,Tracking!D:D,C11,Tracking!C:C,"5v5",Tracking!Q:Q,"nZ")</f>
        <v/>
      </c>
      <c r="BZ11" s="12">
        <f>COUNTIFS(Tracking!E:E,A11,Tracking!D:D,C11,Tracking!C:C,"5v5",Tracking!Q:Q,"dZ")</f>
        <v/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/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/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/>
      </c>
      <c r="CD11" s="12">
        <f>COUNTIFS(Tracking!E:E,A11,Tracking!D:D,C11,Tracking!C:C,"5v5",Tracking!R:R,"dz exit")</f>
        <v/>
      </c>
      <c r="CE11" s="12">
        <f>COUNTIFS(Tracking!E:E,A11,Tracking!D:D,C11,Tracking!C:C,"5v5",Tracking!R:R,"dz counter")</f>
        <v/>
      </c>
      <c r="CF11" s="12">
        <f>COUNTIFS(Tracking!E:E,A11,Tracking!D:D,C11,Tracking!C:C,"5v5",Tracking!R:R,"nz turnover")</f>
        <v/>
      </c>
      <c r="CG11" s="12">
        <f>COUNTIFS(Tracking!E:E,A11,Tracking!D:D,C11,Tracking!C:C,"5v5",Tracking!R:R,"nz regroup")</f>
        <v/>
      </c>
      <c r="CH11" s="12">
        <f>COUNTIFS(Tracking!E:E,A11,Tracking!D:D,C11,Tracking!C:C,"5v5",Tracking!R:R,"nz reload")</f>
        <v/>
      </c>
      <c r="CI11" s="12">
        <f>COUNTIFS(Tracking!E:E,A11,Tracking!D:D,C11,Tracking!C:C,"5v5",Tracking!R:R,"controlled breakout")</f>
        <v/>
      </c>
      <c r="CJ11" s="2">
        <f>CK11+CL11+CM11+CN11+CO11+CP11</f>
        <v/>
      </c>
      <c r="CK11" s="2">
        <f>(0.075*H11)+(0.07*L11)+(0.055*M11)+(0.055*N11)+(0.095*J11)+(0.09*O11)+(0.05*P11)+(0.05*R11)+(0.05*S11)+(0.05*AB11)</f>
        <v/>
      </c>
      <c r="CL11" s="2">
        <f>(0.045*AD11)-(0.045*AE11)+(0.055*AH11)+(0.035*AI11)</f>
        <v/>
      </c>
      <c r="CM11" s="2">
        <f>(0.015*(AY11-AZ11))+(0.035*BA11)-(0.015*BB11)-(0.025*BC11)+(0.015*(AY11-(BD11+BC11)))</f>
        <v/>
      </c>
      <c r="CN11" s="2">
        <f>(0.035*AN11)+(0.025*AS11)-(0.035*AT11)-(0.035*AV11)</f>
        <v/>
      </c>
      <c r="CO11" s="2">
        <f>(0.015*AJ11)+(0.045*AG11)</f>
        <v/>
      </c>
      <c r="CP11" s="2">
        <f>(0.055*BM11)+(0.055*BN11)+(0.035*BO11)+(0.035*BQ11)+(0.055*BH11)+(0.035*BI11)+(0.035*BG11)</f>
        <v/>
      </c>
      <c r="CQ11" s="2">
        <f>CK11+CL11+CM11+CN11+CO11</f>
        <v/>
      </c>
    </row>
    <row r="12">
      <c r="A12" s="8" t="n">
        <v>4</v>
      </c>
      <c r="B12" s="8" t="inlineStr">
        <is>
          <t>Miro Heiskanen</t>
        </is>
      </c>
      <c r="C12" s="8" t="inlineStr">
        <is>
          <t>DAL</t>
        </is>
      </c>
      <c r="D12" s="8" t="inlineStr">
        <is>
          <t>D</t>
        </is>
      </c>
      <c r="E12" s="8" t="n">
        <v>16.266666666667</v>
      </c>
      <c r="F12" s="8" t="inlineStr">
        <is>
          <t>2025-26</t>
        </is>
      </c>
      <c r="G12" s="19" t="inlineStr">
        <is>
          <t>3/6/2026 DAL vs. COL</t>
        </is>
      </c>
      <c r="H12" s="9">
        <f>COUNTIFS(Tracking!E:E,A12,Tracking!D:D,C12,Tracking!C:C,"5v5")</f>
        <v/>
      </c>
      <c r="I12" s="9">
        <f>COUNTIFS(Tracking!E:E,A12,Tracking!D:D,C12,Tracking!N:N,"y",Tracking!C:C,"5v5")</f>
        <v/>
      </c>
      <c r="J12" s="9">
        <f>COUNTIFS(Tracking!E:E,A12,Tracking!D:D,C12,Tracking!M:M,"y",Tracking!C:C,"5v5")</f>
        <v/>
      </c>
      <c r="K12" s="9">
        <f>L12+M12+N12</f>
        <v/>
      </c>
      <c r="L12" s="9">
        <f>COUNTIFS(Tracking!G:G,A12,Tracking!D:D,C12,Tracking!C:C,"5v5")</f>
        <v/>
      </c>
      <c r="M12" s="9">
        <f>COUNTIFS(Tracking!H:H,A12,Tracking!D:D,C12,Tracking!C:C,"5v5")</f>
        <v/>
      </c>
      <c r="N12" s="9">
        <f>COUNTIFS(Tracking!I:I,A12,Tracking!D:D,C12,Tracking!C:C,"5v5")</f>
        <v/>
      </c>
      <c r="O12" s="9">
        <f>COUNTIFS(Tracking!G:G,A12,Tracking!D:D,C12,Tracking!C:C,"5v5",Tracking!M:M,"y")</f>
        <v/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/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/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/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/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/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/>
      </c>
      <c r="V12" s="9">
        <f>COUNTIFS(Tracking!E:E,A12,Tracking!D:D,C12,Tracking!C:C,"5v5",Tracking!P:P,"r")</f>
        <v/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/>
      </c>
      <c r="X12" s="9">
        <f>COUNTIFS(Tracking!E:E,A12,Tracking!D:D,C12,Tracking!C:C,"5v5",Tracking!P:P,"f")</f>
        <v/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/>
      </c>
      <c r="Z12" s="9">
        <f>COUNTIFS(Tracking!E:E,A12,Tracking!D:D,C12,Tracking!C:C,"5v5",Tracking!P:P,"c")</f>
        <v/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/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/>
      </c>
      <c r="AC12" s="11">
        <f>COUNTIFS(Tracking!Z:Z,A12&amp;C12,Tracking!C:C,"5v5")-AE12</f>
        <v/>
      </c>
      <c r="AD12" s="11">
        <f>COUNTIFS(Tracking!Z:Z,A12&amp;C12,Tracking!C:C,"5v5",Tracking!Y:Y,"C")</f>
        <v/>
      </c>
      <c r="AE12" s="11">
        <f>COUNTIFS(Tracking!Z:Z,A12&amp;C12,Tracking!C:C,"5v5",Tracking!Y:Y,"F")</f>
        <v/>
      </c>
      <c r="AF12" s="11">
        <f>COUNTIFS(Tracking!Z:Z,A12&amp;C12,Tracking!C:C,"5v5",Tracking!Y:Y,"C",Tracking!AB:AB,"Y")</f>
        <v/>
      </c>
      <c r="AG12" s="11">
        <f>COUNTIFS(Tracking!AD:AD,A12&amp;C12,Tracking!C:C,"5v5")</f>
        <v/>
      </c>
      <c r="AH12" s="11">
        <f>COUNTIFS(Tracking!Z:Z,A12&amp;C12,Tracking!C:C,"5v5",Tracking!Y:Y,"C",Tracking!AE:AE,"Y")</f>
        <v/>
      </c>
      <c r="AI12" s="11">
        <f>COUNTIFS(Tracking!Z:Z,A12&amp;C12,Tracking!C:C,"5v5",Tracking!Y:Y,"D",Tracking!AE:AE,"Y")</f>
        <v/>
      </c>
      <c r="AJ12" s="11">
        <f>COUNTIFS(Tracking!AH:AH,A12&amp;C12)</f>
        <v/>
      </c>
      <c r="AK12" s="5">
        <f>COUNTIFS(Tracking!AI:AI,A12&amp;C12,Tracking!C:C,"5v5")+AL12</f>
        <v/>
      </c>
      <c r="AL12" s="5">
        <f>COUNTIFS(Tracking!AF:AF,A12&amp;C12,Tracking!C:C,"5v5")-AT12</f>
        <v/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/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/>
      </c>
      <c r="AO12" s="5">
        <f>COUNTIFS(Tracking!AF:AF,A12&amp;C12,Tracking!C:C,"5v5",Tracking!AG:AG,"CEX")+COUNTIFS(Tracking!AI:AI,A12&amp;C12,Tracking!C:C,"5v5",Tracking!AJ:AJ,"CEX")</f>
        <v/>
      </c>
      <c r="AP12" s="5">
        <f>COUNTIFS(Tracking!AF:AF,A12&amp;C12,Tracking!C:C,"5v5",Tracking!AG:AG,"PEX")</f>
        <v/>
      </c>
      <c r="AQ12" s="5">
        <f>COUNTIFS(Tracking!AF:AF,A12&amp;C12,Tracking!C:C,"5v5",Tracking!AG:AG,"CLE")+COUNTIFS(Tracking!AI:AI,A12&amp;C12,Tracking!C:C,"5v5",Tracking!AJ:AJ,"CLE")</f>
        <v/>
      </c>
      <c r="AR12" s="5">
        <f>COUNTIFS(Tracking!AF:AF,A12&amp;C12,Tracking!C:C,"5v5",Tracking!AG:AG,"MEX")</f>
        <v/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/>
      </c>
      <c r="AT12" s="5">
        <f>COUNTIFS(Tracking!AF:AF,A12&amp;C12,Tracking!C:C,"5v5",Tracking!AG:AG,"BOT")+COUNTIFS(Tracking!AF:AF,A12&amp;C12,Tracking!C:C,"5v5",Tracking!AG:AG,"FEX")</f>
        <v/>
      </c>
      <c r="AU12" s="5">
        <f>COUNTIFS(Tracking!AF:AF,A12&amp;C12,Tracking!C:C,"5v5",Tracking!AG:AG,"EXC")</f>
        <v/>
      </c>
      <c r="AV12" s="5">
        <f>COUNTIFS(Tracking!AF:AF,A12&amp;C12,Tracking!C:C,"5v5",Tracking!AG:AG,"FEX")+COUNTIFS(Tracking!AI:AI,A12&amp;C12,Tracking!C:C,"5v5",Tracking!AJ:AJ,"FEX")</f>
        <v/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/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/>
      </c>
      <c r="AY12" s="1">
        <f>COUNTIFS(Tracking!AA:AA,A12&amp;C12,Tracking!C:C,"5v5")</f>
        <v/>
      </c>
      <c r="AZ12" s="1">
        <f>COUNTIFS(Tracking!AA:AA,A12&amp;C12,Tracking!C:C,"5v5",Tracking!Y:Y,"C")</f>
        <v/>
      </c>
      <c r="BA12" s="1">
        <f>COUNTIFS(Tracking!AA:AA,A12&amp;C12,Tracking!C:C,"5v5",Tracking!Y:Y,"F")</f>
        <v/>
      </c>
      <c r="BB12" s="1">
        <f>COUNTIFS(Tracking!AA:AA,A12&amp;C12,Tracking!C:C,"5v5",Tracking!AB:AB,"Y")</f>
        <v/>
      </c>
      <c r="BC12" s="1">
        <f>COUNTIFS(Tracking!AA:AA,A12&amp;C12,Tracking!C:C,"5v5",Tracking!Y:Y,"C",Tracking!AE:AE,"Y")</f>
        <v/>
      </c>
      <c r="BD12" s="1">
        <f>COUNTIFS(Tracking!AA:AA,A12&amp;C12,Tracking!C:C,"5v5",Tracking!Y:Y,"D",Tracking!AE:AE,"Y")</f>
        <v/>
      </c>
      <c r="BE12" s="10">
        <f>COUNTIFS(Tracking!Z:Z,A12&amp;C12,Tracking!C:C,"5v4")</f>
        <v/>
      </c>
      <c r="BF12" s="10">
        <f>COUNTIFS(Tracking!Z:Z,A12&amp;C12,Tracking!C:C,"5v4",Tracking!Y:Y,"C")</f>
        <v/>
      </c>
      <c r="BG12" s="10">
        <f>COUNTIFS(Tracking!Z:Z,A12&amp;C12,Tracking!C:C,"5v4",Tracking!AB:AB,"Y")</f>
        <v/>
      </c>
      <c r="BH12" s="10">
        <f>COUNTIFS(Tracking!Z:Z,A12&amp;C12,Tracking!C:C,"4v5")</f>
        <v/>
      </c>
      <c r="BI12" s="10">
        <f>COUNTIFS(Tracking!AA:AA,A12&amp;C12,Tracking!C:C,"5v4",Tracking!Y:Y,"D")+COUNTIFS(Tracking!AA:AA,A12&amp;C12,Tracking!C:C,"5v4",Tracking!Y:Y,"F")</f>
        <v/>
      </c>
      <c r="BJ12" s="10">
        <f>COUNTIFS(Tracking!E:E,A12,Tracking!D:D,C12,Tracking!C:C,"5v4")</f>
        <v/>
      </c>
      <c r="BK12" s="10">
        <f>COUNTIFS(Tracking!G:G,A12,Tracking!D:D,C12,Tracking!C:C,"5v4")+COUNTIFS(Tracking!H:H,A12,Tracking!D:D,C12,Tracking!C:C,"5v4")+COUNTIFS(Tracking!I:I,A12,Tracking!D:D,C12,Tracking!C:C,"5v4")</f>
        <v/>
      </c>
      <c r="BL12" s="10">
        <f>COUNTIFS(Tracking!G:G,A12,Tracking!D:D,C12,Tracking!C:C,"5v4")</f>
        <v/>
      </c>
      <c r="BM12" s="10">
        <f>COUNTIFS(Tracking!E:E,A12,Tracking!D:D,C12,Tracking!C:C,"5v4",Tracking!M:M,"Y")</f>
        <v/>
      </c>
      <c r="BN12" s="10">
        <f>COUNTIFS(Tracking!G:G,A12,Tracking!D:D,C12,Tracking!C:C,"5v4",Tracking!M:M,"Y")</f>
        <v/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/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/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/>
      </c>
      <c r="BR12" s="12">
        <f>COUNTIFS(Tracking!E:E,A12,Tracking!D:D,C12,Tracking!C:C,"5v5",Tracking!F:F,"o")</f>
        <v/>
      </c>
      <c r="BS12" s="12">
        <f>COUNTIFS(Tracking!E:E,A12,Tracking!D:D,C12,Tracking!C:C,"5v5",Tracking!F:F,"r")</f>
        <v/>
      </c>
      <c r="BT12" s="12">
        <f>COUNTIFS(Tracking!E:E,A12,Tracking!D:D,C12,Tracking!C:C,"5v5",Tracking!F:F,"t")</f>
        <v/>
      </c>
      <c r="BU12" s="12">
        <f>COUNTIFS(Tracking!G:G,A12,Tracking!D:D,C12,Tracking!C:C,"5v5",Tracking!F:F,"o")</f>
        <v/>
      </c>
      <c r="BV12" s="12">
        <f>COUNTIFS(Tracking!E:E,A11,Tracking!D:D,C12,Tracking!C:C,"5v5",Tracking!F:F,"r")</f>
        <v/>
      </c>
      <c r="BW12" s="12">
        <f>COUNTIFS(Tracking!G:G,A12,Tracking!D:D,C12,Tracking!C:C,"5v5",Tracking!F:F,"T")</f>
        <v/>
      </c>
      <c r="BX12" s="12">
        <f>COUNTIFS(Tracking!E:E,A12,Tracking!D:D,C12,Tracking!C:C,"5v5",Tracking!Q:Q,"OZ")</f>
        <v/>
      </c>
      <c r="BY12" s="12">
        <f>COUNTIFS(Tracking!E:E,A12,Tracking!D:D,C12,Tracking!C:C,"5v5",Tracking!Q:Q,"nZ")</f>
        <v/>
      </c>
      <c r="BZ12" s="12">
        <f>COUNTIFS(Tracking!E:E,A12,Tracking!D:D,C12,Tracking!C:C,"5v5",Tracking!Q:Q,"dZ")</f>
        <v/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/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/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/>
      </c>
      <c r="CD12" s="12">
        <f>COUNTIFS(Tracking!E:E,A12,Tracking!D:D,C12,Tracking!C:C,"5v5",Tracking!R:R,"dz exit")</f>
        <v/>
      </c>
      <c r="CE12" s="12">
        <f>COUNTIFS(Tracking!E:E,A12,Tracking!D:D,C12,Tracking!C:C,"5v5",Tracking!R:R,"dz counter")</f>
        <v/>
      </c>
      <c r="CF12" s="12">
        <f>COUNTIFS(Tracking!E:E,A12,Tracking!D:D,C12,Tracking!C:C,"5v5",Tracking!R:R,"nz turnover")</f>
        <v/>
      </c>
      <c r="CG12" s="12">
        <f>COUNTIFS(Tracking!E:E,A12,Tracking!D:D,C12,Tracking!C:C,"5v5",Tracking!R:R,"nz regroup")</f>
        <v/>
      </c>
      <c r="CH12" s="12">
        <f>COUNTIFS(Tracking!E:E,A12,Tracking!D:D,C12,Tracking!C:C,"5v5",Tracking!R:R,"nz reload")</f>
        <v/>
      </c>
      <c r="CI12" s="12">
        <f>COUNTIFS(Tracking!E:E,A12,Tracking!D:D,C12,Tracking!C:C,"5v5",Tracking!R:R,"controlled breakout")</f>
        <v/>
      </c>
      <c r="CJ12" s="2">
        <f>CK12+CL12+CM12+CN12+CO12+CP12</f>
        <v/>
      </c>
      <c r="CK12" s="2">
        <f>(0.075*H12)+(0.07*L12)+(0.055*M12)+(0.055*N12)+(0.095*J12)+(0.09*O12)+(0.05*P12)+(0.05*R12)+(0.05*S12)+(0.05*AB12)</f>
        <v/>
      </c>
      <c r="CL12" s="2">
        <f>(0.045*AD12)-(0.045*AE12)+(0.055*AH12)+(0.035*AI12)</f>
        <v/>
      </c>
      <c r="CM12" s="2">
        <f>(0.015*(AY12-AZ12))+(0.035*BA12)-(0.015*BB12)-(0.025*BC12)+(0.015*(AY12-(BD12+BC12)))</f>
        <v/>
      </c>
      <c r="CN12" s="2">
        <f>(0.035*AN12)+(0.025*AS12)-(0.035*AT12)-(0.035*AV12)</f>
        <v/>
      </c>
      <c r="CO12" s="2">
        <f>(0.015*AJ12)+(0.045*AG12)</f>
        <v/>
      </c>
      <c r="CP12" s="2">
        <f>(0.055*BM12)+(0.055*BN12)+(0.035*BO12)+(0.035*BQ12)+(0.055*BH12)+(0.035*BI12)+(0.035*BG12)</f>
        <v/>
      </c>
      <c r="CQ12" s="2">
        <f>CK12+CL12+CM12+CN12+CO12</f>
        <v/>
      </c>
    </row>
    <row r="13">
      <c r="A13" s="8" t="n">
        <v>11</v>
      </c>
      <c r="B13" s="8" t="inlineStr">
        <is>
          <t>Nathan Bastian</t>
        </is>
      </c>
      <c r="C13" s="8" t="inlineStr">
        <is>
          <t>DAL</t>
        </is>
      </c>
      <c r="D13" s="8" t="inlineStr">
        <is>
          <t>R</t>
        </is>
      </c>
      <c r="E13" s="8" t="n">
        <v>8.15</v>
      </c>
      <c r="F13" s="8" t="inlineStr">
        <is>
          <t>2025-26</t>
        </is>
      </c>
      <c r="G13" s="19" t="inlineStr">
        <is>
          <t>3/6/2026 DAL vs. COL</t>
        </is>
      </c>
      <c r="H13" s="9">
        <f>COUNTIFS(Tracking!E:E,A13,Tracking!D:D,C13,Tracking!C:C,"5v5")</f>
        <v/>
      </c>
      <c r="I13" s="9">
        <f>COUNTIFS(Tracking!E:E,A13,Tracking!D:D,C13,Tracking!N:N,"y",Tracking!C:C,"5v5")</f>
        <v/>
      </c>
      <c r="J13" s="9">
        <f>COUNTIFS(Tracking!E:E,A13,Tracking!D:D,C13,Tracking!M:M,"y",Tracking!C:C,"5v5")</f>
        <v/>
      </c>
      <c r="K13" s="9">
        <f>L13+M13+N13</f>
        <v/>
      </c>
      <c r="L13" s="9">
        <f>COUNTIFS(Tracking!G:G,A13,Tracking!D:D,C13,Tracking!C:C,"5v5")</f>
        <v/>
      </c>
      <c r="M13" s="9">
        <f>COUNTIFS(Tracking!H:H,A13,Tracking!D:D,C13,Tracking!C:C,"5v5")</f>
        <v/>
      </c>
      <c r="N13" s="9">
        <f>COUNTIFS(Tracking!I:I,A13,Tracking!D:D,C13,Tracking!C:C,"5v5")</f>
        <v/>
      </c>
      <c r="O13" s="9">
        <f>COUNTIFS(Tracking!G:G,A13,Tracking!D:D,C13,Tracking!C:C,"5v5",Tracking!M:M,"y")</f>
        <v/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/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/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/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/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/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/>
      </c>
      <c r="V13" s="9">
        <f>COUNTIFS(Tracking!E:E,A13,Tracking!D:D,C13,Tracking!C:C,"5v5",Tracking!P:P,"r")</f>
        <v/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/>
      </c>
      <c r="X13" s="9">
        <f>COUNTIFS(Tracking!E:E,A13,Tracking!D:D,C13,Tracking!C:C,"5v5",Tracking!P:P,"f")</f>
        <v/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/>
      </c>
      <c r="Z13" s="9">
        <f>COUNTIFS(Tracking!E:E,A13,Tracking!D:D,C13,Tracking!C:C,"5v5",Tracking!P:P,"c")</f>
        <v/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/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/>
      </c>
      <c r="AC13" s="11">
        <f>COUNTIFS(Tracking!Z:Z,A13&amp;C13,Tracking!C:C,"5v5")-AE13</f>
        <v/>
      </c>
      <c r="AD13" s="11">
        <f>COUNTIFS(Tracking!Z:Z,A13&amp;C13,Tracking!C:C,"5v5",Tracking!Y:Y,"C")</f>
        <v/>
      </c>
      <c r="AE13" s="11">
        <f>COUNTIFS(Tracking!Z:Z,A13&amp;C13,Tracking!C:C,"5v5",Tracking!Y:Y,"F")</f>
        <v/>
      </c>
      <c r="AF13" s="11">
        <f>COUNTIFS(Tracking!Z:Z,A13&amp;C13,Tracking!C:C,"5v5",Tracking!Y:Y,"C",Tracking!AB:AB,"Y")</f>
        <v/>
      </c>
      <c r="AG13" s="11">
        <f>COUNTIFS(Tracking!AD:AD,A13&amp;C13,Tracking!C:C,"5v5")</f>
        <v/>
      </c>
      <c r="AH13" s="11">
        <f>COUNTIFS(Tracking!Z:Z,A13&amp;C13,Tracking!C:C,"5v5",Tracking!Y:Y,"C",Tracking!AE:AE,"Y")</f>
        <v/>
      </c>
      <c r="AI13" s="11">
        <f>COUNTIFS(Tracking!Z:Z,A13&amp;C13,Tracking!C:C,"5v5",Tracking!Y:Y,"D",Tracking!AE:AE,"Y")</f>
        <v/>
      </c>
      <c r="AJ13" s="11">
        <f>COUNTIFS(Tracking!AH:AH,A13&amp;C13)</f>
        <v/>
      </c>
      <c r="AK13" s="5">
        <f>COUNTIFS(Tracking!AI:AI,A13&amp;C13,Tracking!C:C,"5v5")+AL13</f>
        <v/>
      </c>
      <c r="AL13" s="5">
        <f>COUNTIFS(Tracking!AF:AF,A13&amp;C13,Tracking!C:C,"5v5")-AT13</f>
        <v/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/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/>
      </c>
      <c r="AO13" s="5">
        <f>COUNTIFS(Tracking!AF:AF,A13&amp;C13,Tracking!C:C,"5v5",Tracking!AG:AG,"CEX")+COUNTIFS(Tracking!AI:AI,A13&amp;C13,Tracking!C:C,"5v5",Tracking!AJ:AJ,"CEX")</f>
        <v/>
      </c>
      <c r="AP13" s="5">
        <f>COUNTIFS(Tracking!AF:AF,A13&amp;C13,Tracking!C:C,"5v5",Tracking!AG:AG,"PEX")</f>
        <v/>
      </c>
      <c r="AQ13" s="5">
        <f>COUNTIFS(Tracking!AF:AF,A13&amp;C13,Tracking!C:C,"5v5",Tracking!AG:AG,"CLE")+COUNTIFS(Tracking!AI:AI,A13&amp;C13,Tracking!C:C,"5v5",Tracking!AJ:AJ,"CLE")</f>
        <v/>
      </c>
      <c r="AR13" s="5">
        <f>COUNTIFS(Tracking!AF:AF,A13&amp;C13,Tracking!C:C,"5v5",Tracking!AG:AG,"MEX")</f>
        <v/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/>
      </c>
      <c r="AT13" s="5">
        <f>COUNTIFS(Tracking!AF:AF,A13&amp;C13,Tracking!C:C,"5v5",Tracking!AG:AG,"BOT")+COUNTIFS(Tracking!AF:AF,A13&amp;C13,Tracking!C:C,"5v5",Tracking!AG:AG,"FEX")</f>
        <v/>
      </c>
      <c r="AU13" s="5">
        <f>COUNTIFS(Tracking!AF:AF,A13&amp;C13,Tracking!C:C,"5v5",Tracking!AG:AG,"EXC")</f>
        <v/>
      </c>
      <c r="AV13" s="5">
        <f>COUNTIFS(Tracking!AF:AF,A13&amp;C13,Tracking!C:C,"5v5",Tracking!AG:AG,"FEX")+COUNTIFS(Tracking!AI:AI,A13&amp;C13,Tracking!C:C,"5v5",Tracking!AJ:AJ,"FEX")</f>
        <v/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/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/>
      </c>
      <c r="AY13" s="1">
        <f>COUNTIFS(Tracking!AA:AA,A13&amp;C13,Tracking!C:C,"5v5")</f>
        <v/>
      </c>
      <c r="AZ13" s="1">
        <f>COUNTIFS(Tracking!AA:AA,A13&amp;C13,Tracking!C:C,"5v5",Tracking!Y:Y,"C")</f>
        <v/>
      </c>
      <c r="BA13" s="1">
        <f>COUNTIFS(Tracking!AA:AA,A13&amp;C13,Tracking!C:C,"5v5",Tracking!Y:Y,"F")</f>
        <v/>
      </c>
      <c r="BB13" s="1">
        <f>COUNTIFS(Tracking!AA:AA,A13&amp;C13,Tracking!C:C,"5v5",Tracking!AB:AB,"Y")</f>
        <v/>
      </c>
      <c r="BC13" s="1">
        <f>COUNTIFS(Tracking!AA:AA,A13&amp;C13,Tracking!C:C,"5v5",Tracking!Y:Y,"C",Tracking!AE:AE,"Y")</f>
        <v/>
      </c>
      <c r="BD13" s="1">
        <f>COUNTIFS(Tracking!AA:AA,A13&amp;C13,Tracking!C:C,"5v5",Tracking!Y:Y,"D",Tracking!AE:AE,"Y")</f>
        <v/>
      </c>
      <c r="BE13" s="10">
        <f>COUNTIFS(Tracking!Z:Z,A13&amp;C13,Tracking!C:C,"5v4")</f>
        <v/>
      </c>
      <c r="BF13" s="10">
        <f>COUNTIFS(Tracking!Z:Z,A13&amp;C13,Tracking!C:C,"5v4",Tracking!Y:Y,"C")</f>
        <v/>
      </c>
      <c r="BG13" s="10">
        <f>COUNTIFS(Tracking!Z:Z,A13&amp;C13,Tracking!C:C,"5v4",Tracking!AB:AB,"Y")</f>
        <v/>
      </c>
      <c r="BH13" s="10">
        <f>COUNTIFS(Tracking!Z:Z,A13&amp;C13,Tracking!C:C,"4v5")</f>
        <v/>
      </c>
      <c r="BI13" s="10">
        <f>COUNTIFS(Tracking!AA:AA,A13&amp;C13,Tracking!C:C,"5v4",Tracking!Y:Y,"D")+COUNTIFS(Tracking!AA:AA,A13&amp;C13,Tracking!C:C,"5v4",Tracking!Y:Y,"F")</f>
        <v/>
      </c>
      <c r="BJ13" s="10">
        <f>COUNTIFS(Tracking!E:E,A13,Tracking!D:D,C13,Tracking!C:C,"5v4")</f>
        <v/>
      </c>
      <c r="BK13" s="10">
        <f>COUNTIFS(Tracking!G:G,A13,Tracking!D:D,C13,Tracking!C:C,"5v4")+COUNTIFS(Tracking!H:H,A13,Tracking!D:D,C13,Tracking!C:C,"5v4")+COUNTIFS(Tracking!I:I,A13,Tracking!D:D,C13,Tracking!C:C,"5v4")</f>
        <v/>
      </c>
      <c r="BL13" s="10">
        <f>COUNTIFS(Tracking!G:G,A13,Tracking!D:D,C13,Tracking!C:C,"5v4")</f>
        <v/>
      </c>
      <c r="BM13" s="10">
        <f>COUNTIFS(Tracking!E:E,A13,Tracking!D:D,C13,Tracking!C:C,"5v4",Tracking!M:M,"Y")</f>
        <v/>
      </c>
      <c r="BN13" s="10">
        <f>COUNTIFS(Tracking!G:G,A13,Tracking!D:D,C13,Tracking!C:C,"5v4",Tracking!M:M,"Y")</f>
        <v/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/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/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/>
      </c>
      <c r="BR13" s="12">
        <f>COUNTIFS(Tracking!E:E,A13,Tracking!D:D,C13,Tracking!C:C,"5v5",Tracking!F:F,"o")</f>
        <v/>
      </c>
      <c r="BS13" s="12">
        <f>COUNTIFS(Tracking!E:E,A13,Tracking!D:D,C13,Tracking!C:C,"5v5",Tracking!F:F,"r")</f>
        <v/>
      </c>
      <c r="BT13" s="12">
        <f>COUNTIFS(Tracking!E:E,A13,Tracking!D:D,C13,Tracking!C:C,"5v5",Tracking!F:F,"t")</f>
        <v/>
      </c>
      <c r="BU13" s="12">
        <f>COUNTIFS(Tracking!G:G,A13,Tracking!D:D,C13,Tracking!C:C,"5v5",Tracking!F:F,"o")</f>
        <v/>
      </c>
      <c r="BV13" s="12">
        <f>COUNTIFS(Tracking!E:E,A12,Tracking!D:D,C13,Tracking!C:C,"5v5",Tracking!F:F,"r")</f>
        <v/>
      </c>
      <c r="BW13" s="12">
        <f>COUNTIFS(Tracking!G:G,A13,Tracking!D:D,C13,Tracking!C:C,"5v5",Tracking!F:F,"T")</f>
        <v/>
      </c>
      <c r="BX13" s="12">
        <f>COUNTIFS(Tracking!E:E,A13,Tracking!D:D,C13,Tracking!C:C,"5v5",Tracking!Q:Q,"OZ")</f>
        <v/>
      </c>
      <c r="BY13" s="12">
        <f>COUNTIFS(Tracking!E:E,A13,Tracking!D:D,C13,Tracking!C:C,"5v5",Tracking!Q:Q,"nZ")</f>
        <v/>
      </c>
      <c r="BZ13" s="12">
        <f>COUNTIFS(Tracking!E:E,A13,Tracking!D:D,C13,Tracking!C:C,"5v5",Tracking!Q:Q,"dZ")</f>
        <v/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/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/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/>
      </c>
      <c r="CD13" s="12">
        <f>COUNTIFS(Tracking!E:E,A13,Tracking!D:D,C13,Tracking!C:C,"5v5",Tracking!R:R,"dz exit")</f>
        <v/>
      </c>
      <c r="CE13" s="12">
        <f>COUNTIFS(Tracking!E:E,A13,Tracking!D:D,C13,Tracking!C:C,"5v5",Tracking!R:R,"dz counter")</f>
        <v/>
      </c>
      <c r="CF13" s="12">
        <f>COUNTIFS(Tracking!E:E,A13,Tracking!D:D,C13,Tracking!C:C,"5v5",Tracking!R:R,"nz turnover")</f>
        <v/>
      </c>
      <c r="CG13" s="12">
        <f>COUNTIFS(Tracking!E:E,A13,Tracking!D:D,C13,Tracking!C:C,"5v5",Tracking!R:R,"nz regroup")</f>
        <v/>
      </c>
      <c r="CH13" s="12">
        <f>COUNTIFS(Tracking!E:E,A13,Tracking!D:D,C13,Tracking!C:C,"5v5",Tracking!R:R,"nz reload")</f>
        <v/>
      </c>
      <c r="CI13" s="12">
        <f>COUNTIFS(Tracking!E:E,A13,Tracking!D:D,C13,Tracking!C:C,"5v5",Tracking!R:R,"controlled breakout")</f>
        <v/>
      </c>
      <c r="CJ13" s="2">
        <f>CK13+CL13+CM13+CN13+CO13+CP13</f>
        <v/>
      </c>
      <c r="CK13" s="2">
        <f>(0.075*H13)+(0.07*L13)+(0.055*M13)+(0.055*N13)+(0.095*J13)+(0.09*O13)+(0.05*P13)+(0.05*R13)+(0.05*S13)+(0.05*AB13)</f>
        <v/>
      </c>
      <c r="CL13" s="2">
        <f>(0.045*AD13)-(0.045*AE13)+(0.055*AH13)+(0.035*AI13)</f>
        <v/>
      </c>
      <c r="CM13" s="2">
        <f>(0.015*(AY13-AZ13))+(0.035*BA13)-(0.015*BB13)-(0.025*BC13)+(0.015*(AY13-(BD13+BC13)))</f>
        <v/>
      </c>
      <c r="CN13" s="2">
        <f>(0.035*AN13)+(0.025*AS13)-(0.035*AT13)-(0.035*AV13)</f>
        <v/>
      </c>
      <c r="CO13" s="2">
        <f>(0.015*AJ13)+(0.045*AG13)</f>
        <v/>
      </c>
      <c r="CP13" s="2">
        <f>(0.055*BM13)+(0.055*BN13)+(0.035*BO13)+(0.035*BQ13)+(0.055*BH13)+(0.035*BI13)+(0.035*BG13)</f>
        <v/>
      </c>
      <c r="CQ13" s="2">
        <f>CK13+CL13+CM13+CN13+CO13</f>
        <v/>
      </c>
    </row>
    <row r="14">
      <c r="A14" s="8" t="n">
        <v>5</v>
      </c>
      <c r="B14" s="8" t="inlineStr">
        <is>
          <t>Nils Lundkvist</t>
        </is>
      </c>
      <c r="C14" s="8" t="inlineStr">
        <is>
          <t>DAL</t>
        </is>
      </c>
      <c r="D14" s="8" t="inlineStr">
        <is>
          <t>D</t>
        </is>
      </c>
      <c r="E14" s="8" t="n">
        <v>15.216666666667</v>
      </c>
      <c r="F14" s="8" t="inlineStr">
        <is>
          <t>2025-26</t>
        </is>
      </c>
      <c r="G14" s="19" t="inlineStr">
        <is>
          <t>3/6/2026 DAL vs. COL</t>
        </is>
      </c>
      <c r="H14" s="9">
        <f>COUNTIFS(Tracking!E:E,A14,Tracking!D:D,C14,Tracking!C:C,"5v5")</f>
        <v/>
      </c>
      <c r="I14" s="9">
        <f>COUNTIFS(Tracking!E:E,A14,Tracking!D:D,C14,Tracking!N:N,"y",Tracking!C:C,"5v5")</f>
        <v/>
      </c>
      <c r="J14" s="9">
        <f>COUNTIFS(Tracking!E:E,A14,Tracking!D:D,C14,Tracking!M:M,"y",Tracking!C:C,"5v5")</f>
        <v/>
      </c>
      <c r="K14" s="9">
        <f>L14+M14+N14</f>
        <v/>
      </c>
      <c r="L14" s="9">
        <f>COUNTIFS(Tracking!G:G,A14,Tracking!D:D,C14,Tracking!C:C,"5v5")</f>
        <v/>
      </c>
      <c r="M14" s="9">
        <f>COUNTIFS(Tracking!H:H,A14,Tracking!D:D,C14,Tracking!C:C,"5v5")</f>
        <v/>
      </c>
      <c r="N14" s="9">
        <f>COUNTIFS(Tracking!I:I,A14,Tracking!D:D,C14,Tracking!C:C,"5v5")</f>
        <v/>
      </c>
      <c r="O14" s="9">
        <f>COUNTIFS(Tracking!G:G,A14,Tracking!D:D,C14,Tracking!C:C,"5v5",Tracking!M:M,"y")</f>
        <v/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/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/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/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/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/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/>
      </c>
      <c r="V14" s="9">
        <f>COUNTIFS(Tracking!E:E,A14,Tracking!D:D,C14,Tracking!C:C,"5v5",Tracking!P:P,"r")</f>
        <v/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/>
      </c>
      <c r="X14" s="9">
        <f>COUNTIFS(Tracking!E:E,A14,Tracking!D:D,C14,Tracking!C:C,"5v5",Tracking!P:P,"f")</f>
        <v/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/>
      </c>
      <c r="Z14" s="9">
        <f>COUNTIFS(Tracking!E:E,A14,Tracking!D:D,C14,Tracking!C:C,"5v5",Tracking!P:P,"c")</f>
        <v/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/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/>
      </c>
      <c r="AC14" s="11">
        <f>COUNTIFS(Tracking!Z:Z,A14&amp;C14,Tracking!C:C,"5v5")-AE14</f>
        <v/>
      </c>
      <c r="AD14" s="11">
        <f>COUNTIFS(Tracking!Z:Z,A14&amp;C14,Tracking!C:C,"5v5",Tracking!Y:Y,"C")</f>
        <v/>
      </c>
      <c r="AE14" s="11">
        <f>COUNTIFS(Tracking!Z:Z,A14&amp;C14,Tracking!C:C,"5v5",Tracking!Y:Y,"F")</f>
        <v/>
      </c>
      <c r="AF14" s="11">
        <f>COUNTIFS(Tracking!Z:Z,A14&amp;C14,Tracking!C:C,"5v5",Tracking!Y:Y,"C",Tracking!AB:AB,"Y")</f>
        <v/>
      </c>
      <c r="AG14" s="11">
        <f>COUNTIFS(Tracking!AD:AD,A14&amp;C14,Tracking!C:C,"5v5")</f>
        <v/>
      </c>
      <c r="AH14" s="11">
        <f>COUNTIFS(Tracking!Z:Z,A14&amp;C14,Tracking!C:C,"5v5",Tracking!Y:Y,"C",Tracking!AE:AE,"Y")</f>
        <v/>
      </c>
      <c r="AI14" s="11">
        <f>COUNTIFS(Tracking!Z:Z,A14&amp;C14,Tracking!C:C,"5v5",Tracking!Y:Y,"D",Tracking!AE:AE,"Y")</f>
        <v/>
      </c>
      <c r="AJ14" s="11">
        <f>COUNTIFS(Tracking!AH:AH,A14&amp;C14)</f>
        <v/>
      </c>
      <c r="AK14" s="5">
        <f>COUNTIFS(Tracking!AI:AI,A14&amp;C14,Tracking!C:C,"5v5")+AL14</f>
        <v/>
      </c>
      <c r="AL14" s="5">
        <f>COUNTIFS(Tracking!AF:AF,A14&amp;C14,Tracking!C:C,"5v5")-AT14</f>
        <v/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/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/>
      </c>
      <c r="AO14" s="5">
        <f>COUNTIFS(Tracking!AF:AF,A14&amp;C14,Tracking!C:C,"5v5",Tracking!AG:AG,"CEX")+COUNTIFS(Tracking!AI:AI,A14&amp;C14,Tracking!C:C,"5v5",Tracking!AJ:AJ,"CEX")</f>
        <v/>
      </c>
      <c r="AP14" s="5">
        <f>COUNTIFS(Tracking!AF:AF,A14&amp;C14,Tracking!C:C,"5v5",Tracking!AG:AG,"PEX")</f>
        <v/>
      </c>
      <c r="AQ14" s="5">
        <f>COUNTIFS(Tracking!AF:AF,A14&amp;C14,Tracking!C:C,"5v5",Tracking!AG:AG,"CLE")+COUNTIFS(Tracking!AI:AI,A14&amp;C14,Tracking!C:C,"5v5",Tracking!AJ:AJ,"CLE")</f>
        <v/>
      </c>
      <c r="AR14" s="5">
        <f>COUNTIFS(Tracking!AF:AF,A14&amp;C14,Tracking!C:C,"5v5",Tracking!AG:AG,"MEX")</f>
        <v/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/>
      </c>
      <c r="AT14" s="5">
        <f>COUNTIFS(Tracking!AF:AF,A14&amp;C14,Tracking!C:C,"5v5",Tracking!AG:AG,"BOT")+COUNTIFS(Tracking!AF:AF,A14&amp;C14,Tracking!C:C,"5v5",Tracking!AG:AG,"FEX")</f>
        <v/>
      </c>
      <c r="AU14" s="5">
        <f>COUNTIFS(Tracking!AF:AF,A14&amp;C14,Tracking!C:C,"5v5",Tracking!AG:AG,"EXC")</f>
        <v/>
      </c>
      <c r="AV14" s="5">
        <f>COUNTIFS(Tracking!AF:AF,A14&amp;C14,Tracking!C:C,"5v5",Tracking!AG:AG,"FEX")+COUNTIFS(Tracking!AI:AI,A14&amp;C14,Tracking!C:C,"5v5",Tracking!AJ:AJ,"FEX")</f>
        <v/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/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/>
      </c>
      <c r="AY14" s="1">
        <f>COUNTIFS(Tracking!AA:AA,A14&amp;C14,Tracking!C:C,"5v5")</f>
        <v/>
      </c>
      <c r="AZ14" s="1">
        <f>COUNTIFS(Tracking!AA:AA,A14&amp;C14,Tracking!C:C,"5v5",Tracking!Y:Y,"C")</f>
        <v/>
      </c>
      <c r="BA14" s="1">
        <f>COUNTIFS(Tracking!AA:AA,A14&amp;C14,Tracking!C:C,"5v5",Tracking!Y:Y,"F")</f>
        <v/>
      </c>
      <c r="BB14" s="1">
        <f>COUNTIFS(Tracking!AA:AA,A14&amp;C14,Tracking!C:C,"5v5",Tracking!AB:AB,"Y")</f>
        <v/>
      </c>
      <c r="BC14" s="1">
        <f>COUNTIFS(Tracking!AA:AA,A14&amp;C14,Tracking!C:C,"5v5",Tracking!Y:Y,"C",Tracking!AE:AE,"Y")</f>
        <v/>
      </c>
      <c r="BD14" s="1">
        <f>COUNTIFS(Tracking!AA:AA,A14&amp;C14,Tracking!C:C,"5v5",Tracking!Y:Y,"D",Tracking!AE:AE,"Y")</f>
        <v/>
      </c>
      <c r="BE14" s="10">
        <f>COUNTIFS(Tracking!Z:Z,A14&amp;C14,Tracking!C:C,"5v4")</f>
        <v/>
      </c>
      <c r="BF14" s="10">
        <f>COUNTIFS(Tracking!Z:Z,A14&amp;C14,Tracking!C:C,"5v4",Tracking!Y:Y,"C")</f>
        <v/>
      </c>
      <c r="BG14" s="10">
        <f>COUNTIFS(Tracking!Z:Z,A14&amp;C14,Tracking!C:C,"5v4",Tracking!AB:AB,"Y")</f>
        <v/>
      </c>
      <c r="BH14" s="10">
        <f>COUNTIFS(Tracking!Z:Z,A14&amp;C14,Tracking!C:C,"4v5")</f>
        <v/>
      </c>
      <c r="BI14" s="10">
        <f>COUNTIFS(Tracking!AA:AA,A14&amp;C14,Tracking!C:C,"5v4",Tracking!Y:Y,"D")+COUNTIFS(Tracking!AA:AA,A14&amp;C14,Tracking!C:C,"5v4",Tracking!Y:Y,"F")</f>
        <v/>
      </c>
      <c r="BJ14" s="10">
        <f>COUNTIFS(Tracking!E:E,A14,Tracking!D:D,C14,Tracking!C:C,"5v4")</f>
        <v/>
      </c>
      <c r="BK14" s="10">
        <f>COUNTIFS(Tracking!G:G,A14,Tracking!D:D,C14,Tracking!C:C,"5v4")+COUNTIFS(Tracking!H:H,A14,Tracking!D:D,C14,Tracking!C:C,"5v4")+COUNTIFS(Tracking!I:I,A14,Tracking!D:D,C14,Tracking!C:C,"5v4")</f>
        <v/>
      </c>
      <c r="BL14" s="10">
        <f>COUNTIFS(Tracking!G:G,A14,Tracking!D:D,C14,Tracking!C:C,"5v4")</f>
        <v/>
      </c>
      <c r="BM14" s="10">
        <f>COUNTIFS(Tracking!E:E,A14,Tracking!D:D,C14,Tracking!C:C,"5v4",Tracking!M:M,"Y")</f>
        <v/>
      </c>
      <c r="BN14" s="10">
        <f>COUNTIFS(Tracking!G:G,A14,Tracking!D:D,C14,Tracking!C:C,"5v4",Tracking!M:M,"Y")</f>
        <v/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/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/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/>
      </c>
      <c r="BR14" s="12">
        <f>COUNTIFS(Tracking!E:E,A14,Tracking!D:D,C14,Tracking!C:C,"5v5",Tracking!F:F,"o")</f>
        <v/>
      </c>
      <c r="BS14" s="12">
        <f>COUNTIFS(Tracking!E:E,A14,Tracking!D:D,C14,Tracking!C:C,"5v5",Tracking!F:F,"r")</f>
        <v/>
      </c>
      <c r="BT14" s="12">
        <f>COUNTIFS(Tracking!E:E,A14,Tracking!D:D,C14,Tracking!C:C,"5v5",Tracking!F:F,"t")</f>
        <v/>
      </c>
      <c r="BU14" s="12">
        <f>COUNTIFS(Tracking!G:G,A14,Tracking!D:D,C14,Tracking!C:C,"5v5",Tracking!F:F,"o")</f>
        <v/>
      </c>
      <c r="BV14" s="12">
        <f>COUNTIFS(Tracking!E:E,A13,Tracking!D:D,C14,Tracking!C:C,"5v5",Tracking!F:F,"r")</f>
        <v/>
      </c>
      <c r="BW14" s="12">
        <f>COUNTIFS(Tracking!G:G,A14,Tracking!D:D,C14,Tracking!C:C,"5v5",Tracking!F:F,"T")</f>
        <v/>
      </c>
      <c r="BX14" s="12">
        <f>COUNTIFS(Tracking!E:E,A14,Tracking!D:D,C14,Tracking!C:C,"5v5",Tracking!Q:Q,"OZ")</f>
        <v/>
      </c>
      <c r="BY14" s="12">
        <f>COUNTIFS(Tracking!E:E,A14,Tracking!D:D,C14,Tracking!C:C,"5v5",Tracking!Q:Q,"nZ")</f>
        <v/>
      </c>
      <c r="BZ14" s="12">
        <f>COUNTIFS(Tracking!E:E,A14,Tracking!D:D,C14,Tracking!C:C,"5v5",Tracking!Q:Q,"dZ")</f>
        <v/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/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/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/>
      </c>
      <c r="CD14" s="12">
        <f>COUNTIFS(Tracking!E:E,A14,Tracking!D:D,C14,Tracking!C:C,"5v5",Tracking!R:R,"dz exit")</f>
        <v/>
      </c>
      <c r="CE14" s="12">
        <f>COUNTIFS(Tracking!E:E,A14,Tracking!D:D,C14,Tracking!C:C,"5v5",Tracking!R:R,"dz counter")</f>
        <v/>
      </c>
      <c r="CF14" s="12">
        <f>COUNTIFS(Tracking!E:E,A14,Tracking!D:D,C14,Tracking!C:C,"5v5",Tracking!R:R,"nz turnover")</f>
        <v/>
      </c>
      <c r="CG14" s="12">
        <f>COUNTIFS(Tracking!E:E,A14,Tracking!D:D,C14,Tracking!C:C,"5v5",Tracking!R:R,"nz regroup")</f>
        <v/>
      </c>
      <c r="CH14" s="12">
        <f>COUNTIFS(Tracking!E:E,A14,Tracking!D:D,C14,Tracking!C:C,"5v5",Tracking!R:R,"nz reload")</f>
        <v/>
      </c>
      <c r="CI14" s="12">
        <f>COUNTIFS(Tracking!E:E,A14,Tracking!D:D,C14,Tracking!C:C,"5v5",Tracking!R:R,"controlled breakout")</f>
        <v/>
      </c>
      <c r="CJ14" s="2">
        <f>CK14+CL14+CM14+CN14+CO14+CP14</f>
        <v/>
      </c>
      <c r="CK14" s="2">
        <f>(0.075*H14)+(0.07*L14)+(0.055*M14)+(0.055*N14)+(0.095*J14)+(0.09*O14)+(0.05*P14)+(0.05*R14)+(0.05*S14)+(0.05*AB14)</f>
        <v/>
      </c>
      <c r="CL14" s="2">
        <f>(0.045*AD14)-(0.045*AE14)+(0.055*AH14)+(0.035*AI14)</f>
        <v/>
      </c>
      <c r="CM14" s="2">
        <f>(0.015*(AY14-AZ14))+(0.035*BA14)-(0.015*BB14)-(0.025*BC14)+(0.015*(AY14-(BD14+BC14)))</f>
        <v/>
      </c>
      <c r="CN14" s="2">
        <f>(0.035*AN14)+(0.025*AS14)-(0.035*AT14)-(0.035*AV14)</f>
        <v/>
      </c>
      <c r="CO14" s="2">
        <f>(0.015*AJ14)+(0.045*AG14)</f>
        <v/>
      </c>
      <c r="CP14" s="2">
        <f>(0.055*BM14)+(0.055*BN14)+(0.035*BO14)+(0.035*BQ14)+(0.055*BH14)+(0.035*BI14)+(0.035*BG14)</f>
        <v/>
      </c>
      <c r="CQ14" s="2">
        <f>CK14+CL14+CM14+CN14+CO14</f>
        <v/>
      </c>
    </row>
    <row r="15">
      <c r="A15" s="8" t="n">
        <v>10</v>
      </c>
      <c r="B15" s="8" t="inlineStr">
        <is>
          <t>Oskar Bäck</t>
        </is>
      </c>
      <c r="C15" s="8" t="inlineStr">
        <is>
          <t>DAL</t>
        </is>
      </c>
      <c r="D15" s="8" t="inlineStr">
        <is>
          <t>C</t>
        </is>
      </c>
      <c r="E15" s="8" t="n">
        <v>7.65</v>
      </c>
      <c r="F15" s="8" t="inlineStr">
        <is>
          <t>2025-26</t>
        </is>
      </c>
      <c r="G15" s="19" t="inlineStr">
        <is>
          <t>3/6/2026 DAL vs. COL</t>
        </is>
      </c>
      <c r="H15" s="9">
        <f>COUNTIFS(Tracking!E:E,A15,Tracking!D:D,C15,Tracking!C:C,"5v5")</f>
        <v/>
      </c>
      <c r="I15" s="9">
        <f>COUNTIFS(Tracking!E:E,A15,Tracking!D:D,C15,Tracking!N:N,"y",Tracking!C:C,"5v5")</f>
        <v/>
      </c>
      <c r="J15" s="9">
        <f>COUNTIFS(Tracking!E:E,A15,Tracking!D:D,C15,Tracking!M:M,"y",Tracking!C:C,"5v5")</f>
        <v/>
      </c>
      <c r="K15" s="9">
        <f>L15+M15+N15</f>
        <v/>
      </c>
      <c r="L15" s="9">
        <f>COUNTIFS(Tracking!G:G,A15,Tracking!D:D,C15,Tracking!C:C,"5v5")</f>
        <v/>
      </c>
      <c r="M15" s="9">
        <f>COUNTIFS(Tracking!H:H,A15,Tracking!D:D,C15,Tracking!C:C,"5v5")</f>
        <v/>
      </c>
      <c r="N15" s="9">
        <f>COUNTIFS(Tracking!I:I,A15,Tracking!D:D,C15,Tracking!C:C,"5v5")</f>
        <v/>
      </c>
      <c r="O15" s="9">
        <f>COUNTIFS(Tracking!G:G,A15,Tracking!D:D,C15,Tracking!C:C,"5v5",Tracking!M:M,"y")</f>
        <v/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/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/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/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/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/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/>
      </c>
      <c r="V15" s="9">
        <f>COUNTIFS(Tracking!E:E,A15,Tracking!D:D,C15,Tracking!C:C,"5v5",Tracking!P:P,"r")</f>
        <v/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/>
      </c>
      <c r="X15" s="9">
        <f>COUNTIFS(Tracking!E:E,A15,Tracking!D:D,C15,Tracking!C:C,"5v5",Tracking!P:P,"f")</f>
        <v/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/>
      </c>
      <c r="Z15" s="9">
        <f>COUNTIFS(Tracking!E:E,A15,Tracking!D:D,C15,Tracking!C:C,"5v5",Tracking!P:P,"c")</f>
        <v/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/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/>
      </c>
      <c r="AC15" s="11">
        <f>COUNTIFS(Tracking!Z:Z,A15&amp;C15,Tracking!C:C,"5v5")-AE15</f>
        <v/>
      </c>
      <c r="AD15" s="11">
        <f>COUNTIFS(Tracking!Z:Z,A15&amp;C15,Tracking!C:C,"5v5",Tracking!Y:Y,"C")</f>
        <v/>
      </c>
      <c r="AE15" s="11">
        <f>COUNTIFS(Tracking!Z:Z,A15&amp;C15,Tracking!C:C,"5v5",Tracking!Y:Y,"F")</f>
        <v/>
      </c>
      <c r="AF15" s="11">
        <f>COUNTIFS(Tracking!Z:Z,A15&amp;C15,Tracking!C:C,"5v5",Tracking!Y:Y,"C",Tracking!AB:AB,"Y")</f>
        <v/>
      </c>
      <c r="AG15" s="11">
        <f>COUNTIFS(Tracking!AD:AD,A15&amp;C15,Tracking!C:C,"5v5")</f>
        <v/>
      </c>
      <c r="AH15" s="11">
        <f>COUNTIFS(Tracking!Z:Z,A15&amp;C15,Tracking!C:C,"5v5",Tracking!Y:Y,"C",Tracking!AE:AE,"Y")</f>
        <v/>
      </c>
      <c r="AI15" s="11">
        <f>COUNTIFS(Tracking!Z:Z,A15&amp;C15,Tracking!C:C,"5v5",Tracking!Y:Y,"D",Tracking!AE:AE,"Y")</f>
        <v/>
      </c>
      <c r="AJ15" s="11">
        <f>COUNTIFS(Tracking!AH:AH,A15&amp;C15)</f>
        <v/>
      </c>
      <c r="AK15" s="5">
        <f>COUNTIFS(Tracking!AI:AI,A15&amp;C15,Tracking!C:C,"5v5")+AL15</f>
        <v/>
      </c>
      <c r="AL15" s="5">
        <f>COUNTIFS(Tracking!AF:AF,A15&amp;C15,Tracking!C:C,"5v5")-AT15</f>
        <v/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/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/>
      </c>
      <c r="AO15" s="5">
        <f>COUNTIFS(Tracking!AF:AF,A15&amp;C15,Tracking!C:C,"5v5",Tracking!AG:AG,"CEX")+COUNTIFS(Tracking!AI:AI,A15&amp;C15,Tracking!C:C,"5v5",Tracking!AJ:AJ,"CEX")</f>
        <v/>
      </c>
      <c r="AP15" s="5">
        <f>COUNTIFS(Tracking!AF:AF,A15&amp;C15,Tracking!C:C,"5v5",Tracking!AG:AG,"PEX")</f>
        <v/>
      </c>
      <c r="AQ15" s="5">
        <f>COUNTIFS(Tracking!AF:AF,A15&amp;C15,Tracking!C:C,"5v5",Tracking!AG:AG,"CLE")+COUNTIFS(Tracking!AI:AI,A15&amp;C15,Tracking!C:C,"5v5",Tracking!AJ:AJ,"CLE")</f>
        <v/>
      </c>
      <c r="AR15" s="5">
        <f>COUNTIFS(Tracking!AF:AF,A15&amp;C15,Tracking!C:C,"5v5",Tracking!AG:AG,"MEX")</f>
        <v/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/>
      </c>
      <c r="AT15" s="5">
        <f>COUNTIFS(Tracking!AF:AF,A15&amp;C15,Tracking!C:C,"5v5",Tracking!AG:AG,"BOT")+COUNTIFS(Tracking!AF:AF,A15&amp;C15,Tracking!C:C,"5v5",Tracking!AG:AG,"FEX")</f>
        <v/>
      </c>
      <c r="AU15" s="5">
        <f>COUNTIFS(Tracking!AF:AF,A15&amp;C15,Tracking!C:C,"5v5",Tracking!AG:AG,"EXC")</f>
        <v/>
      </c>
      <c r="AV15" s="5">
        <f>COUNTIFS(Tracking!AF:AF,A15&amp;C15,Tracking!C:C,"5v5",Tracking!AG:AG,"FEX")+COUNTIFS(Tracking!AI:AI,A15&amp;C15,Tracking!C:C,"5v5",Tracking!AJ:AJ,"FEX")</f>
        <v/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/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/>
      </c>
      <c r="AY15" s="1">
        <f>COUNTIFS(Tracking!AA:AA,A15&amp;C15,Tracking!C:C,"5v5")</f>
        <v/>
      </c>
      <c r="AZ15" s="1">
        <f>COUNTIFS(Tracking!AA:AA,A15&amp;C15,Tracking!C:C,"5v5",Tracking!Y:Y,"C")</f>
        <v/>
      </c>
      <c r="BA15" s="1">
        <f>COUNTIFS(Tracking!AA:AA,A15&amp;C15,Tracking!C:C,"5v5",Tracking!Y:Y,"F")</f>
        <v/>
      </c>
      <c r="BB15" s="1">
        <f>COUNTIFS(Tracking!AA:AA,A15&amp;C15,Tracking!C:C,"5v5",Tracking!AB:AB,"Y")</f>
        <v/>
      </c>
      <c r="BC15" s="1">
        <f>COUNTIFS(Tracking!AA:AA,A15&amp;C15,Tracking!C:C,"5v5",Tracking!Y:Y,"C",Tracking!AE:AE,"Y")</f>
        <v/>
      </c>
      <c r="BD15" s="1">
        <f>COUNTIFS(Tracking!AA:AA,A15&amp;C15,Tracking!C:C,"5v5",Tracking!Y:Y,"D",Tracking!AE:AE,"Y")</f>
        <v/>
      </c>
      <c r="BE15" s="10">
        <f>COUNTIFS(Tracking!Z:Z,A15&amp;C15,Tracking!C:C,"5v4")</f>
        <v/>
      </c>
      <c r="BF15" s="10">
        <f>COUNTIFS(Tracking!Z:Z,A15&amp;C15,Tracking!C:C,"5v4",Tracking!Y:Y,"C")</f>
        <v/>
      </c>
      <c r="BG15" s="10">
        <f>COUNTIFS(Tracking!Z:Z,A15&amp;C15,Tracking!C:C,"5v4",Tracking!AB:AB,"Y")</f>
        <v/>
      </c>
      <c r="BH15" s="10">
        <f>COUNTIFS(Tracking!Z:Z,A15&amp;C15,Tracking!C:C,"4v5")</f>
        <v/>
      </c>
      <c r="BI15" s="10">
        <f>COUNTIFS(Tracking!AA:AA,A15&amp;C15,Tracking!C:C,"5v4",Tracking!Y:Y,"D")+COUNTIFS(Tracking!AA:AA,A15&amp;C15,Tracking!C:C,"5v4",Tracking!Y:Y,"F")</f>
        <v/>
      </c>
      <c r="BJ15" s="10">
        <f>COUNTIFS(Tracking!E:E,A15,Tracking!D:D,C15,Tracking!C:C,"5v4")</f>
        <v/>
      </c>
      <c r="BK15" s="10">
        <f>COUNTIFS(Tracking!G:G,A15,Tracking!D:D,C15,Tracking!C:C,"5v4")+COUNTIFS(Tracking!H:H,A15,Tracking!D:D,C15,Tracking!C:C,"5v4")+COUNTIFS(Tracking!I:I,A15,Tracking!D:D,C15,Tracking!C:C,"5v4")</f>
        <v/>
      </c>
      <c r="BL15" s="10">
        <f>COUNTIFS(Tracking!G:G,A15,Tracking!D:D,C15,Tracking!C:C,"5v4")</f>
        <v/>
      </c>
      <c r="BM15" s="10">
        <f>COUNTIFS(Tracking!E:E,A15,Tracking!D:D,C15,Tracking!C:C,"5v4",Tracking!M:M,"Y")</f>
        <v/>
      </c>
      <c r="BN15" s="10">
        <f>COUNTIFS(Tracking!G:G,A15,Tracking!D:D,C15,Tracking!C:C,"5v4",Tracking!M:M,"Y")</f>
        <v/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/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/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/>
      </c>
      <c r="BR15" s="12">
        <f>COUNTIFS(Tracking!E:E,A15,Tracking!D:D,C15,Tracking!C:C,"5v5",Tracking!F:F,"o")</f>
        <v/>
      </c>
      <c r="BS15" s="12">
        <f>COUNTIFS(Tracking!E:E,A15,Tracking!D:D,C15,Tracking!C:C,"5v5",Tracking!F:F,"r")</f>
        <v/>
      </c>
      <c r="BT15" s="12">
        <f>COUNTIFS(Tracking!E:E,A15,Tracking!D:D,C15,Tracking!C:C,"5v5",Tracking!F:F,"t")</f>
        <v/>
      </c>
      <c r="BU15" s="12">
        <f>COUNTIFS(Tracking!G:G,A15,Tracking!D:D,C15,Tracking!C:C,"5v5",Tracking!F:F,"o")</f>
        <v/>
      </c>
      <c r="BV15" s="12">
        <f>COUNTIFS(Tracking!E:E,A14,Tracking!D:D,C15,Tracking!C:C,"5v5",Tracking!F:F,"r")</f>
        <v/>
      </c>
      <c r="BW15" s="12">
        <f>COUNTIFS(Tracking!G:G,A15,Tracking!D:D,C15,Tracking!C:C,"5v5",Tracking!F:F,"T")</f>
        <v/>
      </c>
      <c r="BX15" s="12">
        <f>COUNTIFS(Tracking!E:E,A15,Tracking!D:D,C15,Tracking!C:C,"5v5",Tracking!Q:Q,"OZ")</f>
        <v/>
      </c>
      <c r="BY15" s="12">
        <f>COUNTIFS(Tracking!E:E,A15,Tracking!D:D,C15,Tracking!C:C,"5v5",Tracking!Q:Q,"nZ")</f>
        <v/>
      </c>
      <c r="BZ15" s="12">
        <f>COUNTIFS(Tracking!E:E,A15,Tracking!D:D,C15,Tracking!C:C,"5v5",Tracking!Q:Q,"dZ")</f>
        <v/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/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/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/>
      </c>
      <c r="CD15" s="12">
        <f>COUNTIFS(Tracking!E:E,A15,Tracking!D:D,C15,Tracking!C:C,"5v5",Tracking!R:R,"dz exit")</f>
        <v/>
      </c>
      <c r="CE15" s="12">
        <f>COUNTIFS(Tracking!E:E,A15,Tracking!D:D,C15,Tracking!C:C,"5v5",Tracking!R:R,"dz counter")</f>
        <v/>
      </c>
      <c r="CF15" s="12">
        <f>COUNTIFS(Tracking!E:E,A15,Tracking!D:D,C15,Tracking!C:C,"5v5",Tracking!R:R,"nz turnover")</f>
        <v/>
      </c>
      <c r="CG15" s="12">
        <f>COUNTIFS(Tracking!E:E,A15,Tracking!D:D,C15,Tracking!C:C,"5v5",Tracking!R:R,"nz regroup")</f>
        <v/>
      </c>
      <c r="CH15" s="12">
        <f>COUNTIFS(Tracking!E:E,A15,Tracking!D:D,C15,Tracking!C:C,"5v5",Tracking!R:R,"nz reload")</f>
        <v/>
      </c>
      <c r="CI15" s="12">
        <f>COUNTIFS(Tracking!E:E,A15,Tracking!D:D,C15,Tracking!C:C,"5v5",Tracking!R:R,"controlled breakout")</f>
        <v/>
      </c>
      <c r="CJ15" s="2">
        <f>CK15+CL15+CM15+CN15+CO15+CP15</f>
        <v/>
      </c>
      <c r="CK15" s="2">
        <f>(0.075*H15)+(0.07*L15)+(0.055*M15)+(0.055*N15)+(0.095*J15)+(0.09*O15)+(0.05*P15)+(0.05*R15)+(0.05*S15)+(0.05*AB15)</f>
        <v/>
      </c>
      <c r="CL15" s="2">
        <f>(0.045*AD15)-(0.045*AE15)+(0.055*AH15)+(0.035*AI15)</f>
        <v/>
      </c>
      <c r="CM15" s="2">
        <f>(0.015*(AY15-AZ15))+(0.035*BA15)-(0.015*BB15)-(0.025*BC15)+(0.015*(AY15-(BD15+BC15)))</f>
        <v/>
      </c>
      <c r="CN15" s="2">
        <f>(0.035*AN15)+(0.025*AS15)-(0.035*AT15)-(0.035*AV15)</f>
        <v/>
      </c>
      <c r="CO15" s="2">
        <f>(0.015*AJ15)+(0.045*AG15)</f>
        <v/>
      </c>
      <c r="CP15" s="2">
        <f>(0.055*BM15)+(0.055*BN15)+(0.035*BO15)+(0.035*BQ15)+(0.055*BH15)+(0.035*BI15)+(0.035*BG15)</f>
        <v/>
      </c>
      <c r="CQ15" s="2">
        <f>CK15+CL15+CM15+CN15+CO15</f>
        <v/>
      </c>
    </row>
    <row r="16">
      <c r="A16" s="8" t="n">
        <v>24</v>
      </c>
      <c r="B16" s="8" t="inlineStr">
        <is>
          <t>Roope Hintz</t>
        </is>
      </c>
      <c r="C16" s="8" t="inlineStr">
        <is>
          <t>DAL</t>
        </is>
      </c>
      <c r="D16" s="8" t="inlineStr">
        <is>
          <t>C</t>
        </is>
      </c>
      <c r="E16" s="8" t="n">
        <v>8.366666666666699</v>
      </c>
      <c r="F16" s="8" t="inlineStr">
        <is>
          <t>2025-26</t>
        </is>
      </c>
      <c r="G16" s="19" t="inlineStr">
        <is>
          <t>3/6/2026 DAL vs. COL</t>
        </is>
      </c>
      <c r="H16" s="9">
        <f>COUNTIFS(Tracking!E:E,A16,Tracking!D:D,C16,Tracking!C:C,"5v5")</f>
        <v/>
      </c>
      <c r="I16" s="9">
        <f>COUNTIFS(Tracking!E:E,A16,Tracking!D:D,C16,Tracking!N:N,"y",Tracking!C:C,"5v5")</f>
        <v/>
      </c>
      <c r="J16" s="9">
        <f>COUNTIFS(Tracking!E:E,A16,Tracking!D:D,C16,Tracking!M:M,"y",Tracking!C:C,"5v5")</f>
        <v/>
      </c>
      <c r="K16" s="9">
        <f>L16+M16+N16</f>
        <v/>
      </c>
      <c r="L16" s="9">
        <f>COUNTIFS(Tracking!G:G,A16,Tracking!D:D,C16,Tracking!C:C,"5v5")</f>
        <v/>
      </c>
      <c r="M16" s="9">
        <f>COUNTIFS(Tracking!H:H,A16,Tracking!D:D,C16,Tracking!C:C,"5v5")</f>
        <v/>
      </c>
      <c r="N16" s="9">
        <f>COUNTIFS(Tracking!I:I,A16,Tracking!D:D,C16,Tracking!C:C,"5v5")</f>
        <v/>
      </c>
      <c r="O16" s="9">
        <f>COUNTIFS(Tracking!G:G,A16,Tracking!D:D,C16,Tracking!C:C,"5v5",Tracking!M:M,"y")</f>
        <v/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/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/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/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/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/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/>
      </c>
      <c r="V16" s="9">
        <f>COUNTIFS(Tracking!E:E,A16,Tracking!D:D,C16,Tracking!C:C,"5v5",Tracking!P:P,"r")</f>
        <v/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/>
      </c>
      <c r="X16" s="9">
        <f>COUNTIFS(Tracking!E:E,A16,Tracking!D:D,C16,Tracking!C:C,"5v5",Tracking!P:P,"f")</f>
        <v/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/>
      </c>
      <c r="Z16" s="9">
        <f>COUNTIFS(Tracking!E:E,A16,Tracking!D:D,C16,Tracking!C:C,"5v5",Tracking!P:P,"c")</f>
        <v/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/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/>
      </c>
      <c r="AC16" s="11">
        <f>COUNTIFS(Tracking!Z:Z,A16&amp;C16,Tracking!C:C,"5v5")-AE16</f>
        <v/>
      </c>
      <c r="AD16" s="11">
        <f>COUNTIFS(Tracking!Z:Z,A16&amp;C16,Tracking!C:C,"5v5",Tracking!Y:Y,"C")</f>
        <v/>
      </c>
      <c r="AE16" s="11">
        <f>COUNTIFS(Tracking!Z:Z,A16&amp;C16,Tracking!C:C,"5v5",Tracking!Y:Y,"F")</f>
        <v/>
      </c>
      <c r="AF16" s="11">
        <f>COUNTIFS(Tracking!Z:Z,A16&amp;C16,Tracking!C:C,"5v5",Tracking!Y:Y,"C",Tracking!AB:AB,"Y")</f>
        <v/>
      </c>
      <c r="AG16" s="11">
        <f>COUNTIFS(Tracking!AD:AD,A16&amp;C16,Tracking!C:C,"5v5")</f>
        <v/>
      </c>
      <c r="AH16" s="11">
        <f>COUNTIFS(Tracking!Z:Z,A16&amp;C16,Tracking!C:C,"5v5",Tracking!Y:Y,"C",Tracking!AE:AE,"Y")</f>
        <v/>
      </c>
      <c r="AI16" s="11">
        <f>COUNTIFS(Tracking!Z:Z,A16&amp;C16,Tracking!C:C,"5v5",Tracking!Y:Y,"D",Tracking!AE:AE,"Y")</f>
        <v/>
      </c>
      <c r="AJ16" s="11">
        <f>COUNTIFS(Tracking!AH:AH,A16&amp;C16)</f>
        <v/>
      </c>
      <c r="AK16" s="5">
        <f>COUNTIFS(Tracking!AI:AI,A16&amp;C16,Tracking!C:C,"5v5")+AL16</f>
        <v/>
      </c>
      <c r="AL16" s="5">
        <f>COUNTIFS(Tracking!AF:AF,A16&amp;C16,Tracking!C:C,"5v5")-AT16</f>
        <v/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/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/>
      </c>
      <c r="AO16" s="5">
        <f>COUNTIFS(Tracking!AF:AF,A16&amp;C16,Tracking!C:C,"5v5",Tracking!AG:AG,"CEX")+COUNTIFS(Tracking!AI:AI,A16&amp;C16,Tracking!C:C,"5v5",Tracking!AJ:AJ,"CEX")</f>
        <v/>
      </c>
      <c r="AP16" s="5">
        <f>COUNTIFS(Tracking!AF:AF,A16&amp;C16,Tracking!C:C,"5v5",Tracking!AG:AG,"PEX")</f>
        <v/>
      </c>
      <c r="AQ16" s="5">
        <f>COUNTIFS(Tracking!AF:AF,A16&amp;C16,Tracking!C:C,"5v5",Tracking!AG:AG,"CLE")+COUNTIFS(Tracking!AI:AI,A16&amp;C16,Tracking!C:C,"5v5",Tracking!AJ:AJ,"CLE")</f>
        <v/>
      </c>
      <c r="AR16" s="5">
        <f>COUNTIFS(Tracking!AF:AF,A16&amp;C16,Tracking!C:C,"5v5",Tracking!AG:AG,"MEX")</f>
        <v/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/>
      </c>
      <c r="AT16" s="5">
        <f>COUNTIFS(Tracking!AF:AF,A16&amp;C16,Tracking!C:C,"5v5",Tracking!AG:AG,"BOT")+COUNTIFS(Tracking!AF:AF,A16&amp;C16,Tracking!C:C,"5v5",Tracking!AG:AG,"FEX")</f>
        <v/>
      </c>
      <c r="AU16" s="5">
        <f>COUNTIFS(Tracking!AF:AF,A16&amp;C16,Tracking!C:C,"5v5",Tracking!AG:AG,"EXC")</f>
        <v/>
      </c>
      <c r="AV16" s="5">
        <f>COUNTIFS(Tracking!AF:AF,A16&amp;C16,Tracking!C:C,"5v5",Tracking!AG:AG,"FEX")+COUNTIFS(Tracking!AI:AI,A16&amp;C16,Tracking!C:C,"5v5",Tracking!AJ:AJ,"FEX")</f>
        <v/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/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/>
      </c>
      <c r="AY16" s="1">
        <f>COUNTIFS(Tracking!AA:AA,A16&amp;C16,Tracking!C:C,"5v5")</f>
        <v/>
      </c>
      <c r="AZ16" s="1">
        <f>COUNTIFS(Tracking!AA:AA,A16&amp;C16,Tracking!C:C,"5v5",Tracking!Y:Y,"C")</f>
        <v/>
      </c>
      <c r="BA16" s="1">
        <f>COUNTIFS(Tracking!AA:AA,A16&amp;C16,Tracking!C:C,"5v5",Tracking!Y:Y,"F")</f>
        <v/>
      </c>
      <c r="BB16" s="1">
        <f>COUNTIFS(Tracking!AA:AA,A16&amp;C16,Tracking!C:C,"5v5",Tracking!AB:AB,"Y")</f>
        <v/>
      </c>
      <c r="BC16" s="1">
        <f>COUNTIFS(Tracking!AA:AA,A16&amp;C16,Tracking!C:C,"5v5",Tracking!Y:Y,"C",Tracking!AE:AE,"Y")</f>
        <v/>
      </c>
      <c r="BD16" s="1">
        <f>COUNTIFS(Tracking!AA:AA,A16&amp;C16,Tracking!C:C,"5v5",Tracking!Y:Y,"D",Tracking!AE:AE,"Y")</f>
        <v/>
      </c>
      <c r="BE16" s="10">
        <f>COUNTIFS(Tracking!Z:Z,A16&amp;C16,Tracking!C:C,"5v4")</f>
        <v/>
      </c>
      <c r="BF16" s="10">
        <f>COUNTIFS(Tracking!Z:Z,A16&amp;C16,Tracking!C:C,"5v4",Tracking!Y:Y,"C")</f>
        <v/>
      </c>
      <c r="BG16" s="10">
        <f>COUNTIFS(Tracking!Z:Z,A16&amp;C16,Tracking!C:C,"5v4",Tracking!AB:AB,"Y")</f>
        <v/>
      </c>
      <c r="BH16" s="10">
        <f>COUNTIFS(Tracking!Z:Z,A16&amp;C16,Tracking!C:C,"4v5")</f>
        <v/>
      </c>
      <c r="BI16" s="10">
        <f>COUNTIFS(Tracking!AA:AA,A16&amp;C16,Tracking!C:C,"5v4",Tracking!Y:Y,"D")+COUNTIFS(Tracking!AA:AA,A16&amp;C16,Tracking!C:C,"5v4",Tracking!Y:Y,"F")</f>
        <v/>
      </c>
      <c r="BJ16" s="10">
        <f>COUNTIFS(Tracking!E:E,A16,Tracking!D:D,C16,Tracking!C:C,"5v4")</f>
        <v/>
      </c>
      <c r="BK16" s="10">
        <f>COUNTIFS(Tracking!G:G,A16,Tracking!D:D,C16,Tracking!C:C,"5v4")+COUNTIFS(Tracking!H:H,A16,Tracking!D:D,C16,Tracking!C:C,"5v4")+COUNTIFS(Tracking!I:I,A16,Tracking!D:D,C16,Tracking!C:C,"5v4")</f>
        <v/>
      </c>
      <c r="BL16" s="10">
        <f>COUNTIFS(Tracking!G:G,A16,Tracking!D:D,C16,Tracking!C:C,"5v4")</f>
        <v/>
      </c>
      <c r="BM16" s="10">
        <f>COUNTIFS(Tracking!E:E,A16,Tracking!D:D,C16,Tracking!C:C,"5v4",Tracking!M:M,"Y")</f>
        <v/>
      </c>
      <c r="BN16" s="10">
        <f>COUNTIFS(Tracking!G:G,A16,Tracking!D:D,C16,Tracking!C:C,"5v4",Tracking!M:M,"Y")</f>
        <v/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/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/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/>
      </c>
      <c r="BR16" s="12">
        <f>COUNTIFS(Tracking!E:E,A16,Tracking!D:D,C16,Tracking!C:C,"5v5",Tracking!F:F,"o")</f>
        <v/>
      </c>
      <c r="BS16" s="12">
        <f>COUNTIFS(Tracking!E:E,A16,Tracking!D:D,C16,Tracking!C:C,"5v5",Tracking!F:F,"r")</f>
        <v/>
      </c>
      <c r="BT16" s="12">
        <f>COUNTIFS(Tracking!E:E,A16,Tracking!D:D,C16,Tracking!C:C,"5v5",Tracking!F:F,"t")</f>
        <v/>
      </c>
      <c r="BU16" s="12">
        <f>COUNTIFS(Tracking!G:G,A16,Tracking!D:D,C16,Tracking!C:C,"5v5",Tracking!F:F,"o")</f>
        <v/>
      </c>
      <c r="BV16" s="12">
        <f>COUNTIFS(Tracking!E:E,A15,Tracking!D:D,C16,Tracking!C:C,"5v5",Tracking!F:F,"r")</f>
        <v/>
      </c>
      <c r="BW16" s="12">
        <f>COUNTIFS(Tracking!G:G,A16,Tracking!D:D,C16,Tracking!C:C,"5v5",Tracking!F:F,"T")</f>
        <v/>
      </c>
      <c r="BX16" s="12">
        <f>COUNTIFS(Tracking!E:E,A16,Tracking!D:D,C16,Tracking!C:C,"5v5",Tracking!Q:Q,"OZ")</f>
        <v/>
      </c>
      <c r="BY16" s="12">
        <f>COUNTIFS(Tracking!E:E,A16,Tracking!D:D,C16,Tracking!C:C,"5v5",Tracking!Q:Q,"nZ")</f>
        <v/>
      </c>
      <c r="BZ16" s="12">
        <f>COUNTIFS(Tracking!E:E,A16,Tracking!D:D,C16,Tracking!C:C,"5v5",Tracking!Q:Q,"dZ")</f>
        <v/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/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/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/>
      </c>
      <c r="CD16" s="12">
        <f>COUNTIFS(Tracking!E:E,A16,Tracking!D:D,C16,Tracking!C:C,"5v5",Tracking!R:R,"dz exit")</f>
        <v/>
      </c>
      <c r="CE16" s="12">
        <f>COUNTIFS(Tracking!E:E,A16,Tracking!D:D,C16,Tracking!C:C,"5v5",Tracking!R:R,"dz counter")</f>
        <v/>
      </c>
      <c r="CF16" s="12">
        <f>COUNTIFS(Tracking!E:E,A16,Tracking!D:D,C16,Tracking!C:C,"5v5",Tracking!R:R,"nz turnover")</f>
        <v/>
      </c>
      <c r="CG16" s="12">
        <f>COUNTIFS(Tracking!E:E,A16,Tracking!D:D,C16,Tracking!C:C,"5v5",Tracking!R:R,"nz regroup")</f>
        <v/>
      </c>
      <c r="CH16" s="12">
        <f>COUNTIFS(Tracking!E:E,A16,Tracking!D:D,C16,Tracking!C:C,"5v5",Tracking!R:R,"nz reload")</f>
        <v/>
      </c>
      <c r="CI16" s="12">
        <f>COUNTIFS(Tracking!E:E,A16,Tracking!D:D,C16,Tracking!C:C,"5v5",Tracking!R:R,"controlled breakout")</f>
        <v/>
      </c>
      <c r="CJ16" s="2">
        <f>CK16+CL16+CM16+CN16+CO16+CP16</f>
        <v/>
      </c>
      <c r="CK16" s="2">
        <f>(0.075*H16)+(0.07*L16)+(0.055*M16)+(0.055*N16)+(0.095*J16)+(0.09*O16)+(0.05*P16)+(0.05*R16)+(0.05*S16)+(0.05*AB16)</f>
        <v/>
      </c>
      <c r="CL16" s="2">
        <f>(0.045*AD16)-(0.045*AE16)+(0.055*AH16)+(0.035*AI16)</f>
        <v/>
      </c>
      <c r="CM16" s="2">
        <f>(0.015*(AY16-AZ16))+(0.035*BA16)-(0.015*BB16)-(0.025*BC16)+(0.015*(AY16-(BD16+BC16)))</f>
        <v/>
      </c>
      <c r="CN16" s="2">
        <f>(0.035*AN16)+(0.025*AS16)-(0.035*AT16)-(0.035*AV16)</f>
        <v/>
      </c>
      <c r="CO16" s="2">
        <f>(0.015*AJ16)+(0.045*AG16)</f>
        <v/>
      </c>
      <c r="CP16" s="2">
        <f>(0.055*BM16)+(0.055*BN16)+(0.035*BO16)+(0.035*BQ16)+(0.055*BH16)+(0.035*BI16)+(0.035*BG16)</f>
        <v/>
      </c>
      <c r="CQ16" s="2">
        <f>CK16+CL16+CM16+CN16+CO16</f>
        <v/>
      </c>
    </row>
    <row r="17">
      <c r="A17" s="8" t="n">
        <v>18</v>
      </c>
      <c r="B17" s="8" t="inlineStr">
        <is>
          <t>Sam Steel</t>
        </is>
      </c>
      <c r="C17" s="8" t="inlineStr">
        <is>
          <t>DAL</t>
        </is>
      </c>
      <c r="D17" s="8" t="inlineStr">
        <is>
          <t>C</t>
        </is>
      </c>
      <c r="E17" s="8" t="n">
        <v>12.383333333333</v>
      </c>
      <c r="F17" s="8" t="inlineStr">
        <is>
          <t>2025-26</t>
        </is>
      </c>
      <c r="G17" s="19" t="inlineStr">
        <is>
          <t>3/6/2026 DAL vs. COL</t>
        </is>
      </c>
      <c r="H17" s="9">
        <f>COUNTIFS(Tracking!E:E,A17,Tracking!D:D,C17,Tracking!C:C,"5v5")</f>
        <v/>
      </c>
      <c r="I17" s="9">
        <f>COUNTIFS(Tracking!E:E,A17,Tracking!D:D,C17,Tracking!N:N,"y",Tracking!C:C,"5v5")</f>
        <v/>
      </c>
      <c r="J17" s="9">
        <f>COUNTIFS(Tracking!E:E,A17,Tracking!D:D,C17,Tracking!M:M,"y",Tracking!C:C,"5v5")</f>
        <v/>
      </c>
      <c r="K17" s="9">
        <f>L17+M17+N17</f>
        <v/>
      </c>
      <c r="L17" s="9">
        <f>COUNTIFS(Tracking!G:G,A17,Tracking!D:D,C17,Tracking!C:C,"5v5")</f>
        <v/>
      </c>
      <c r="M17" s="9">
        <f>COUNTIFS(Tracking!H:H,A17,Tracking!D:D,C17,Tracking!C:C,"5v5")</f>
        <v/>
      </c>
      <c r="N17" s="9">
        <f>COUNTIFS(Tracking!I:I,A17,Tracking!D:D,C17,Tracking!C:C,"5v5")</f>
        <v/>
      </c>
      <c r="O17" s="9">
        <f>COUNTIFS(Tracking!G:G,A17,Tracking!D:D,C17,Tracking!C:C,"5v5",Tracking!M:M,"y")</f>
        <v/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/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/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/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/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/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/>
      </c>
      <c r="V17" s="9">
        <f>COUNTIFS(Tracking!E:E,A17,Tracking!D:D,C17,Tracking!C:C,"5v5",Tracking!P:P,"r")</f>
        <v/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/>
      </c>
      <c r="X17" s="9">
        <f>COUNTIFS(Tracking!E:E,A17,Tracking!D:D,C17,Tracking!C:C,"5v5",Tracking!P:P,"f")</f>
        <v/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/>
      </c>
      <c r="Z17" s="9">
        <f>COUNTIFS(Tracking!E:E,A17,Tracking!D:D,C17,Tracking!C:C,"5v5",Tracking!P:P,"c")</f>
        <v/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/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/>
      </c>
      <c r="AC17" s="11">
        <f>COUNTIFS(Tracking!Z:Z,A17&amp;C17,Tracking!C:C,"5v5")-AE17</f>
        <v/>
      </c>
      <c r="AD17" s="11">
        <f>COUNTIFS(Tracking!Z:Z,A17&amp;C17,Tracking!C:C,"5v5",Tracking!Y:Y,"C")</f>
        <v/>
      </c>
      <c r="AE17" s="11">
        <f>COUNTIFS(Tracking!Z:Z,A17&amp;C17,Tracking!C:C,"5v5",Tracking!Y:Y,"F")</f>
        <v/>
      </c>
      <c r="AF17" s="11">
        <f>COUNTIFS(Tracking!Z:Z,A17&amp;C17,Tracking!C:C,"5v5",Tracking!Y:Y,"C",Tracking!AB:AB,"Y")</f>
        <v/>
      </c>
      <c r="AG17" s="11">
        <f>COUNTIFS(Tracking!AD:AD,A17&amp;C17,Tracking!C:C,"5v5")</f>
        <v/>
      </c>
      <c r="AH17" s="11">
        <f>COUNTIFS(Tracking!Z:Z,A17&amp;C17,Tracking!C:C,"5v5",Tracking!Y:Y,"C",Tracking!AE:AE,"Y")</f>
        <v/>
      </c>
      <c r="AI17" s="11">
        <f>COUNTIFS(Tracking!Z:Z,A17&amp;C17,Tracking!C:C,"5v5",Tracking!Y:Y,"D",Tracking!AE:AE,"Y")</f>
        <v/>
      </c>
      <c r="AJ17" s="11">
        <f>COUNTIFS(Tracking!AH:AH,A17&amp;C17)</f>
        <v/>
      </c>
      <c r="AK17" s="5">
        <f>COUNTIFS(Tracking!AI:AI,A17&amp;C17,Tracking!C:C,"5v5")+AL17</f>
        <v/>
      </c>
      <c r="AL17" s="5">
        <f>COUNTIFS(Tracking!AF:AF,A17&amp;C17,Tracking!C:C,"5v5")-AT17</f>
        <v/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/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/>
      </c>
      <c r="AO17" s="5">
        <f>COUNTIFS(Tracking!AF:AF,A17&amp;C17,Tracking!C:C,"5v5",Tracking!AG:AG,"CEX")+COUNTIFS(Tracking!AI:AI,A17&amp;C17,Tracking!C:C,"5v5",Tracking!AJ:AJ,"CEX")</f>
        <v/>
      </c>
      <c r="AP17" s="5">
        <f>COUNTIFS(Tracking!AF:AF,A17&amp;C17,Tracking!C:C,"5v5",Tracking!AG:AG,"PEX")</f>
        <v/>
      </c>
      <c r="AQ17" s="5">
        <f>COUNTIFS(Tracking!AF:AF,A17&amp;C17,Tracking!C:C,"5v5",Tracking!AG:AG,"CLE")+COUNTIFS(Tracking!AI:AI,A17&amp;C17,Tracking!C:C,"5v5",Tracking!AJ:AJ,"CLE")</f>
        <v/>
      </c>
      <c r="AR17" s="5">
        <f>COUNTIFS(Tracking!AF:AF,A17&amp;C17,Tracking!C:C,"5v5",Tracking!AG:AG,"MEX")</f>
        <v/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/>
      </c>
      <c r="AT17" s="5">
        <f>COUNTIFS(Tracking!AF:AF,A17&amp;C17,Tracking!C:C,"5v5",Tracking!AG:AG,"BOT")+COUNTIFS(Tracking!AF:AF,A17&amp;C17,Tracking!C:C,"5v5",Tracking!AG:AG,"FEX")</f>
        <v/>
      </c>
      <c r="AU17" s="5">
        <f>COUNTIFS(Tracking!AF:AF,A17&amp;C17,Tracking!C:C,"5v5",Tracking!AG:AG,"EXC")</f>
        <v/>
      </c>
      <c r="AV17" s="5">
        <f>COUNTIFS(Tracking!AF:AF,A17&amp;C17,Tracking!C:C,"5v5",Tracking!AG:AG,"FEX")+COUNTIFS(Tracking!AI:AI,A17&amp;C17,Tracking!C:C,"5v5",Tracking!AJ:AJ,"FEX")</f>
        <v/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/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/>
      </c>
      <c r="AY17" s="1">
        <f>COUNTIFS(Tracking!AA:AA,A17&amp;C17,Tracking!C:C,"5v5")</f>
        <v/>
      </c>
      <c r="AZ17" s="1">
        <f>COUNTIFS(Tracking!AA:AA,A17&amp;C17,Tracking!C:C,"5v5",Tracking!Y:Y,"C")</f>
        <v/>
      </c>
      <c r="BA17" s="1">
        <f>COUNTIFS(Tracking!AA:AA,A17&amp;C17,Tracking!C:C,"5v5",Tracking!Y:Y,"F")</f>
        <v/>
      </c>
      <c r="BB17" s="1">
        <f>COUNTIFS(Tracking!AA:AA,A17&amp;C17,Tracking!C:C,"5v5",Tracking!AB:AB,"Y")</f>
        <v/>
      </c>
      <c r="BC17" s="1">
        <f>COUNTIFS(Tracking!AA:AA,A17&amp;C17,Tracking!C:C,"5v5",Tracking!Y:Y,"C",Tracking!AE:AE,"Y")</f>
        <v/>
      </c>
      <c r="BD17" s="1">
        <f>COUNTIFS(Tracking!AA:AA,A17&amp;C17,Tracking!C:C,"5v5",Tracking!Y:Y,"D",Tracking!AE:AE,"Y")</f>
        <v/>
      </c>
      <c r="BE17" s="10">
        <f>COUNTIFS(Tracking!Z:Z,A17&amp;C17,Tracking!C:C,"5v4")</f>
        <v/>
      </c>
      <c r="BF17" s="10">
        <f>COUNTIFS(Tracking!Z:Z,A17&amp;C17,Tracking!C:C,"5v4",Tracking!Y:Y,"C")</f>
        <v/>
      </c>
      <c r="BG17" s="10">
        <f>COUNTIFS(Tracking!Z:Z,A17&amp;C17,Tracking!C:C,"5v4",Tracking!AB:AB,"Y")</f>
        <v/>
      </c>
      <c r="BH17" s="10">
        <f>COUNTIFS(Tracking!Z:Z,A17&amp;C17,Tracking!C:C,"4v5")</f>
        <v/>
      </c>
      <c r="BI17" s="10">
        <f>COUNTIFS(Tracking!AA:AA,A17&amp;C17,Tracking!C:C,"5v4",Tracking!Y:Y,"D")+COUNTIFS(Tracking!AA:AA,A17&amp;C17,Tracking!C:C,"5v4",Tracking!Y:Y,"F")</f>
        <v/>
      </c>
      <c r="BJ17" s="10">
        <f>COUNTIFS(Tracking!E:E,A17,Tracking!D:D,C17,Tracking!C:C,"5v4")</f>
        <v/>
      </c>
      <c r="BK17" s="10">
        <f>COUNTIFS(Tracking!G:G,A17,Tracking!D:D,C17,Tracking!C:C,"5v4")+COUNTIFS(Tracking!H:H,A17,Tracking!D:D,C17,Tracking!C:C,"5v4")+COUNTIFS(Tracking!I:I,A17,Tracking!D:D,C17,Tracking!C:C,"5v4")</f>
        <v/>
      </c>
      <c r="BL17" s="10">
        <f>COUNTIFS(Tracking!G:G,A17,Tracking!D:D,C17,Tracking!C:C,"5v4")</f>
        <v/>
      </c>
      <c r="BM17" s="10">
        <f>COUNTIFS(Tracking!E:E,A17,Tracking!D:D,C17,Tracking!C:C,"5v4",Tracking!M:M,"Y")</f>
        <v/>
      </c>
      <c r="BN17" s="10">
        <f>COUNTIFS(Tracking!G:G,A17,Tracking!D:D,C17,Tracking!C:C,"5v4",Tracking!M:M,"Y")</f>
        <v/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/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/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/>
      </c>
      <c r="BR17" s="12">
        <f>COUNTIFS(Tracking!E:E,A17,Tracking!D:D,C17,Tracking!C:C,"5v5",Tracking!F:F,"o")</f>
        <v/>
      </c>
      <c r="BS17" s="12">
        <f>COUNTIFS(Tracking!E:E,A17,Tracking!D:D,C17,Tracking!C:C,"5v5",Tracking!F:F,"r")</f>
        <v/>
      </c>
      <c r="BT17" s="12">
        <f>COUNTIFS(Tracking!E:E,A17,Tracking!D:D,C17,Tracking!C:C,"5v5",Tracking!F:F,"t")</f>
        <v/>
      </c>
      <c r="BU17" s="12">
        <f>COUNTIFS(Tracking!G:G,A17,Tracking!D:D,C17,Tracking!C:C,"5v5",Tracking!F:F,"o")</f>
        <v/>
      </c>
      <c r="BV17" s="12">
        <f>COUNTIFS(Tracking!E:E,A16,Tracking!D:D,C17,Tracking!C:C,"5v5",Tracking!F:F,"r")</f>
        <v/>
      </c>
      <c r="BW17" s="12">
        <f>COUNTIFS(Tracking!G:G,A17,Tracking!D:D,C17,Tracking!C:C,"5v5",Tracking!F:F,"T")</f>
        <v/>
      </c>
      <c r="BX17" s="12">
        <f>COUNTIFS(Tracking!E:E,A17,Tracking!D:D,C17,Tracking!C:C,"5v5",Tracking!Q:Q,"OZ")</f>
        <v/>
      </c>
      <c r="BY17" s="12">
        <f>COUNTIFS(Tracking!E:E,A17,Tracking!D:D,C17,Tracking!C:C,"5v5",Tracking!Q:Q,"nZ")</f>
        <v/>
      </c>
      <c r="BZ17" s="12">
        <f>COUNTIFS(Tracking!E:E,A17,Tracking!D:D,C17,Tracking!C:C,"5v5",Tracking!Q:Q,"dZ")</f>
        <v/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/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/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/>
      </c>
      <c r="CD17" s="12">
        <f>COUNTIFS(Tracking!E:E,A17,Tracking!D:D,C17,Tracking!C:C,"5v5",Tracking!R:R,"dz exit")</f>
        <v/>
      </c>
      <c r="CE17" s="12">
        <f>COUNTIFS(Tracking!E:E,A17,Tracking!D:D,C17,Tracking!C:C,"5v5",Tracking!R:R,"dz counter")</f>
        <v/>
      </c>
      <c r="CF17" s="12">
        <f>COUNTIFS(Tracking!E:E,A17,Tracking!D:D,C17,Tracking!C:C,"5v5",Tracking!R:R,"nz turnover")</f>
        <v/>
      </c>
      <c r="CG17" s="12">
        <f>COUNTIFS(Tracking!E:E,A17,Tracking!D:D,C17,Tracking!C:C,"5v5",Tracking!R:R,"nz regroup")</f>
        <v/>
      </c>
      <c r="CH17" s="12">
        <f>COUNTIFS(Tracking!E:E,A17,Tracking!D:D,C17,Tracking!C:C,"5v5",Tracking!R:R,"nz reload")</f>
        <v/>
      </c>
      <c r="CI17" s="12">
        <f>COUNTIFS(Tracking!E:E,A17,Tracking!D:D,C17,Tracking!C:C,"5v5",Tracking!R:R,"controlled breakout")</f>
        <v/>
      </c>
      <c r="CJ17" s="2">
        <f>CK17+CL17+CM17+CN17+CO17+CP17</f>
        <v/>
      </c>
      <c r="CK17" s="2">
        <f>(0.075*H17)+(0.07*L17)+(0.055*M17)+(0.055*N17)+(0.095*J17)+(0.09*O17)+(0.05*P17)+(0.05*R17)+(0.05*S17)+(0.05*AB17)</f>
        <v/>
      </c>
      <c r="CL17" s="2">
        <f>(0.045*AD17)-(0.045*AE17)+(0.055*AH17)+(0.035*AI17)</f>
        <v/>
      </c>
      <c r="CM17" s="2">
        <f>(0.015*(AY17-AZ17))+(0.035*BA17)-(0.015*BB17)-(0.025*BC17)+(0.015*(AY17-(BD17+BC17)))</f>
        <v/>
      </c>
      <c r="CN17" s="2">
        <f>(0.035*AN17)+(0.025*AS17)-(0.035*AT17)-(0.035*AV17)</f>
        <v/>
      </c>
      <c r="CO17" s="2">
        <f>(0.015*AJ17)+(0.045*AG17)</f>
        <v/>
      </c>
      <c r="CP17" s="2">
        <f>(0.055*BM17)+(0.055*BN17)+(0.035*BO17)+(0.035*BQ17)+(0.055*BH17)+(0.035*BI17)+(0.035*BG17)</f>
        <v/>
      </c>
      <c r="CQ17" s="2">
        <f>CK17+CL17+CM17+CN17+CO17</f>
        <v/>
      </c>
    </row>
    <row r="18">
      <c r="A18" s="8" t="n">
        <v>55</v>
      </c>
      <c r="B18" s="8" t="inlineStr">
        <is>
          <t>Thomas Harley</t>
        </is>
      </c>
      <c r="C18" s="8" t="inlineStr">
        <is>
          <t>DAL</t>
        </is>
      </c>
      <c r="D18" s="8" t="inlineStr">
        <is>
          <t>D</t>
        </is>
      </c>
      <c r="E18" s="8" t="n">
        <v>16.783333333333</v>
      </c>
      <c r="F18" s="8" t="inlineStr">
        <is>
          <t>2025-26</t>
        </is>
      </c>
      <c r="G18" s="19" t="inlineStr">
        <is>
          <t>3/6/2026 DAL vs. COL</t>
        </is>
      </c>
      <c r="H18" s="9">
        <f>COUNTIFS(Tracking!E:E,A18,Tracking!D:D,C18,Tracking!C:C,"5v5")</f>
        <v/>
      </c>
      <c r="I18" s="9">
        <f>COUNTIFS(Tracking!E:E,A18,Tracking!D:D,C18,Tracking!N:N,"y",Tracking!C:C,"5v5")</f>
        <v/>
      </c>
      <c r="J18" s="9">
        <f>COUNTIFS(Tracking!E:E,A18,Tracking!D:D,C18,Tracking!M:M,"y",Tracking!C:C,"5v5")</f>
        <v/>
      </c>
      <c r="K18" s="9">
        <f>L18+M18+N18</f>
        <v/>
      </c>
      <c r="L18" s="9">
        <f>COUNTIFS(Tracking!G:G,A18,Tracking!D:D,C18,Tracking!C:C,"5v5")</f>
        <v/>
      </c>
      <c r="M18" s="9">
        <f>COUNTIFS(Tracking!H:H,A18,Tracking!D:D,C18,Tracking!C:C,"5v5")</f>
        <v/>
      </c>
      <c r="N18" s="9">
        <f>COUNTIFS(Tracking!I:I,A18,Tracking!D:D,C18,Tracking!C:C,"5v5")</f>
        <v/>
      </c>
      <c r="O18" s="9">
        <f>COUNTIFS(Tracking!G:G,A18,Tracking!D:D,C18,Tracking!C:C,"5v5",Tracking!M:M,"y")</f>
        <v/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/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/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/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/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/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/>
      </c>
      <c r="V18" s="9">
        <f>COUNTIFS(Tracking!E:E,A18,Tracking!D:D,C18,Tracking!C:C,"5v5",Tracking!P:P,"r")</f>
        <v/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/>
      </c>
      <c r="X18" s="9">
        <f>COUNTIFS(Tracking!E:E,A18,Tracking!D:D,C18,Tracking!C:C,"5v5",Tracking!P:P,"f")</f>
        <v/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/>
      </c>
      <c r="Z18" s="9">
        <f>COUNTIFS(Tracking!E:E,A18,Tracking!D:D,C18,Tracking!C:C,"5v5",Tracking!P:P,"c")</f>
        <v/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/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/>
      </c>
      <c r="AC18" s="11">
        <f>COUNTIFS(Tracking!Z:Z,A18&amp;C18,Tracking!C:C,"5v5")-AE18</f>
        <v/>
      </c>
      <c r="AD18" s="11">
        <f>COUNTIFS(Tracking!Z:Z,A18&amp;C18,Tracking!C:C,"5v5",Tracking!Y:Y,"C")</f>
        <v/>
      </c>
      <c r="AE18" s="11">
        <f>COUNTIFS(Tracking!Z:Z,A18&amp;C18,Tracking!C:C,"5v5",Tracking!Y:Y,"F")</f>
        <v/>
      </c>
      <c r="AF18" s="11">
        <f>COUNTIFS(Tracking!Z:Z,A18&amp;C18,Tracking!C:C,"5v5",Tracking!Y:Y,"C",Tracking!AB:AB,"Y")</f>
        <v/>
      </c>
      <c r="AG18" s="11">
        <f>COUNTIFS(Tracking!AD:AD,A18&amp;C18,Tracking!C:C,"5v5")</f>
        <v/>
      </c>
      <c r="AH18" s="11">
        <f>COUNTIFS(Tracking!Z:Z,A18&amp;C18,Tracking!C:C,"5v5",Tracking!Y:Y,"C",Tracking!AE:AE,"Y")</f>
        <v/>
      </c>
      <c r="AI18" s="11">
        <f>COUNTIFS(Tracking!Z:Z,A18&amp;C18,Tracking!C:C,"5v5",Tracking!Y:Y,"D",Tracking!AE:AE,"Y")</f>
        <v/>
      </c>
      <c r="AJ18" s="11">
        <f>COUNTIFS(Tracking!AH:AH,A18&amp;C18)</f>
        <v/>
      </c>
      <c r="AK18" s="5">
        <f>COUNTIFS(Tracking!AI:AI,A18&amp;C18,Tracking!C:C,"5v5")+AL18</f>
        <v/>
      </c>
      <c r="AL18" s="5">
        <f>COUNTIFS(Tracking!AF:AF,A18&amp;C18,Tracking!C:C,"5v5")-AT18</f>
        <v/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/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/>
      </c>
      <c r="AO18" s="5">
        <f>COUNTIFS(Tracking!AF:AF,A18&amp;C18,Tracking!C:C,"5v5",Tracking!AG:AG,"CEX")+COUNTIFS(Tracking!AI:AI,A18&amp;C18,Tracking!C:C,"5v5",Tracking!AJ:AJ,"CEX")</f>
        <v/>
      </c>
      <c r="AP18" s="5">
        <f>COUNTIFS(Tracking!AF:AF,A18&amp;C18,Tracking!C:C,"5v5",Tracking!AG:AG,"PEX")</f>
        <v/>
      </c>
      <c r="AQ18" s="5">
        <f>COUNTIFS(Tracking!AF:AF,A18&amp;C18,Tracking!C:C,"5v5",Tracking!AG:AG,"CLE")+COUNTIFS(Tracking!AI:AI,A18&amp;C18,Tracking!C:C,"5v5",Tracking!AJ:AJ,"CLE")</f>
        <v/>
      </c>
      <c r="AR18" s="5">
        <f>COUNTIFS(Tracking!AF:AF,A18&amp;C18,Tracking!C:C,"5v5",Tracking!AG:AG,"MEX")</f>
        <v/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/>
      </c>
      <c r="AT18" s="5">
        <f>COUNTIFS(Tracking!AF:AF,A18&amp;C18,Tracking!C:C,"5v5",Tracking!AG:AG,"BOT")+COUNTIFS(Tracking!AF:AF,A18&amp;C18,Tracking!C:C,"5v5",Tracking!AG:AG,"FEX")</f>
        <v/>
      </c>
      <c r="AU18" s="5">
        <f>COUNTIFS(Tracking!AF:AF,A18&amp;C18,Tracking!C:C,"5v5",Tracking!AG:AG,"EXC")</f>
        <v/>
      </c>
      <c r="AV18" s="5">
        <f>COUNTIFS(Tracking!AF:AF,A18&amp;C18,Tracking!C:C,"5v5",Tracking!AG:AG,"FEX")+COUNTIFS(Tracking!AI:AI,A18&amp;C18,Tracking!C:C,"5v5",Tracking!AJ:AJ,"FEX")</f>
        <v/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/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/>
      </c>
      <c r="AY18" s="1">
        <f>COUNTIFS(Tracking!AA:AA,A18&amp;C18,Tracking!C:C,"5v5")</f>
        <v/>
      </c>
      <c r="AZ18" s="1">
        <f>COUNTIFS(Tracking!AA:AA,A18&amp;C18,Tracking!C:C,"5v5",Tracking!Y:Y,"C")</f>
        <v/>
      </c>
      <c r="BA18" s="1">
        <f>COUNTIFS(Tracking!AA:AA,A18&amp;C18,Tracking!C:C,"5v5",Tracking!Y:Y,"F")</f>
        <v/>
      </c>
      <c r="BB18" s="1">
        <f>COUNTIFS(Tracking!AA:AA,A18&amp;C18,Tracking!C:C,"5v5",Tracking!AB:AB,"Y")</f>
        <v/>
      </c>
      <c r="BC18" s="1">
        <f>COUNTIFS(Tracking!AA:AA,A18&amp;C18,Tracking!C:C,"5v5",Tracking!Y:Y,"C",Tracking!AE:AE,"Y")</f>
        <v/>
      </c>
      <c r="BD18" s="1">
        <f>COUNTIFS(Tracking!AA:AA,A18&amp;C18,Tracking!C:C,"5v5",Tracking!Y:Y,"D",Tracking!AE:AE,"Y")</f>
        <v/>
      </c>
      <c r="BE18" s="10">
        <f>COUNTIFS(Tracking!Z:Z,A18&amp;C18,Tracking!C:C,"5v4")</f>
        <v/>
      </c>
      <c r="BF18" s="10">
        <f>COUNTIFS(Tracking!Z:Z,A18&amp;C18,Tracking!C:C,"5v4",Tracking!Y:Y,"C")</f>
        <v/>
      </c>
      <c r="BG18" s="10">
        <f>COUNTIFS(Tracking!Z:Z,A18&amp;C18,Tracking!C:C,"5v4",Tracking!AB:AB,"Y")</f>
        <v/>
      </c>
      <c r="BH18" s="10">
        <f>COUNTIFS(Tracking!Z:Z,A18&amp;C18,Tracking!C:C,"4v5")</f>
        <v/>
      </c>
      <c r="BI18" s="10">
        <f>COUNTIFS(Tracking!AA:AA,A18&amp;C18,Tracking!C:C,"5v4",Tracking!Y:Y,"D")+COUNTIFS(Tracking!AA:AA,A18&amp;C18,Tracking!C:C,"5v4",Tracking!Y:Y,"F")</f>
        <v/>
      </c>
      <c r="BJ18" s="10">
        <f>COUNTIFS(Tracking!E:E,A18,Tracking!D:D,C18,Tracking!C:C,"5v4")</f>
        <v/>
      </c>
      <c r="BK18" s="10">
        <f>COUNTIFS(Tracking!G:G,A18,Tracking!D:D,C18,Tracking!C:C,"5v4")+COUNTIFS(Tracking!H:H,A18,Tracking!D:D,C18,Tracking!C:C,"5v4")+COUNTIFS(Tracking!I:I,A18,Tracking!D:D,C18,Tracking!C:C,"5v4")</f>
        <v/>
      </c>
      <c r="BL18" s="10">
        <f>COUNTIFS(Tracking!G:G,A18,Tracking!D:D,C18,Tracking!C:C,"5v4")</f>
        <v/>
      </c>
      <c r="BM18" s="10">
        <f>COUNTIFS(Tracking!E:E,A18,Tracking!D:D,C18,Tracking!C:C,"5v4",Tracking!M:M,"Y")</f>
        <v/>
      </c>
      <c r="BN18" s="10">
        <f>COUNTIFS(Tracking!G:G,A18,Tracking!D:D,C18,Tracking!C:C,"5v4",Tracking!M:M,"Y")</f>
        <v/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/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/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/>
      </c>
      <c r="BR18" s="12">
        <f>COUNTIFS(Tracking!E:E,A18,Tracking!D:D,C18,Tracking!C:C,"5v5",Tracking!F:F,"o")</f>
        <v/>
      </c>
      <c r="BS18" s="12">
        <f>COUNTIFS(Tracking!E:E,A18,Tracking!D:D,C18,Tracking!C:C,"5v5",Tracking!F:F,"r")</f>
        <v/>
      </c>
      <c r="BT18" s="12">
        <f>COUNTIFS(Tracking!E:E,A18,Tracking!D:D,C18,Tracking!C:C,"5v5",Tracking!F:F,"t")</f>
        <v/>
      </c>
      <c r="BU18" s="12">
        <f>COUNTIFS(Tracking!G:G,A18,Tracking!D:D,C18,Tracking!C:C,"5v5",Tracking!F:F,"o")</f>
        <v/>
      </c>
      <c r="BV18" s="12">
        <f>COUNTIFS(Tracking!E:E,A17,Tracking!D:D,C18,Tracking!C:C,"5v5",Tracking!F:F,"r")</f>
        <v/>
      </c>
      <c r="BW18" s="12">
        <f>COUNTIFS(Tracking!G:G,A18,Tracking!D:D,C18,Tracking!C:C,"5v5",Tracking!F:F,"T")</f>
        <v/>
      </c>
      <c r="BX18" s="12">
        <f>COUNTIFS(Tracking!E:E,A18,Tracking!D:D,C18,Tracking!C:C,"5v5",Tracking!Q:Q,"OZ")</f>
        <v/>
      </c>
      <c r="BY18" s="12">
        <f>COUNTIFS(Tracking!E:E,A18,Tracking!D:D,C18,Tracking!C:C,"5v5",Tracking!Q:Q,"nZ")</f>
        <v/>
      </c>
      <c r="BZ18" s="12">
        <f>COUNTIFS(Tracking!E:E,A18,Tracking!D:D,C18,Tracking!C:C,"5v5",Tracking!Q:Q,"dZ")</f>
        <v/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/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/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/>
      </c>
      <c r="CD18" s="12">
        <f>COUNTIFS(Tracking!E:E,A18,Tracking!D:D,C18,Tracking!C:C,"5v5",Tracking!R:R,"dz exit")</f>
        <v/>
      </c>
      <c r="CE18" s="12">
        <f>COUNTIFS(Tracking!E:E,A18,Tracking!D:D,C18,Tracking!C:C,"5v5",Tracking!R:R,"dz counter")</f>
        <v/>
      </c>
      <c r="CF18" s="12">
        <f>COUNTIFS(Tracking!E:E,A18,Tracking!D:D,C18,Tracking!C:C,"5v5",Tracking!R:R,"nz turnover")</f>
        <v/>
      </c>
      <c r="CG18" s="12">
        <f>COUNTIFS(Tracking!E:E,A18,Tracking!D:D,C18,Tracking!C:C,"5v5",Tracking!R:R,"nz regroup")</f>
        <v/>
      </c>
      <c r="CH18" s="12">
        <f>COUNTIFS(Tracking!E:E,A18,Tracking!D:D,C18,Tracking!C:C,"5v5",Tracking!R:R,"nz reload")</f>
        <v/>
      </c>
      <c r="CI18" s="12">
        <f>COUNTIFS(Tracking!E:E,A18,Tracking!D:D,C18,Tracking!C:C,"5v5",Tracking!R:R,"controlled breakout")</f>
        <v/>
      </c>
      <c r="CJ18" s="2">
        <f>CK18+CL18+CM18+CN18+CO18+CP18</f>
        <v/>
      </c>
      <c r="CK18" s="2">
        <f>(0.075*H18)+(0.07*L18)+(0.055*M18)+(0.055*N18)+(0.095*J18)+(0.09*O18)+(0.05*P18)+(0.05*R18)+(0.05*S18)+(0.05*AB18)</f>
        <v/>
      </c>
      <c r="CL18" s="2">
        <f>(0.045*AD18)-(0.045*AE18)+(0.055*AH18)+(0.035*AI18)</f>
        <v/>
      </c>
      <c r="CM18" s="2">
        <f>(0.015*(AY18-AZ18))+(0.035*BA18)-(0.015*BB18)-(0.025*BC18)+(0.015*(AY18-(BD18+BC18)))</f>
        <v/>
      </c>
      <c r="CN18" s="2">
        <f>(0.035*AN18)+(0.025*AS18)-(0.035*AT18)-(0.035*AV18)</f>
        <v/>
      </c>
      <c r="CO18" s="2">
        <f>(0.015*AJ18)+(0.045*AG18)</f>
        <v/>
      </c>
      <c r="CP18" s="2">
        <f>(0.055*BM18)+(0.055*BN18)+(0.035*BO18)+(0.035*BQ18)+(0.055*BH18)+(0.035*BI18)+(0.035*BG18)</f>
        <v/>
      </c>
      <c r="CQ18" s="2">
        <f>CK18+CL18+CM18+CN18+CO18</f>
        <v/>
      </c>
    </row>
    <row r="19">
      <c r="A19" s="8" t="n">
        <v>53</v>
      </c>
      <c r="B19" s="8" t="inlineStr">
        <is>
          <t>Wyatt Johnston</t>
        </is>
      </c>
      <c r="C19" s="8" t="inlineStr">
        <is>
          <t>DAL</t>
        </is>
      </c>
      <c r="D19" s="8" t="inlineStr">
        <is>
          <t>C</t>
        </is>
      </c>
      <c r="E19" s="8" t="n">
        <v>12.616666666667</v>
      </c>
      <c r="F19" s="8" t="inlineStr">
        <is>
          <t>2025-26</t>
        </is>
      </c>
      <c r="G19" s="19" t="inlineStr">
        <is>
          <t>3/6/2026 DAL vs. COL</t>
        </is>
      </c>
      <c r="H19" s="9">
        <f>COUNTIFS(Tracking!E:E,A19,Tracking!D:D,C19,Tracking!C:C,"5v5")</f>
        <v/>
      </c>
      <c r="I19" s="9">
        <f>COUNTIFS(Tracking!E:E,A19,Tracking!D:D,C19,Tracking!N:N,"y",Tracking!C:C,"5v5")</f>
        <v/>
      </c>
      <c r="J19" s="9">
        <f>COUNTIFS(Tracking!E:E,A19,Tracking!D:D,C19,Tracking!M:M,"y",Tracking!C:C,"5v5")</f>
        <v/>
      </c>
      <c r="K19" s="9">
        <f>L19+M19+N19</f>
        <v/>
      </c>
      <c r="L19" s="9">
        <f>COUNTIFS(Tracking!G:G,A19,Tracking!D:D,C19,Tracking!C:C,"5v5")</f>
        <v/>
      </c>
      <c r="M19" s="9">
        <f>COUNTIFS(Tracking!H:H,A19,Tracking!D:D,C19,Tracking!C:C,"5v5")</f>
        <v/>
      </c>
      <c r="N19" s="9">
        <f>COUNTIFS(Tracking!I:I,A19,Tracking!D:D,C19,Tracking!C:C,"5v5")</f>
        <v/>
      </c>
      <c r="O19" s="9">
        <f>COUNTIFS(Tracking!G:G,A19,Tracking!D:D,C19,Tracking!C:C,"5v5",Tracking!M:M,"y")</f>
        <v/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/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/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/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/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/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/>
      </c>
      <c r="V19" s="9">
        <f>COUNTIFS(Tracking!E:E,A19,Tracking!D:D,C19,Tracking!C:C,"5v5",Tracking!P:P,"r")</f>
        <v/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/>
      </c>
      <c r="X19" s="9">
        <f>COUNTIFS(Tracking!E:E,A19,Tracking!D:D,C19,Tracking!C:C,"5v5",Tracking!P:P,"f")</f>
        <v/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/>
      </c>
      <c r="Z19" s="9">
        <f>COUNTIFS(Tracking!E:E,A19,Tracking!D:D,C19,Tracking!C:C,"5v5",Tracking!P:P,"c")</f>
        <v/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/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/>
      </c>
      <c r="AC19" s="11">
        <f>COUNTIFS(Tracking!Z:Z,A19&amp;C19,Tracking!C:C,"5v5")-AE19</f>
        <v/>
      </c>
      <c r="AD19" s="11">
        <f>COUNTIFS(Tracking!Z:Z,A19&amp;C19,Tracking!C:C,"5v5",Tracking!Y:Y,"C")</f>
        <v/>
      </c>
      <c r="AE19" s="11">
        <f>COUNTIFS(Tracking!Z:Z,A19&amp;C19,Tracking!C:C,"5v5",Tracking!Y:Y,"F")</f>
        <v/>
      </c>
      <c r="AF19" s="11">
        <f>COUNTIFS(Tracking!Z:Z,A19&amp;C19,Tracking!C:C,"5v5",Tracking!Y:Y,"C",Tracking!AB:AB,"Y")</f>
        <v/>
      </c>
      <c r="AG19" s="11">
        <f>COUNTIFS(Tracking!AD:AD,A19&amp;C19,Tracking!C:C,"5v5")</f>
        <v/>
      </c>
      <c r="AH19" s="11">
        <f>COUNTIFS(Tracking!Z:Z,A19&amp;C19,Tracking!C:C,"5v5",Tracking!Y:Y,"C",Tracking!AE:AE,"Y")</f>
        <v/>
      </c>
      <c r="AI19" s="11">
        <f>COUNTIFS(Tracking!Z:Z,A19&amp;C19,Tracking!C:C,"5v5",Tracking!Y:Y,"D",Tracking!AE:AE,"Y")</f>
        <v/>
      </c>
      <c r="AJ19" s="11">
        <f>COUNTIFS(Tracking!AH:AH,A19&amp;C19)</f>
        <v/>
      </c>
      <c r="AK19" s="5">
        <f>COUNTIFS(Tracking!AI:AI,A19&amp;C19,Tracking!C:C,"5v5")+AL19</f>
        <v/>
      </c>
      <c r="AL19" s="5">
        <f>COUNTIFS(Tracking!AF:AF,A19&amp;C19,Tracking!C:C,"5v5")-AT19</f>
        <v/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/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/>
      </c>
      <c r="AO19" s="5">
        <f>COUNTIFS(Tracking!AF:AF,A19&amp;C19,Tracking!C:C,"5v5",Tracking!AG:AG,"CEX")+COUNTIFS(Tracking!AI:AI,A19&amp;C19,Tracking!C:C,"5v5",Tracking!AJ:AJ,"CEX")</f>
        <v/>
      </c>
      <c r="AP19" s="5">
        <f>COUNTIFS(Tracking!AF:AF,A19&amp;C19,Tracking!C:C,"5v5",Tracking!AG:AG,"PEX")</f>
        <v/>
      </c>
      <c r="AQ19" s="5">
        <f>COUNTIFS(Tracking!AF:AF,A19&amp;C19,Tracking!C:C,"5v5",Tracking!AG:AG,"CLE")+COUNTIFS(Tracking!AI:AI,A19&amp;C19,Tracking!C:C,"5v5",Tracking!AJ:AJ,"CLE")</f>
        <v/>
      </c>
      <c r="AR19" s="5">
        <f>COUNTIFS(Tracking!AF:AF,A19&amp;C19,Tracking!C:C,"5v5",Tracking!AG:AG,"MEX")</f>
        <v/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/>
      </c>
      <c r="AT19" s="5">
        <f>COUNTIFS(Tracking!AF:AF,A19&amp;C19,Tracking!C:C,"5v5",Tracking!AG:AG,"BOT")+COUNTIFS(Tracking!AF:AF,A19&amp;C19,Tracking!C:C,"5v5",Tracking!AG:AG,"FEX")</f>
        <v/>
      </c>
      <c r="AU19" s="5">
        <f>COUNTIFS(Tracking!AF:AF,A19&amp;C19,Tracking!C:C,"5v5",Tracking!AG:AG,"EXC")</f>
        <v/>
      </c>
      <c r="AV19" s="5">
        <f>COUNTIFS(Tracking!AF:AF,A19&amp;C19,Tracking!C:C,"5v5",Tracking!AG:AG,"FEX")+COUNTIFS(Tracking!AI:AI,A19&amp;C19,Tracking!C:C,"5v5",Tracking!AJ:AJ,"FEX")</f>
        <v/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/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/>
      </c>
      <c r="AY19" s="1">
        <f>COUNTIFS(Tracking!AA:AA,A19&amp;C19,Tracking!C:C,"5v5")</f>
        <v/>
      </c>
      <c r="AZ19" s="1">
        <f>COUNTIFS(Tracking!AA:AA,A19&amp;C19,Tracking!C:C,"5v5",Tracking!Y:Y,"C")</f>
        <v/>
      </c>
      <c r="BA19" s="1">
        <f>COUNTIFS(Tracking!AA:AA,A19&amp;C19,Tracking!C:C,"5v5",Tracking!Y:Y,"F")</f>
        <v/>
      </c>
      <c r="BB19" s="1">
        <f>COUNTIFS(Tracking!AA:AA,A19&amp;C19,Tracking!C:C,"5v5",Tracking!AB:AB,"Y")</f>
        <v/>
      </c>
      <c r="BC19" s="1">
        <f>COUNTIFS(Tracking!AA:AA,A19&amp;C19,Tracking!C:C,"5v5",Tracking!Y:Y,"C",Tracking!AE:AE,"Y")</f>
        <v/>
      </c>
      <c r="BD19" s="1">
        <f>COUNTIFS(Tracking!AA:AA,A19&amp;C19,Tracking!C:C,"5v5",Tracking!Y:Y,"D",Tracking!AE:AE,"Y")</f>
        <v/>
      </c>
      <c r="BE19" s="10">
        <f>COUNTIFS(Tracking!Z:Z,A19&amp;C19,Tracking!C:C,"5v4")</f>
        <v/>
      </c>
      <c r="BF19" s="10">
        <f>COUNTIFS(Tracking!Z:Z,A19&amp;C19,Tracking!C:C,"5v4",Tracking!Y:Y,"C")</f>
        <v/>
      </c>
      <c r="BG19" s="10">
        <f>COUNTIFS(Tracking!Z:Z,A19&amp;C19,Tracking!C:C,"5v4",Tracking!AB:AB,"Y")</f>
        <v/>
      </c>
      <c r="BH19" s="10">
        <f>COUNTIFS(Tracking!Z:Z,A19&amp;C19,Tracking!C:C,"4v5")</f>
        <v/>
      </c>
      <c r="BI19" s="10">
        <f>COUNTIFS(Tracking!AA:AA,A19&amp;C19,Tracking!C:C,"5v4",Tracking!Y:Y,"D")+COUNTIFS(Tracking!AA:AA,A19&amp;C19,Tracking!C:C,"5v4",Tracking!Y:Y,"F")</f>
        <v/>
      </c>
      <c r="BJ19" s="10">
        <f>COUNTIFS(Tracking!E:E,A19,Tracking!D:D,C19,Tracking!C:C,"5v4")</f>
        <v/>
      </c>
      <c r="BK19" s="10">
        <f>COUNTIFS(Tracking!G:G,A19,Tracking!D:D,C19,Tracking!C:C,"5v4")+COUNTIFS(Tracking!H:H,A19,Tracking!D:D,C19,Tracking!C:C,"5v4")+COUNTIFS(Tracking!I:I,A19,Tracking!D:D,C19,Tracking!C:C,"5v4")</f>
        <v/>
      </c>
      <c r="BL19" s="10">
        <f>COUNTIFS(Tracking!G:G,A19,Tracking!D:D,C19,Tracking!C:C,"5v4")</f>
        <v/>
      </c>
      <c r="BM19" s="10">
        <f>COUNTIFS(Tracking!E:E,A19,Tracking!D:D,C19,Tracking!C:C,"5v4",Tracking!M:M,"Y")</f>
        <v/>
      </c>
      <c r="BN19" s="10">
        <f>COUNTIFS(Tracking!G:G,A19,Tracking!D:D,C19,Tracking!C:C,"5v4",Tracking!M:M,"Y")</f>
        <v/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/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/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/>
      </c>
      <c r="BR19" s="12">
        <f>COUNTIFS(Tracking!E:E,A19,Tracking!D:D,C19,Tracking!C:C,"5v5",Tracking!F:F,"o")</f>
        <v/>
      </c>
      <c r="BS19" s="12">
        <f>COUNTIFS(Tracking!E:E,A19,Tracking!D:D,C19,Tracking!C:C,"5v5",Tracking!F:F,"r")</f>
        <v/>
      </c>
      <c r="BT19" s="12">
        <f>COUNTIFS(Tracking!E:E,A19,Tracking!D:D,C19,Tracking!C:C,"5v5",Tracking!F:F,"t")</f>
        <v/>
      </c>
      <c r="BU19" s="12">
        <f>COUNTIFS(Tracking!G:G,A19,Tracking!D:D,C19,Tracking!C:C,"5v5",Tracking!F:F,"o")</f>
        <v/>
      </c>
      <c r="BV19" s="12">
        <f>COUNTIFS(Tracking!E:E,A18,Tracking!D:D,C19,Tracking!C:C,"5v5",Tracking!F:F,"r")</f>
        <v/>
      </c>
      <c r="BW19" s="12">
        <f>COUNTIFS(Tracking!G:G,A19,Tracking!D:D,C19,Tracking!C:C,"5v5",Tracking!F:F,"T")</f>
        <v/>
      </c>
      <c r="BX19" s="12">
        <f>COUNTIFS(Tracking!E:E,A19,Tracking!D:D,C19,Tracking!C:C,"5v5",Tracking!Q:Q,"OZ")</f>
        <v/>
      </c>
      <c r="BY19" s="12">
        <f>COUNTIFS(Tracking!E:E,A19,Tracking!D:D,C19,Tracking!C:C,"5v5",Tracking!Q:Q,"nZ")</f>
        <v/>
      </c>
      <c r="BZ19" s="12">
        <f>COUNTIFS(Tracking!E:E,A19,Tracking!D:D,C19,Tracking!C:C,"5v5",Tracking!Q:Q,"dZ")</f>
        <v/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/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/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/>
      </c>
      <c r="CD19" s="12">
        <f>COUNTIFS(Tracking!E:E,A19,Tracking!D:D,C19,Tracking!C:C,"5v5",Tracking!R:R,"dz exit")</f>
        <v/>
      </c>
      <c r="CE19" s="12">
        <f>COUNTIFS(Tracking!E:E,A19,Tracking!D:D,C19,Tracking!C:C,"5v5",Tracking!R:R,"dz counter")</f>
        <v/>
      </c>
      <c r="CF19" s="12">
        <f>COUNTIFS(Tracking!E:E,A19,Tracking!D:D,C19,Tracking!C:C,"5v5",Tracking!R:R,"nz turnover")</f>
        <v/>
      </c>
      <c r="CG19" s="12">
        <f>COUNTIFS(Tracking!E:E,A19,Tracking!D:D,C19,Tracking!C:C,"5v5",Tracking!R:R,"nz regroup")</f>
        <v/>
      </c>
      <c r="CH19" s="12">
        <f>COUNTIFS(Tracking!E:E,A19,Tracking!D:D,C19,Tracking!C:C,"5v5",Tracking!R:R,"nz reload")</f>
        <v/>
      </c>
      <c r="CI19" s="12">
        <f>COUNTIFS(Tracking!E:E,A19,Tracking!D:D,C19,Tracking!C:C,"5v5",Tracking!R:R,"controlled breakout")</f>
        <v/>
      </c>
      <c r="CJ19" s="2">
        <f>CK19+CL19+CM19+CN19+CO19+CP19</f>
        <v/>
      </c>
      <c r="CK19" s="2">
        <f>(0.075*H19)+(0.07*L19)+(0.055*M19)+(0.055*N19)+(0.095*J19)+(0.09*O19)+(0.05*P19)+(0.05*R19)+(0.05*S19)+(0.05*AB19)</f>
        <v/>
      </c>
      <c r="CL19" s="2">
        <f>(0.045*AD19)-(0.045*AE19)+(0.055*AH19)+(0.035*AI19)</f>
        <v/>
      </c>
      <c r="CM19" s="2">
        <f>(0.015*(AY19-AZ19))+(0.035*BA19)-(0.015*BB19)-(0.025*BC19)+(0.015*(AY19-(BD19+BC19)))</f>
        <v/>
      </c>
      <c r="CN19" s="2">
        <f>(0.035*AN19)+(0.025*AS19)-(0.035*AT19)-(0.035*AV19)</f>
        <v/>
      </c>
      <c r="CO19" s="2">
        <f>(0.015*AJ19)+(0.045*AG19)</f>
        <v/>
      </c>
      <c r="CP19" s="2">
        <f>(0.055*BM19)+(0.055*BN19)+(0.035*BO19)+(0.035*BQ19)+(0.055*BH19)+(0.035*BI19)+(0.035*BG19)</f>
        <v/>
      </c>
      <c r="CQ19" s="2">
        <f>CK19+CL19+CM19+CN19+CO19</f>
        <v/>
      </c>
    </row>
    <row r="20">
      <c r="A20" s="8" t="n">
        <v>84</v>
      </c>
      <c r="B20" s="8" t="inlineStr">
        <is>
          <t>Brent Burns</t>
        </is>
      </c>
      <c r="C20" s="8" t="inlineStr">
        <is>
          <t>COL</t>
        </is>
      </c>
      <c r="D20" s="8" t="inlineStr">
        <is>
          <t>D</t>
        </is>
      </c>
      <c r="E20" s="8" t="n">
        <v>13.783333333333</v>
      </c>
      <c r="F20" s="8" t="inlineStr">
        <is>
          <t>2025-26</t>
        </is>
      </c>
      <c r="G20" s="19" t="inlineStr">
        <is>
          <t>3/6/2026 DAL vs. COL</t>
        </is>
      </c>
      <c r="H20" s="9">
        <f>COUNTIFS(Tracking!E:E,A20,Tracking!D:D,C20,Tracking!C:C,"5v5")</f>
        <v/>
      </c>
      <c r="I20" s="9">
        <f>COUNTIFS(Tracking!E:E,A20,Tracking!D:D,C20,Tracking!N:N,"y",Tracking!C:C,"5v5")</f>
        <v/>
      </c>
      <c r="J20" s="9">
        <f>COUNTIFS(Tracking!E:E,A20,Tracking!D:D,C20,Tracking!M:M,"y",Tracking!C:C,"5v5")</f>
        <v/>
      </c>
      <c r="K20" s="9">
        <f>L20+M20+N20</f>
        <v/>
      </c>
      <c r="L20" s="9">
        <f>COUNTIFS(Tracking!G:G,A20,Tracking!D:D,C20,Tracking!C:C,"5v5")</f>
        <v/>
      </c>
      <c r="M20" s="9">
        <f>COUNTIFS(Tracking!H:H,A20,Tracking!D:D,C20,Tracking!C:C,"5v5")</f>
        <v/>
      </c>
      <c r="N20" s="9">
        <f>COUNTIFS(Tracking!I:I,A20,Tracking!D:D,C20,Tracking!C:C,"5v5")</f>
        <v/>
      </c>
      <c r="O20" s="9">
        <f>COUNTIFS(Tracking!G:G,A20,Tracking!D:D,C20,Tracking!C:C,"5v5",Tracking!M:M,"y")</f>
        <v/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/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/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/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/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/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/>
      </c>
      <c r="V20" s="9">
        <f>COUNTIFS(Tracking!E:E,A20,Tracking!D:D,C20,Tracking!C:C,"5v5",Tracking!P:P,"r")</f>
        <v/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/>
      </c>
      <c r="X20" s="9">
        <f>COUNTIFS(Tracking!E:E,A20,Tracking!D:D,C20,Tracking!C:C,"5v5",Tracking!P:P,"f")</f>
        <v/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/>
      </c>
      <c r="Z20" s="9">
        <f>COUNTIFS(Tracking!E:E,A20,Tracking!D:D,C20,Tracking!C:C,"5v5",Tracking!P:P,"c")</f>
        <v/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/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/>
      </c>
      <c r="AC20" s="11">
        <f>COUNTIFS(Tracking!Z:Z,A20&amp;C20,Tracking!C:C,"5v5")-AE20</f>
        <v/>
      </c>
      <c r="AD20" s="11">
        <f>COUNTIFS(Tracking!Z:Z,A20&amp;C20,Tracking!C:C,"5v5",Tracking!Y:Y,"C")</f>
        <v/>
      </c>
      <c r="AE20" s="11">
        <f>COUNTIFS(Tracking!Z:Z,A20&amp;C20,Tracking!C:C,"5v5",Tracking!Y:Y,"F")</f>
        <v/>
      </c>
      <c r="AF20" s="11">
        <f>COUNTIFS(Tracking!Z:Z,A20&amp;C20,Tracking!C:C,"5v5",Tracking!Y:Y,"C",Tracking!AB:AB,"Y")</f>
        <v/>
      </c>
      <c r="AG20" s="11">
        <f>COUNTIFS(Tracking!AD:AD,A20&amp;C20,Tracking!C:C,"5v5")</f>
        <v/>
      </c>
      <c r="AH20" s="11">
        <f>COUNTIFS(Tracking!Z:Z,A20&amp;C20,Tracking!C:C,"5v5",Tracking!Y:Y,"C",Tracking!AE:AE,"Y")</f>
        <v/>
      </c>
      <c r="AI20" s="11">
        <f>COUNTIFS(Tracking!Z:Z,A20&amp;C20,Tracking!C:C,"5v5",Tracking!Y:Y,"D",Tracking!AE:AE,"Y")</f>
        <v/>
      </c>
      <c r="AJ20" s="11">
        <f>COUNTIFS(Tracking!AH:AH,A20&amp;C20)</f>
        <v/>
      </c>
      <c r="AK20" s="5">
        <f>COUNTIFS(Tracking!AI:AI,A20&amp;C20,Tracking!C:C,"5v5")+AL20</f>
        <v/>
      </c>
      <c r="AL20" s="5">
        <f>COUNTIFS(Tracking!AF:AF,A20&amp;C20,Tracking!C:C,"5v5")-AT20</f>
        <v/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/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/>
      </c>
      <c r="AO20" s="5">
        <f>COUNTIFS(Tracking!AF:AF,A20&amp;C20,Tracking!C:C,"5v5",Tracking!AG:AG,"CEX")+COUNTIFS(Tracking!AI:AI,A20&amp;C20,Tracking!C:C,"5v5",Tracking!AJ:AJ,"CEX")</f>
        <v/>
      </c>
      <c r="AP20" s="5">
        <f>COUNTIFS(Tracking!AF:AF,A20&amp;C20,Tracking!C:C,"5v5",Tracking!AG:AG,"PEX")</f>
        <v/>
      </c>
      <c r="AQ20" s="5">
        <f>COUNTIFS(Tracking!AF:AF,A20&amp;C20,Tracking!C:C,"5v5",Tracking!AG:AG,"CLE")+COUNTIFS(Tracking!AI:AI,A20&amp;C20,Tracking!C:C,"5v5",Tracking!AJ:AJ,"CLE")</f>
        <v/>
      </c>
      <c r="AR20" s="5">
        <f>COUNTIFS(Tracking!AF:AF,A20&amp;C20,Tracking!C:C,"5v5",Tracking!AG:AG,"MEX")</f>
        <v/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/>
      </c>
      <c r="AT20" s="5">
        <f>COUNTIFS(Tracking!AF:AF,A20&amp;C20,Tracking!C:C,"5v5",Tracking!AG:AG,"BOT")+COUNTIFS(Tracking!AF:AF,A20&amp;C20,Tracking!C:C,"5v5",Tracking!AG:AG,"FEX")</f>
        <v/>
      </c>
      <c r="AU20" s="5">
        <f>COUNTIFS(Tracking!AF:AF,A20&amp;C20,Tracking!C:C,"5v5",Tracking!AG:AG,"EXC")</f>
        <v/>
      </c>
      <c r="AV20" s="5">
        <f>COUNTIFS(Tracking!AF:AF,A20&amp;C20,Tracking!C:C,"5v5",Tracking!AG:AG,"FEX")+COUNTIFS(Tracking!AI:AI,A20&amp;C20,Tracking!C:C,"5v5",Tracking!AJ:AJ,"FEX")</f>
        <v/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/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/>
      </c>
      <c r="AY20" s="1">
        <f>COUNTIFS(Tracking!AA:AA,A20&amp;C20,Tracking!C:C,"5v5")</f>
        <v/>
      </c>
      <c r="AZ20" s="1">
        <f>COUNTIFS(Tracking!AA:AA,A20&amp;C20,Tracking!C:C,"5v5",Tracking!Y:Y,"C")</f>
        <v/>
      </c>
      <c r="BA20" s="1">
        <f>COUNTIFS(Tracking!AA:AA,A20&amp;C20,Tracking!C:C,"5v5",Tracking!Y:Y,"F")</f>
        <v/>
      </c>
      <c r="BB20" s="1">
        <f>COUNTIFS(Tracking!AA:AA,A20&amp;C20,Tracking!C:C,"5v5",Tracking!AB:AB,"Y")</f>
        <v/>
      </c>
      <c r="BC20" s="1">
        <f>COUNTIFS(Tracking!AA:AA,A20&amp;C20,Tracking!C:C,"5v5",Tracking!Y:Y,"C",Tracking!AE:AE,"Y")</f>
        <v/>
      </c>
      <c r="BD20" s="1">
        <f>COUNTIFS(Tracking!AA:AA,A20&amp;C20,Tracking!C:C,"5v5",Tracking!Y:Y,"D",Tracking!AE:AE,"Y")</f>
        <v/>
      </c>
      <c r="BE20" s="10">
        <f>COUNTIFS(Tracking!Z:Z,A20&amp;C20,Tracking!C:C,"5v4")</f>
        <v/>
      </c>
      <c r="BF20" s="10">
        <f>COUNTIFS(Tracking!Z:Z,A20&amp;C20,Tracking!C:C,"5v4",Tracking!Y:Y,"C")</f>
        <v/>
      </c>
      <c r="BG20" s="10">
        <f>COUNTIFS(Tracking!Z:Z,A20&amp;C20,Tracking!C:C,"5v4",Tracking!AB:AB,"Y")</f>
        <v/>
      </c>
      <c r="BH20" s="10">
        <f>COUNTIFS(Tracking!Z:Z,A20&amp;C20,Tracking!C:C,"4v5")</f>
        <v/>
      </c>
      <c r="BI20" s="10">
        <f>COUNTIFS(Tracking!AA:AA,A20&amp;C20,Tracking!C:C,"5v4",Tracking!Y:Y,"D")+COUNTIFS(Tracking!AA:AA,A20&amp;C20,Tracking!C:C,"5v4",Tracking!Y:Y,"F")</f>
        <v/>
      </c>
      <c r="BJ20" s="10">
        <f>COUNTIFS(Tracking!E:E,A20,Tracking!D:D,C20,Tracking!C:C,"5v4")</f>
        <v/>
      </c>
      <c r="BK20" s="10">
        <f>COUNTIFS(Tracking!G:G,A20,Tracking!D:D,C20,Tracking!C:C,"5v4")+COUNTIFS(Tracking!H:H,A20,Tracking!D:D,C20,Tracking!C:C,"5v4")+COUNTIFS(Tracking!I:I,A20,Tracking!D:D,C20,Tracking!C:C,"5v4")</f>
        <v/>
      </c>
      <c r="BL20" s="10">
        <f>COUNTIFS(Tracking!G:G,A20,Tracking!D:D,C20,Tracking!C:C,"5v4")</f>
        <v/>
      </c>
      <c r="BM20" s="10">
        <f>COUNTIFS(Tracking!E:E,A20,Tracking!D:D,C20,Tracking!C:C,"5v4",Tracking!M:M,"Y")</f>
        <v/>
      </c>
      <c r="BN20" s="10">
        <f>COUNTIFS(Tracking!G:G,A20,Tracking!D:D,C20,Tracking!C:C,"5v4",Tracking!M:M,"Y")</f>
        <v/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/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/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/>
      </c>
      <c r="BR20" s="12">
        <f>COUNTIFS(Tracking!E:E,A20,Tracking!D:D,C20,Tracking!C:C,"5v5",Tracking!F:F,"o")</f>
        <v/>
      </c>
      <c r="BS20" s="12">
        <f>COUNTIFS(Tracking!E:E,A20,Tracking!D:D,C20,Tracking!C:C,"5v5",Tracking!F:F,"r")</f>
        <v/>
      </c>
      <c r="BT20" s="12">
        <f>COUNTIFS(Tracking!E:E,A20,Tracking!D:D,C20,Tracking!C:C,"5v5",Tracking!F:F,"t")</f>
        <v/>
      </c>
      <c r="BU20" s="12">
        <f>COUNTIFS(Tracking!G:G,A20,Tracking!D:D,C20,Tracking!C:C,"5v5",Tracking!F:F,"o")</f>
        <v/>
      </c>
      <c r="BV20" s="12">
        <f>COUNTIFS(Tracking!E:E,A19,Tracking!D:D,C20,Tracking!C:C,"5v5",Tracking!F:F,"r")</f>
        <v/>
      </c>
      <c r="BW20" s="12">
        <f>COUNTIFS(Tracking!G:G,A20,Tracking!D:D,C20,Tracking!C:C,"5v5",Tracking!F:F,"T")</f>
        <v/>
      </c>
      <c r="BX20" s="12">
        <f>COUNTIFS(Tracking!E:E,A20,Tracking!D:D,C20,Tracking!C:C,"5v5",Tracking!Q:Q,"OZ")</f>
        <v/>
      </c>
      <c r="BY20" s="12">
        <f>COUNTIFS(Tracking!E:E,A20,Tracking!D:D,C20,Tracking!C:C,"5v5",Tracking!Q:Q,"nZ")</f>
        <v/>
      </c>
      <c r="BZ20" s="12">
        <f>COUNTIFS(Tracking!E:E,A20,Tracking!D:D,C20,Tracking!C:C,"5v5",Tracking!Q:Q,"dZ")</f>
        <v/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/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/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/>
      </c>
      <c r="CD20" s="12">
        <f>COUNTIFS(Tracking!E:E,A20,Tracking!D:D,C20,Tracking!C:C,"5v5",Tracking!R:R,"dz exit")</f>
        <v/>
      </c>
      <c r="CE20" s="12">
        <f>COUNTIFS(Tracking!E:E,A20,Tracking!D:D,C20,Tracking!C:C,"5v5",Tracking!R:R,"dz counter")</f>
        <v/>
      </c>
      <c r="CF20" s="12">
        <f>COUNTIFS(Tracking!E:E,A20,Tracking!D:D,C20,Tracking!C:C,"5v5",Tracking!R:R,"nz turnover")</f>
        <v/>
      </c>
      <c r="CG20" s="12">
        <f>COUNTIFS(Tracking!E:E,A20,Tracking!D:D,C20,Tracking!C:C,"5v5",Tracking!R:R,"nz regroup")</f>
        <v/>
      </c>
      <c r="CH20" s="12">
        <f>COUNTIFS(Tracking!E:E,A20,Tracking!D:D,C20,Tracking!C:C,"5v5",Tracking!R:R,"nz reload")</f>
        <v/>
      </c>
      <c r="CI20" s="12">
        <f>COUNTIFS(Tracking!E:E,A20,Tracking!D:D,C20,Tracking!C:C,"5v5",Tracking!R:R,"controlled breakout")</f>
        <v/>
      </c>
      <c r="CJ20" s="2">
        <f>CK20+CL20+CM20+CN20+CO20+CP20</f>
        <v/>
      </c>
      <c r="CK20" s="2">
        <f>(0.075*H20)+(0.07*L20)+(0.055*M20)+(0.055*N20)+(0.095*J20)+(0.09*O20)+(0.05*P20)+(0.05*R20)+(0.05*S20)+(0.05*AB20)</f>
        <v/>
      </c>
      <c r="CL20" s="2">
        <f>(0.045*AD20)-(0.045*AE20)+(0.055*AH20)+(0.035*AI20)</f>
        <v/>
      </c>
      <c r="CM20" s="2">
        <f>(0.015*(AY20-AZ20))+(0.035*BA20)-(0.015*BB20)-(0.025*BC20)+(0.015*(AY20-(BD20+BC20)))</f>
        <v/>
      </c>
      <c r="CN20" s="2">
        <f>(0.035*AN20)+(0.025*AS20)-(0.035*AT20)-(0.035*AV20)</f>
        <v/>
      </c>
      <c r="CO20" s="2">
        <f>(0.015*AJ20)+(0.045*AG20)</f>
        <v/>
      </c>
      <c r="CP20" s="2">
        <f>(0.055*BM20)+(0.055*BN20)+(0.035*BO20)+(0.035*BQ20)+(0.055*BH20)+(0.035*BI20)+(0.035*BG20)</f>
        <v/>
      </c>
      <c r="CQ20" s="2">
        <f>CK20+CL20+CM20+CN20+CO20</f>
        <v/>
      </c>
    </row>
    <row r="21">
      <c r="A21" s="8" t="n">
        <v>27</v>
      </c>
      <c r="B21" s="8" t="inlineStr">
        <is>
          <t>Brett Kulak</t>
        </is>
      </c>
      <c r="C21" s="8" t="inlineStr">
        <is>
          <t>COL</t>
        </is>
      </c>
      <c r="D21" s="8" t="inlineStr">
        <is>
          <t>D</t>
        </is>
      </c>
      <c r="E21" s="8" t="n">
        <v>14.733333333333</v>
      </c>
      <c r="F21" s="8" t="inlineStr">
        <is>
          <t>2025-26</t>
        </is>
      </c>
      <c r="G21" s="19" t="inlineStr">
        <is>
          <t>3/6/2026 DAL vs. COL</t>
        </is>
      </c>
      <c r="H21" s="9">
        <f>COUNTIFS(Tracking!E:E,A21,Tracking!D:D,C21,Tracking!C:C,"5v5")</f>
        <v/>
      </c>
      <c r="I21" s="9">
        <f>COUNTIFS(Tracking!E:E,A21,Tracking!D:D,C21,Tracking!N:N,"y",Tracking!C:C,"5v5")</f>
        <v/>
      </c>
      <c r="J21" s="9">
        <f>COUNTIFS(Tracking!E:E,A21,Tracking!D:D,C21,Tracking!M:M,"y",Tracking!C:C,"5v5")</f>
        <v/>
      </c>
      <c r="K21" s="9">
        <f>L21+M21+N21</f>
        <v/>
      </c>
      <c r="L21" s="9">
        <f>COUNTIFS(Tracking!G:G,A21,Tracking!D:D,C21,Tracking!C:C,"5v5")</f>
        <v/>
      </c>
      <c r="M21" s="9">
        <f>COUNTIFS(Tracking!H:H,A21,Tracking!D:D,C21,Tracking!C:C,"5v5")</f>
        <v/>
      </c>
      <c r="N21" s="9">
        <f>COUNTIFS(Tracking!I:I,A21,Tracking!D:D,C21,Tracking!C:C,"5v5")</f>
        <v/>
      </c>
      <c r="O21" s="9">
        <f>COUNTIFS(Tracking!G:G,A21,Tracking!D:D,C21,Tracking!C:C,"5v5",Tracking!M:M,"y")</f>
        <v/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/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/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/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/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/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/>
      </c>
      <c r="V21" s="9">
        <f>COUNTIFS(Tracking!E:E,A21,Tracking!D:D,C21,Tracking!C:C,"5v5",Tracking!P:P,"r")</f>
        <v/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/>
      </c>
      <c r="X21" s="9">
        <f>COUNTIFS(Tracking!E:E,A21,Tracking!D:D,C21,Tracking!C:C,"5v5",Tracking!P:P,"f")</f>
        <v/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/>
      </c>
      <c r="Z21" s="9">
        <f>COUNTIFS(Tracking!E:E,A21,Tracking!D:D,C21,Tracking!C:C,"5v5",Tracking!P:P,"c")</f>
        <v/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/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/>
      </c>
      <c r="AC21" s="11">
        <f>COUNTIFS(Tracking!Z:Z,A21&amp;C21,Tracking!C:C,"5v5")-AE21</f>
        <v/>
      </c>
      <c r="AD21" s="11">
        <f>COUNTIFS(Tracking!Z:Z,A21&amp;C21,Tracking!C:C,"5v5",Tracking!Y:Y,"C")</f>
        <v/>
      </c>
      <c r="AE21" s="11">
        <f>COUNTIFS(Tracking!Z:Z,A21&amp;C21,Tracking!C:C,"5v5",Tracking!Y:Y,"F")</f>
        <v/>
      </c>
      <c r="AF21" s="11">
        <f>COUNTIFS(Tracking!Z:Z,A21&amp;C21,Tracking!C:C,"5v5",Tracking!Y:Y,"C",Tracking!AB:AB,"Y")</f>
        <v/>
      </c>
      <c r="AG21" s="11">
        <f>COUNTIFS(Tracking!AD:AD,A21&amp;C21,Tracking!C:C,"5v5")</f>
        <v/>
      </c>
      <c r="AH21" s="11">
        <f>COUNTIFS(Tracking!Z:Z,A21&amp;C21,Tracking!C:C,"5v5",Tracking!Y:Y,"C",Tracking!AE:AE,"Y")</f>
        <v/>
      </c>
      <c r="AI21" s="11">
        <f>COUNTIFS(Tracking!Z:Z,A21&amp;C21,Tracking!C:C,"5v5",Tracking!Y:Y,"D",Tracking!AE:AE,"Y")</f>
        <v/>
      </c>
      <c r="AJ21" s="11">
        <f>COUNTIFS(Tracking!AH:AH,A21&amp;C21)</f>
        <v/>
      </c>
      <c r="AK21" s="5">
        <f>COUNTIFS(Tracking!AI:AI,A21&amp;C21,Tracking!C:C,"5v5")+AL21</f>
        <v/>
      </c>
      <c r="AL21" s="5">
        <f>COUNTIFS(Tracking!AF:AF,A21&amp;C21,Tracking!C:C,"5v5")-AT21</f>
        <v/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/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/>
      </c>
      <c r="AO21" s="5">
        <f>COUNTIFS(Tracking!AF:AF,A21&amp;C21,Tracking!C:C,"5v5",Tracking!AG:AG,"CEX")+COUNTIFS(Tracking!AI:AI,A21&amp;C21,Tracking!C:C,"5v5",Tracking!AJ:AJ,"CEX")</f>
        <v/>
      </c>
      <c r="AP21" s="5">
        <f>COUNTIFS(Tracking!AF:AF,A21&amp;C21,Tracking!C:C,"5v5",Tracking!AG:AG,"PEX")</f>
        <v/>
      </c>
      <c r="AQ21" s="5">
        <f>COUNTIFS(Tracking!AF:AF,A21&amp;C21,Tracking!C:C,"5v5",Tracking!AG:AG,"CLE")+COUNTIFS(Tracking!AI:AI,A21&amp;C21,Tracking!C:C,"5v5",Tracking!AJ:AJ,"CLE")</f>
        <v/>
      </c>
      <c r="AR21" s="5">
        <f>COUNTIFS(Tracking!AF:AF,A21&amp;C21,Tracking!C:C,"5v5",Tracking!AG:AG,"MEX")</f>
        <v/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/>
      </c>
      <c r="AT21" s="5">
        <f>COUNTIFS(Tracking!AF:AF,A21&amp;C21,Tracking!C:C,"5v5",Tracking!AG:AG,"BOT")+COUNTIFS(Tracking!AF:AF,A21&amp;C21,Tracking!C:C,"5v5",Tracking!AG:AG,"FEX")</f>
        <v/>
      </c>
      <c r="AU21" s="5">
        <f>COUNTIFS(Tracking!AF:AF,A21&amp;C21,Tracking!C:C,"5v5",Tracking!AG:AG,"EXC")</f>
        <v/>
      </c>
      <c r="AV21" s="5">
        <f>COUNTIFS(Tracking!AF:AF,A21&amp;C21,Tracking!C:C,"5v5",Tracking!AG:AG,"FEX")+COUNTIFS(Tracking!AI:AI,A21&amp;C21,Tracking!C:C,"5v5",Tracking!AJ:AJ,"FEX")</f>
        <v/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/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/>
      </c>
      <c r="AY21" s="1">
        <f>COUNTIFS(Tracking!AA:AA,A21&amp;C21,Tracking!C:C,"5v5")</f>
        <v/>
      </c>
      <c r="AZ21" s="1">
        <f>COUNTIFS(Tracking!AA:AA,A21&amp;C21,Tracking!C:C,"5v5",Tracking!Y:Y,"C")</f>
        <v/>
      </c>
      <c r="BA21" s="1">
        <f>COUNTIFS(Tracking!AA:AA,A21&amp;C21,Tracking!C:C,"5v5",Tracking!Y:Y,"F")</f>
        <v/>
      </c>
      <c r="BB21" s="1">
        <f>COUNTIFS(Tracking!AA:AA,A21&amp;C21,Tracking!C:C,"5v5",Tracking!AB:AB,"Y")</f>
        <v/>
      </c>
      <c r="BC21" s="1">
        <f>COUNTIFS(Tracking!AA:AA,A21&amp;C21,Tracking!C:C,"5v5",Tracking!Y:Y,"C",Tracking!AE:AE,"Y")</f>
        <v/>
      </c>
      <c r="BD21" s="1">
        <f>COUNTIFS(Tracking!AA:AA,A21&amp;C21,Tracking!C:C,"5v5",Tracking!Y:Y,"D",Tracking!AE:AE,"Y")</f>
        <v/>
      </c>
      <c r="BE21" s="10">
        <f>COUNTIFS(Tracking!Z:Z,A21&amp;C21,Tracking!C:C,"5v4")</f>
        <v/>
      </c>
      <c r="BF21" s="10">
        <f>COUNTIFS(Tracking!Z:Z,A21&amp;C21,Tracking!C:C,"5v4",Tracking!Y:Y,"C")</f>
        <v/>
      </c>
      <c r="BG21" s="10">
        <f>COUNTIFS(Tracking!Z:Z,A21&amp;C21,Tracking!C:C,"5v4",Tracking!AB:AB,"Y")</f>
        <v/>
      </c>
      <c r="BH21" s="10">
        <f>COUNTIFS(Tracking!Z:Z,A21&amp;C21,Tracking!C:C,"4v5")</f>
        <v/>
      </c>
      <c r="BI21" s="10">
        <f>COUNTIFS(Tracking!AA:AA,A21&amp;C21,Tracking!C:C,"5v4",Tracking!Y:Y,"D")+COUNTIFS(Tracking!AA:AA,A21&amp;C21,Tracking!C:C,"5v4",Tracking!Y:Y,"F")</f>
        <v/>
      </c>
      <c r="BJ21" s="10">
        <f>COUNTIFS(Tracking!E:E,A21,Tracking!D:D,C21,Tracking!C:C,"5v4")</f>
        <v/>
      </c>
      <c r="BK21" s="10">
        <f>COUNTIFS(Tracking!G:G,A21,Tracking!D:D,C21,Tracking!C:C,"5v4")+COUNTIFS(Tracking!H:H,A21,Tracking!D:D,C21,Tracking!C:C,"5v4")+COUNTIFS(Tracking!I:I,A21,Tracking!D:D,C21,Tracking!C:C,"5v4")</f>
        <v/>
      </c>
      <c r="BL21" s="10">
        <f>COUNTIFS(Tracking!G:G,A21,Tracking!D:D,C21,Tracking!C:C,"5v4")</f>
        <v/>
      </c>
      <c r="BM21" s="10">
        <f>COUNTIFS(Tracking!E:E,A21,Tracking!D:D,C21,Tracking!C:C,"5v4",Tracking!M:M,"Y")</f>
        <v/>
      </c>
      <c r="BN21" s="10">
        <f>COUNTIFS(Tracking!G:G,A21,Tracking!D:D,C21,Tracking!C:C,"5v4",Tracking!M:M,"Y")</f>
        <v/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/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/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/>
      </c>
      <c r="BR21" s="12">
        <f>COUNTIFS(Tracking!E:E,A21,Tracking!D:D,C21,Tracking!C:C,"5v5",Tracking!F:F,"o")</f>
        <v/>
      </c>
      <c r="BS21" s="12">
        <f>COUNTIFS(Tracking!E:E,A21,Tracking!D:D,C21,Tracking!C:C,"5v5",Tracking!F:F,"r")</f>
        <v/>
      </c>
      <c r="BT21" s="12">
        <f>COUNTIFS(Tracking!E:E,A21,Tracking!D:D,C21,Tracking!C:C,"5v5",Tracking!F:F,"t")</f>
        <v/>
      </c>
      <c r="BU21" s="12">
        <f>COUNTIFS(Tracking!G:G,A21,Tracking!D:D,C21,Tracking!C:C,"5v5",Tracking!F:F,"o")</f>
        <v/>
      </c>
      <c r="BV21" s="12">
        <f>COUNTIFS(Tracking!E:E,A20,Tracking!D:D,C21,Tracking!C:C,"5v5",Tracking!F:F,"r")</f>
        <v/>
      </c>
      <c r="BW21" s="12">
        <f>COUNTIFS(Tracking!G:G,A21,Tracking!D:D,C21,Tracking!C:C,"5v5",Tracking!F:F,"T")</f>
        <v/>
      </c>
      <c r="BX21" s="12">
        <f>COUNTIFS(Tracking!E:E,A21,Tracking!D:D,C21,Tracking!C:C,"5v5",Tracking!Q:Q,"OZ")</f>
        <v/>
      </c>
      <c r="BY21" s="12">
        <f>COUNTIFS(Tracking!E:E,A21,Tracking!D:D,C21,Tracking!C:C,"5v5",Tracking!Q:Q,"nZ")</f>
        <v/>
      </c>
      <c r="BZ21" s="12">
        <f>COUNTIFS(Tracking!E:E,A21,Tracking!D:D,C21,Tracking!C:C,"5v5",Tracking!Q:Q,"dZ")</f>
        <v/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/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/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/>
      </c>
      <c r="CD21" s="12">
        <f>COUNTIFS(Tracking!E:E,A21,Tracking!D:D,C21,Tracking!C:C,"5v5",Tracking!R:R,"dz exit")</f>
        <v/>
      </c>
      <c r="CE21" s="12">
        <f>COUNTIFS(Tracking!E:E,A21,Tracking!D:D,C21,Tracking!C:C,"5v5",Tracking!R:R,"dz counter")</f>
        <v/>
      </c>
      <c r="CF21" s="12">
        <f>COUNTIFS(Tracking!E:E,A21,Tracking!D:D,C21,Tracking!C:C,"5v5",Tracking!R:R,"nz turnover")</f>
        <v/>
      </c>
      <c r="CG21" s="12">
        <f>COUNTIFS(Tracking!E:E,A21,Tracking!D:D,C21,Tracking!C:C,"5v5",Tracking!R:R,"nz regroup")</f>
        <v/>
      </c>
      <c r="CH21" s="12">
        <f>COUNTIFS(Tracking!E:E,A21,Tracking!D:D,C21,Tracking!C:C,"5v5",Tracking!R:R,"nz reload")</f>
        <v/>
      </c>
      <c r="CI21" s="12">
        <f>COUNTIFS(Tracking!E:E,A21,Tracking!D:D,C21,Tracking!C:C,"5v5",Tracking!R:R,"controlled breakout")</f>
        <v/>
      </c>
      <c r="CJ21" s="2">
        <f>CK21+CL21+CM21+CN21+CO21+CP21</f>
        <v/>
      </c>
      <c r="CK21" s="2">
        <f>(0.075*H21)+(0.07*L21)+(0.055*M21)+(0.055*N21)+(0.095*J21)+(0.09*O21)+(0.05*P21)+(0.05*R21)+(0.05*S21)+(0.05*AB21)</f>
        <v/>
      </c>
      <c r="CL21" s="2">
        <f>(0.045*AD21)-(0.045*AE21)+(0.055*AH21)+(0.035*AI21)</f>
        <v/>
      </c>
      <c r="CM21" s="2">
        <f>(0.015*(AY21-AZ21))+(0.035*BA21)-(0.015*BB21)-(0.025*BC21)+(0.015*(AY21-(BD21+BC21)))</f>
        <v/>
      </c>
      <c r="CN21" s="2">
        <f>(0.035*AN21)+(0.025*AS21)-(0.035*AT21)-(0.035*AV21)</f>
        <v/>
      </c>
      <c r="CO21" s="2">
        <f>(0.015*AJ21)+(0.045*AG21)</f>
        <v/>
      </c>
      <c r="CP21" s="2">
        <f>(0.055*BM21)+(0.055*BN21)+(0.035*BO21)+(0.035*BQ21)+(0.055*BH21)+(0.035*BI21)+(0.035*BG21)</f>
        <v/>
      </c>
      <c r="CQ21" s="2">
        <f>CK21+CL21+CM21+CN21+CO21</f>
        <v/>
      </c>
    </row>
    <row r="22">
      <c r="A22" s="8" t="n">
        <v>11</v>
      </c>
      <c r="B22" s="8" t="inlineStr">
        <is>
          <t>Brock Nelson</t>
        </is>
      </c>
      <c r="C22" s="8" t="inlineStr">
        <is>
          <t>COL</t>
        </is>
      </c>
      <c r="D22" s="8" t="inlineStr">
        <is>
          <t>C</t>
        </is>
      </c>
      <c r="E22" s="8" t="n">
        <v>10.4</v>
      </c>
      <c r="F22" s="8" t="inlineStr">
        <is>
          <t>2025-26</t>
        </is>
      </c>
      <c r="G22" s="19" t="inlineStr">
        <is>
          <t>3/6/2026 DAL vs. COL</t>
        </is>
      </c>
      <c r="H22" s="9">
        <f>COUNTIFS(Tracking!E:E,A22,Tracking!D:D,C22,Tracking!C:C,"5v5")</f>
        <v/>
      </c>
      <c r="I22" s="9">
        <f>COUNTIFS(Tracking!E:E,A22,Tracking!D:D,C22,Tracking!N:N,"y",Tracking!C:C,"5v5")</f>
        <v/>
      </c>
      <c r="J22" s="9">
        <f>COUNTIFS(Tracking!E:E,A22,Tracking!D:D,C22,Tracking!M:M,"y",Tracking!C:C,"5v5")</f>
        <v/>
      </c>
      <c r="K22" s="9">
        <f>L22+M22+N22</f>
        <v/>
      </c>
      <c r="L22" s="9">
        <f>COUNTIFS(Tracking!G:G,A22,Tracking!D:D,C22,Tracking!C:C,"5v5")</f>
        <v/>
      </c>
      <c r="M22" s="9">
        <f>COUNTIFS(Tracking!H:H,A22,Tracking!D:D,C22,Tracking!C:C,"5v5")</f>
        <v/>
      </c>
      <c r="N22" s="9">
        <f>COUNTIFS(Tracking!I:I,A22,Tracking!D:D,C22,Tracking!C:C,"5v5")</f>
        <v/>
      </c>
      <c r="O22" s="9">
        <f>COUNTIFS(Tracking!G:G,A22,Tracking!D:D,C22,Tracking!C:C,"5v5",Tracking!M:M,"y")</f>
        <v/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/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/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/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/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/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/>
      </c>
      <c r="V22" s="9">
        <f>COUNTIFS(Tracking!E:E,A22,Tracking!D:D,C22,Tracking!C:C,"5v5",Tracking!P:P,"r")</f>
        <v/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/>
      </c>
      <c r="X22" s="9">
        <f>COUNTIFS(Tracking!E:E,A22,Tracking!D:D,C22,Tracking!C:C,"5v5",Tracking!P:P,"f")</f>
        <v/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/>
      </c>
      <c r="Z22" s="9">
        <f>COUNTIFS(Tracking!E:E,A22,Tracking!D:D,C22,Tracking!C:C,"5v5",Tracking!P:P,"c")</f>
        <v/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/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/>
      </c>
      <c r="AC22" s="11">
        <f>COUNTIFS(Tracking!Z:Z,A22&amp;C22,Tracking!C:C,"5v5")-AE22</f>
        <v/>
      </c>
      <c r="AD22" s="11">
        <f>COUNTIFS(Tracking!Z:Z,A22&amp;C22,Tracking!C:C,"5v5",Tracking!Y:Y,"C")</f>
        <v/>
      </c>
      <c r="AE22" s="11">
        <f>COUNTIFS(Tracking!Z:Z,A22&amp;C22,Tracking!C:C,"5v5",Tracking!Y:Y,"F")</f>
        <v/>
      </c>
      <c r="AF22" s="11">
        <f>COUNTIFS(Tracking!Z:Z,A22&amp;C22,Tracking!C:C,"5v5",Tracking!Y:Y,"C",Tracking!AB:AB,"Y")</f>
        <v/>
      </c>
      <c r="AG22" s="11">
        <f>COUNTIFS(Tracking!AD:AD,A22&amp;C22,Tracking!C:C,"5v5")</f>
        <v/>
      </c>
      <c r="AH22" s="11">
        <f>COUNTIFS(Tracking!Z:Z,A22&amp;C22,Tracking!C:C,"5v5",Tracking!Y:Y,"C",Tracking!AE:AE,"Y")</f>
        <v/>
      </c>
      <c r="AI22" s="11">
        <f>COUNTIFS(Tracking!Z:Z,A22&amp;C22,Tracking!C:C,"5v5",Tracking!Y:Y,"D",Tracking!AE:AE,"Y")</f>
        <v/>
      </c>
      <c r="AJ22" s="11">
        <f>COUNTIFS(Tracking!AH:AH,A22&amp;C22)</f>
        <v/>
      </c>
      <c r="AK22" s="5">
        <f>COUNTIFS(Tracking!AI:AI,A22&amp;C22,Tracking!C:C,"5v5")+AL22</f>
        <v/>
      </c>
      <c r="AL22" s="5">
        <f>COUNTIFS(Tracking!AF:AF,A22&amp;C22,Tracking!C:C,"5v5")-AT22</f>
        <v/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/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/>
      </c>
      <c r="AO22" s="5">
        <f>COUNTIFS(Tracking!AF:AF,A22&amp;C22,Tracking!C:C,"5v5",Tracking!AG:AG,"CEX")+COUNTIFS(Tracking!AI:AI,A22&amp;C22,Tracking!C:C,"5v5",Tracking!AJ:AJ,"CEX")</f>
        <v/>
      </c>
      <c r="AP22" s="5">
        <f>COUNTIFS(Tracking!AF:AF,A22&amp;C22,Tracking!C:C,"5v5",Tracking!AG:AG,"PEX")</f>
        <v/>
      </c>
      <c r="AQ22" s="5">
        <f>COUNTIFS(Tracking!AF:AF,A22&amp;C22,Tracking!C:C,"5v5",Tracking!AG:AG,"CLE")+COUNTIFS(Tracking!AI:AI,A22&amp;C22,Tracking!C:C,"5v5",Tracking!AJ:AJ,"CLE")</f>
        <v/>
      </c>
      <c r="AR22" s="5">
        <f>COUNTIFS(Tracking!AF:AF,A22&amp;C22,Tracking!C:C,"5v5",Tracking!AG:AG,"MEX")</f>
        <v/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/>
      </c>
      <c r="AT22" s="5">
        <f>COUNTIFS(Tracking!AF:AF,A22&amp;C22,Tracking!C:C,"5v5",Tracking!AG:AG,"BOT")+COUNTIFS(Tracking!AF:AF,A22&amp;C22,Tracking!C:C,"5v5",Tracking!AG:AG,"FEX")</f>
        <v/>
      </c>
      <c r="AU22" s="5">
        <f>COUNTIFS(Tracking!AF:AF,A22&amp;C22,Tracking!C:C,"5v5",Tracking!AG:AG,"EXC")</f>
        <v/>
      </c>
      <c r="AV22" s="5">
        <f>COUNTIFS(Tracking!AF:AF,A22&amp;C22,Tracking!C:C,"5v5",Tracking!AG:AG,"FEX")+COUNTIFS(Tracking!AI:AI,A22&amp;C22,Tracking!C:C,"5v5",Tracking!AJ:AJ,"FEX")</f>
        <v/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/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/>
      </c>
      <c r="AY22" s="1">
        <f>COUNTIFS(Tracking!AA:AA,A22&amp;C22,Tracking!C:C,"5v5")</f>
        <v/>
      </c>
      <c r="AZ22" s="1">
        <f>COUNTIFS(Tracking!AA:AA,A22&amp;C22,Tracking!C:C,"5v5",Tracking!Y:Y,"C")</f>
        <v/>
      </c>
      <c r="BA22" s="1">
        <f>COUNTIFS(Tracking!AA:AA,A22&amp;C22,Tracking!C:C,"5v5",Tracking!Y:Y,"F")</f>
        <v/>
      </c>
      <c r="BB22" s="1">
        <f>COUNTIFS(Tracking!AA:AA,A22&amp;C22,Tracking!C:C,"5v5",Tracking!AB:AB,"Y")</f>
        <v/>
      </c>
      <c r="BC22" s="1">
        <f>COUNTIFS(Tracking!AA:AA,A22&amp;C22,Tracking!C:C,"5v5",Tracking!Y:Y,"C",Tracking!AE:AE,"Y")</f>
        <v/>
      </c>
      <c r="BD22" s="1">
        <f>COUNTIFS(Tracking!AA:AA,A22&amp;C22,Tracking!C:C,"5v5",Tracking!Y:Y,"D",Tracking!AE:AE,"Y")</f>
        <v/>
      </c>
      <c r="BE22" s="10">
        <f>COUNTIFS(Tracking!Z:Z,A22&amp;C22,Tracking!C:C,"5v4")</f>
        <v/>
      </c>
      <c r="BF22" s="10">
        <f>COUNTIFS(Tracking!Z:Z,A22&amp;C22,Tracking!C:C,"5v4",Tracking!Y:Y,"C")</f>
        <v/>
      </c>
      <c r="BG22" s="10">
        <f>COUNTIFS(Tracking!Z:Z,A22&amp;C22,Tracking!C:C,"5v4",Tracking!AB:AB,"Y")</f>
        <v/>
      </c>
      <c r="BH22" s="10">
        <f>COUNTIFS(Tracking!Z:Z,A22&amp;C22,Tracking!C:C,"4v5")</f>
        <v/>
      </c>
      <c r="BI22" s="10">
        <f>COUNTIFS(Tracking!AA:AA,A22&amp;C22,Tracking!C:C,"5v4",Tracking!Y:Y,"D")+COUNTIFS(Tracking!AA:AA,A22&amp;C22,Tracking!C:C,"5v4",Tracking!Y:Y,"F")</f>
        <v/>
      </c>
      <c r="BJ22" s="10">
        <f>COUNTIFS(Tracking!E:E,A22,Tracking!D:D,C22,Tracking!C:C,"5v4")</f>
        <v/>
      </c>
      <c r="BK22" s="10">
        <f>COUNTIFS(Tracking!G:G,A22,Tracking!D:D,C22,Tracking!C:C,"5v4")+COUNTIFS(Tracking!H:H,A22,Tracking!D:D,C22,Tracking!C:C,"5v4")+COUNTIFS(Tracking!I:I,A22,Tracking!D:D,C22,Tracking!C:C,"5v4")</f>
        <v/>
      </c>
      <c r="BL22" s="10">
        <f>COUNTIFS(Tracking!G:G,A22,Tracking!D:D,C22,Tracking!C:C,"5v4")</f>
        <v/>
      </c>
      <c r="BM22" s="10">
        <f>COUNTIFS(Tracking!E:E,A22,Tracking!D:D,C22,Tracking!C:C,"5v4",Tracking!M:M,"Y")</f>
        <v/>
      </c>
      <c r="BN22" s="10">
        <f>COUNTIFS(Tracking!G:G,A22,Tracking!D:D,C22,Tracking!C:C,"5v4",Tracking!M:M,"Y")</f>
        <v/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/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/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/>
      </c>
      <c r="BR22" s="12">
        <f>COUNTIFS(Tracking!E:E,A22,Tracking!D:D,C22,Tracking!C:C,"5v5",Tracking!F:F,"o")</f>
        <v/>
      </c>
      <c r="BS22" s="12">
        <f>COUNTIFS(Tracking!E:E,A22,Tracking!D:D,C22,Tracking!C:C,"5v5",Tracking!F:F,"r")</f>
        <v/>
      </c>
      <c r="BT22" s="12">
        <f>COUNTIFS(Tracking!E:E,A22,Tracking!D:D,C22,Tracking!C:C,"5v5",Tracking!F:F,"t")</f>
        <v/>
      </c>
      <c r="BU22" s="12">
        <f>COUNTIFS(Tracking!G:G,A22,Tracking!D:D,C22,Tracking!C:C,"5v5",Tracking!F:F,"o")</f>
        <v/>
      </c>
      <c r="BV22" s="12">
        <f>COUNTIFS(Tracking!E:E,A21,Tracking!D:D,C22,Tracking!C:C,"5v5",Tracking!F:F,"r")</f>
        <v/>
      </c>
      <c r="BW22" s="12">
        <f>COUNTIFS(Tracking!G:G,A22,Tracking!D:D,C22,Tracking!C:C,"5v5",Tracking!F:F,"T")</f>
        <v/>
      </c>
      <c r="BX22" s="12">
        <f>COUNTIFS(Tracking!E:E,A22,Tracking!D:D,C22,Tracking!C:C,"5v5",Tracking!Q:Q,"OZ")</f>
        <v/>
      </c>
      <c r="BY22" s="12">
        <f>COUNTIFS(Tracking!E:E,A22,Tracking!D:D,C22,Tracking!C:C,"5v5",Tracking!Q:Q,"nZ")</f>
        <v/>
      </c>
      <c r="BZ22" s="12">
        <f>COUNTIFS(Tracking!E:E,A22,Tracking!D:D,C22,Tracking!C:C,"5v5",Tracking!Q:Q,"dZ")</f>
        <v/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/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/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/>
      </c>
      <c r="CD22" s="12">
        <f>COUNTIFS(Tracking!E:E,A22,Tracking!D:D,C22,Tracking!C:C,"5v5",Tracking!R:R,"dz exit")</f>
        <v/>
      </c>
      <c r="CE22" s="12">
        <f>COUNTIFS(Tracking!E:E,A22,Tracking!D:D,C22,Tracking!C:C,"5v5",Tracking!R:R,"dz counter")</f>
        <v/>
      </c>
      <c r="CF22" s="12">
        <f>COUNTIFS(Tracking!E:E,A22,Tracking!D:D,C22,Tracking!C:C,"5v5",Tracking!R:R,"nz turnover")</f>
        <v/>
      </c>
      <c r="CG22" s="12">
        <f>COUNTIFS(Tracking!E:E,A22,Tracking!D:D,C22,Tracking!C:C,"5v5",Tracking!R:R,"nz regroup")</f>
        <v/>
      </c>
      <c r="CH22" s="12">
        <f>COUNTIFS(Tracking!E:E,A22,Tracking!D:D,C22,Tracking!C:C,"5v5",Tracking!R:R,"nz reload")</f>
        <v/>
      </c>
      <c r="CI22" s="12">
        <f>COUNTIFS(Tracking!E:E,A22,Tracking!D:D,C22,Tracking!C:C,"5v5",Tracking!R:R,"controlled breakout")</f>
        <v/>
      </c>
      <c r="CJ22" s="2">
        <f>CK22+CL22+CM22+CN22+CO22+CP22</f>
        <v/>
      </c>
      <c r="CK22" s="2">
        <f>(0.075*H22)+(0.07*L22)+(0.055*M22)+(0.055*N22)+(0.095*J22)+(0.09*O22)+(0.05*P22)+(0.05*R22)+(0.05*S22)+(0.05*AB22)</f>
        <v/>
      </c>
      <c r="CL22" s="2">
        <f>(0.045*AD22)-(0.045*AE22)+(0.055*AH22)+(0.035*AI22)</f>
        <v/>
      </c>
      <c r="CM22" s="2">
        <f>(0.015*(AY22-AZ22))+(0.035*BA22)-(0.015*BB22)-(0.025*BC22)+(0.015*(AY22-(BD22+BC22)))</f>
        <v/>
      </c>
      <c r="CN22" s="2">
        <f>(0.035*AN22)+(0.025*AS22)-(0.035*AT22)-(0.035*AV22)</f>
        <v/>
      </c>
      <c r="CO22" s="2">
        <f>(0.015*AJ22)+(0.045*AG22)</f>
        <v/>
      </c>
      <c r="CP22" s="2">
        <f>(0.055*BM22)+(0.055*BN22)+(0.035*BO22)+(0.035*BQ22)+(0.055*BH22)+(0.035*BI22)+(0.035*BG22)</f>
        <v/>
      </c>
      <c r="CQ22" s="2">
        <f>CK22+CL22+CM22+CN22+CO22</f>
        <v/>
      </c>
    </row>
    <row r="23">
      <c r="A23" s="8" t="n">
        <v>8</v>
      </c>
      <c r="B23" s="8" t="inlineStr">
        <is>
          <t>Cale Makar</t>
        </is>
      </c>
      <c r="C23" s="8" t="inlineStr">
        <is>
          <t>COL</t>
        </is>
      </c>
      <c r="D23" s="8" t="inlineStr">
        <is>
          <t>D</t>
        </is>
      </c>
      <c r="E23" s="8" t="n">
        <v>13.766666666667</v>
      </c>
      <c r="F23" s="8" t="inlineStr">
        <is>
          <t>2025-26</t>
        </is>
      </c>
      <c r="G23" s="19" t="inlineStr">
        <is>
          <t>3/6/2026 DAL vs. COL</t>
        </is>
      </c>
      <c r="H23" s="9">
        <f>COUNTIFS(Tracking!E:E,A23,Tracking!D:D,C23,Tracking!C:C,"5v5")</f>
        <v/>
      </c>
      <c r="I23" s="9">
        <f>COUNTIFS(Tracking!E:E,A23,Tracking!D:D,C23,Tracking!N:N,"y",Tracking!C:C,"5v5")</f>
        <v/>
      </c>
      <c r="J23" s="9">
        <f>COUNTIFS(Tracking!E:E,A23,Tracking!D:D,C23,Tracking!M:M,"y",Tracking!C:C,"5v5")</f>
        <v/>
      </c>
      <c r="K23" s="9">
        <f>L23+M23+N23</f>
        <v/>
      </c>
      <c r="L23" s="9">
        <f>COUNTIFS(Tracking!G:G,A23,Tracking!D:D,C23,Tracking!C:C,"5v5")</f>
        <v/>
      </c>
      <c r="M23" s="9">
        <f>COUNTIFS(Tracking!H:H,A23,Tracking!D:D,C23,Tracking!C:C,"5v5")</f>
        <v/>
      </c>
      <c r="N23" s="9">
        <f>COUNTIFS(Tracking!I:I,A23,Tracking!D:D,C23,Tracking!C:C,"5v5")</f>
        <v/>
      </c>
      <c r="O23" s="9">
        <f>COUNTIFS(Tracking!G:G,A23,Tracking!D:D,C23,Tracking!C:C,"5v5",Tracking!M:M,"y")</f>
        <v/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/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/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/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/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/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/>
      </c>
      <c r="V23" s="9">
        <f>COUNTIFS(Tracking!E:E,A23,Tracking!D:D,C23,Tracking!C:C,"5v5",Tracking!P:P,"r")</f>
        <v/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/>
      </c>
      <c r="X23" s="9">
        <f>COUNTIFS(Tracking!E:E,A23,Tracking!D:D,C23,Tracking!C:C,"5v5",Tracking!P:P,"f")</f>
        <v/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/>
      </c>
      <c r="Z23" s="9">
        <f>COUNTIFS(Tracking!E:E,A23,Tracking!D:D,C23,Tracking!C:C,"5v5",Tracking!P:P,"c")</f>
        <v/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/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/>
      </c>
      <c r="AC23" s="11">
        <f>COUNTIFS(Tracking!Z:Z,A23&amp;C23,Tracking!C:C,"5v5")-AE23</f>
        <v/>
      </c>
      <c r="AD23" s="11">
        <f>COUNTIFS(Tracking!Z:Z,A23&amp;C23,Tracking!C:C,"5v5",Tracking!Y:Y,"C")</f>
        <v/>
      </c>
      <c r="AE23" s="11">
        <f>COUNTIFS(Tracking!Z:Z,A23&amp;C23,Tracking!C:C,"5v5",Tracking!Y:Y,"F")</f>
        <v/>
      </c>
      <c r="AF23" s="11">
        <f>COUNTIFS(Tracking!Z:Z,A23&amp;C23,Tracking!C:C,"5v5",Tracking!Y:Y,"C",Tracking!AB:AB,"Y")</f>
        <v/>
      </c>
      <c r="AG23" s="11">
        <f>COUNTIFS(Tracking!AD:AD,A23&amp;C23,Tracking!C:C,"5v5")</f>
        <v/>
      </c>
      <c r="AH23" s="11">
        <f>COUNTIFS(Tracking!Z:Z,A23&amp;C23,Tracking!C:C,"5v5",Tracking!Y:Y,"C",Tracking!AE:AE,"Y")</f>
        <v/>
      </c>
      <c r="AI23" s="11">
        <f>COUNTIFS(Tracking!Z:Z,A23&amp;C23,Tracking!C:C,"5v5",Tracking!Y:Y,"D",Tracking!AE:AE,"Y")</f>
        <v/>
      </c>
      <c r="AJ23" s="11">
        <f>COUNTIFS(Tracking!AH:AH,A23&amp;C23)</f>
        <v/>
      </c>
      <c r="AK23" s="5">
        <f>COUNTIFS(Tracking!AI:AI,A23&amp;C23,Tracking!C:C,"5v5")+AL23</f>
        <v/>
      </c>
      <c r="AL23" s="5">
        <f>COUNTIFS(Tracking!AF:AF,A23&amp;C23,Tracking!C:C,"5v5")-AT23</f>
        <v/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/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/>
      </c>
      <c r="AO23" s="5">
        <f>COUNTIFS(Tracking!AF:AF,A23&amp;C23,Tracking!C:C,"5v5",Tracking!AG:AG,"CEX")+COUNTIFS(Tracking!AI:AI,A23&amp;C23,Tracking!C:C,"5v5",Tracking!AJ:AJ,"CEX")</f>
        <v/>
      </c>
      <c r="AP23" s="5">
        <f>COUNTIFS(Tracking!AF:AF,A23&amp;C23,Tracking!C:C,"5v5",Tracking!AG:AG,"PEX")</f>
        <v/>
      </c>
      <c r="AQ23" s="5">
        <f>COUNTIFS(Tracking!AF:AF,A23&amp;C23,Tracking!C:C,"5v5",Tracking!AG:AG,"CLE")+COUNTIFS(Tracking!AI:AI,A23&amp;C23,Tracking!C:C,"5v5",Tracking!AJ:AJ,"CLE")</f>
        <v/>
      </c>
      <c r="AR23" s="5">
        <f>COUNTIFS(Tracking!AF:AF,A23&amp;C23,Tracking!C:C,"5v5",Tracking!AG:AG,"MEX")</f>
        <v/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/>
      </c>
      <c r="AT23" s="5">
        <f>COUNTIFS(Tracking!AF:AF,A23&amp;C23,Tracking!C:C,"5v5",Tracking!AG:AG,"BOT")+COUNTIFS(Tracking!AF:AF,A23&amp;C23,Tracking!C:C,"5v5",Tracking!AG:AG,"FEX")</f>
        <v/>
      </c>
      <c r="AU23" s="5">
        <f>COUNTIFS(Tracking!AF:AF,A23&amp;C23,Tracking!C:C,"5v5",Tracking!AG:AG,"EXC")</f>
        <v/>
      </c>
      <c r="AV23" s="5">
        <f>COUNTIFS(Tracking!AF:AF,A23&amp;C23,Tracking!C:C,"5v5",Tracking!AG:AG,"FEX")+COUNTIFS(Tracking!AI:AI,A23&amp;C23,Tracking!C:C,"5v5",Tracking!AJ:AJ,"FEX")</f>
        <v/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/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/>
      </c>
      <c r="AY23" s="1">
        <f>COUNTIFS(Tracking!AA:AA,A23&amp;C23,Tracking!C:C,"5v5")</f>
        <v/>
      </c>
      <c r="AZ23" s="1">
        <f>COUNTIFS(Tracking!AA:AA,A23&amp;C23,Tracking!C:C,"5v5",Tracking!Y:Y,"C")</f>
        <v/>
      </c>
      <c r="BA23" s="1">
        <f>COUNTIFS(Tracking!AA:AA,A23&amp;C23,Tracking!C:C,"5v5",Tracking!Y:Y,"F")</f>
        <v/>
      </c>
      <c r="BB23" s="1">
        <f>COUNTIFS(Tracking!AA:AA,A23&amp;C23,Tracking!C:C,"5v5",Tracking!AB:AB,"Y")</f>
        <v/>
      </c>
      <c r="BC23" s="1">
        <f>COUNTIFS(Tracking!AA:AA,A23&amp;C23,Tracking!C:C,"5v5",Tracking!Y:Y,"C",Tracking!AE:AE,"Y")</f>
        <v/>
      </c>
      <c r="BD23" s="1">
        <f>COUNTIFS(Tracking!AA:AA,A23&amp;C23,Tracking!C:C,"5v5",Tracking!Y:Y,"D",Tracking!AE:AE,"Y")</f>
        <v/>
      </c>
      <c r="BE23" s="10">
        <f>COUNTIFS(Tracking!Z:Z,A23&amp;C23,Tracking!C:C,"5v4")</f>
        <v/>
      </c>
      <c r="BF23" s="10">
        <f>COUNTIFS(Tracking!Z:Z,A23&amp;C23,Tracking!C:C,"5v4",Tracking!Y:Y,"C")</f>
        <v/>
      </c>
      <c r="BG23" s="10">
        <f>COUNTIFS(Tracking!Z:Z,A23&amp;C23,Tracking!C:C,"5v4",Tracking!AB:AB,"Y")</f>
        <v/>
      </c>
      <c r="BH23" s="10">
        <f>COUNTIFS(Tracking!Z:Z,A23&amp;C23,Tracking!C:C,"4v5")</f>
        <v/>
      </c>
      <c r="BI23" s="10">
        <f>COUNTIFS(Tracking!AA:AA,A23&amp;C23,Tracking!C:C,"5v4",Tracking!Y:Y,"D")+COUNTIFS(Tracking!AA:AA,A23&amp;C23,Tracking!C:C,"5v4",Tracking!Y:Y,"F")</f>
        <v/>
      </c>
      <c r="BJ23" s="10">
        <f>COUNTIFS(Tracking!E:E,A23,Tracking!D:D,C23,Tracking!C:C,"5v4")</f>
        <v/>
      </c>
      <c r="BK23" s="10">
        <f>COUNTIFS(Tracking!G:G,A23,Tracking!D:D,C23,Tracking!C:C,"5v4")+COUNTIFS(Tracking!H:H,A23,Tracking!D:D,C23,Tracking!C:C,"5v4")+COUNTIFS(Tracking!I:I,A23,Tracking!D:D,C23,Tracking!C:C,"5v4")</f>
        <v/>
      </c>
      <c r="BL23" s="10">
        <f>COUNTIFS(Tracking!G:G,A23,Tracking!D:D,C23,Tracking!C:C,"5v4")</f>
        <v/>
      </c>
      <c r="BM23" s="10">
        <f>COUNTIFS(Tracking!E:E,A23,Tracking!D:D,C23,Tracking!C:C,"5v4",Tracking!M:M,"Y")</f>
        <v/>
      </c>
      <c r="BN23" s="10">
        <f>COUNTIFS(Tracking!G:G,A23,Tracking!D:D,C23,Tracking!C:C,"5v4",Tracking!M:M,"Y")</f>
        <v/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/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/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/>
      </c>
      <c r="BR23" s="12">
        <f>COUNTIFS(Tracking!E:E,A23,Tracking!D:D,C23,Tracking!C:C,"5v5",Tracking!F:F,"o")</f>
        <v/>
      </c>
      <c r="BS23" s="12">
        <f>COUNTIFS(Tracking!E:E,A23,Tracking!D:D,C23,Tracking!C:C,"5v5",Tracking!F:F,"r")</f>
        <v/>
      </c>
      <c r="BT23" s="12">
        <f>COUNTIFS(Tracking!E:E,A23,Tracking!D:D,C23,Tracking!C:C,"5v5",Tracking!F:F,"t")</f>
        <v/>
      </c>
      <c r="BU23" s="12">
        <f>COUNTIFS(Tracking!G:G,A23,Tracking!D:D,C23,Tracking!C:C,"5v5",Tracking!F:F,"o")</f>
        <v/>
      </c>
      <c r="BV23" s="12">
        <f>COUNTIFS(Tracking!E:E,A22,Tracking!D:D,C23,Tracking!C:C,"5v5",Tracking!F:F,"r")</f>
        <v/>
      </c>
      <c r="BW23" s="12">
        <f>COUNTIFS(Tracking!G:G,A23,Tracking!D:D,C23,Tracking!C:C,"5v5",Tracking!F:F,"T")</f>
        <v/>
      </c>
      <c r="BX23" s="12">
        <f>COUNTIFS(Tracking!E:E,A23,Tracking!D:D,C23,Tracking!C:C,"5v5",Tracking!Q:Q,"OZ")</f>
        <v/>
      </c>
      <c r="BY23" s="12">
        <f>COUNTIFS(Tracking!E:E,A23,Tracking!D:D,C23,Tracking!C:C,"5v5",Tracking!Q:Q,"nZ")</f>
        <v/>
      </c>
      <c r="BZ23" s="12">
        <f>COUNTIFS(Tracking!E:E,A23,Tracking!D:D,C23,Tracking!C:C,"5v5",Tracking!Q:Q,"dZ")</f>
        <v/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/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/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/>
      </c>
      <c r="CD23" s="12">
        <f>COUNTIFS(Tracking!E:E,A23,Tracking!D:D,C23,Tracking!C:C,"5v5",Tracking!R:R,"dz exit")</f>
        <v/>
      </c>
      <c r="CE23" s="12">
        <f>COUNTIFS(Tracking!E:E,A23,Tracking!D:D,C23,Tracking!C:C,"5v5",Tracking!R:R,"dz counter")</f>
        <v/>
      </c>
      <c r="CF23" s="12">
        <f>COUNTIFS(Tracking!E:E,A23,Tracking!D:D,C23,Tracking!C:C,"5v5",Tracking!R:R,"nz turnover")</f>
        <v/>
      </c>
      <c r="CG23" s="12">
        <f>COUNTIFS(Tracking!E:E,A23,Tracking!D:D,C23,Tracking!C:C,"5v5",Tracking!R:R,"nz regroup")</f>
        <v/>
      </c>
      <c r="CH23" s="12">
        <f>COUNTIFS(Tracking!E:E,A23,Tracking!D:D,C23,Tracking!C:C,"5v5",Tracking!R:R,"nz reload")</f>
        <v/>
      </c>
      <c r="CI23" s="12">
        <f>COUNTIFS(Tracking!E:E,A23,Tracking!D:D,C23,Tracking!C:C,"5v5",Tracking!R:R,"controlled breakout")</f>
        <v/>
      </c>
      <c r="CJ23" s="2">
        <f>CK23+CL23+CM23+CN23+CO23+CP23</f>
        <v/>
      </c>
      <c r="CK23" s="2">
        <f>(0.075*H23)+(0.07*L23)+(0.055*M23)+(0.055*N23)+(0.095*J23)+(0.09*O23)+(0.05*P23)+(0.05*R23)+(0.05*S23)+(0.05*AB23)</f>
        <v/>
      </c>
      <c r="CL23" s="2">
        <f>(0.045*AD23)-(0.045*AE23)+(0.055*AH23)+(0.035*AI23)</f>
        <v/>
      </c>
      <c r="CM23" s="2">
        <f>(0.015*(AY23-AZ23))+(0.035*BA23)-(0.015*BB23)-(0.025*BC23)+(0.015*(AY23-(BD23+BC23)))</f>
        <v/>
      </c>
      <c r="CN23" s="2">
        <f>(0.035*AN23)+(0.025*AS23)-(0.035*AT23)-(0.035*AV23)</f>
        <v/>
      </c>
      <c r="CO23" s="2">
        <f>(0.015*AJ23)+(0.045*AG23)</f>
        <v/>
      </c>
      <c r="CP23" s="2">
        <f>(0.055*BM23)+(0.055*BN23)+(0.035*BO23)+(0.035*BQ23)+(0.055*BH23)+(0.035*BI23)+(0.035*BG23)</f>
        <v/>
      </c>
      <c r="CQ23" s="2">
        <f>CK23+CL23+CM23+CN23+CO23</f>
        <v/>
      </c>
    </row>
    <row r="24">
      <c r="A24" s="8" t="n">
        <v>7</v>
      </c>
      <c r="B24" s="8" t="inlineStr">
        <is>
          <t>Devon Toews</t>
        </is>
      </c>
      <c r="C24" s="8" t="inlineStr">
        <is>
          <t>COL</t>
        </is>
      </c>
      <c r="D24" s="8" t="inlineStr">
        <is>
          <t>D</t>
        </is>
      </c>
      <c r="E24" s="8" t="n">
        <v>16.233333333333</v>
      </c>
      <c r="F24" s="8" t="inlineStr">
        <is>
          <t>2025-26</t>
        </is>
      </c>
      <c r="G24" s="19" t="inlineStr">
        <is>
          <t>3/6/2026 DAL vs. COL</t>
        </is>
      </c>
      <c r="H24" s="9">
        <f>COUNTIFS(Tracking!E:E,A24,Tracking!D:D,C24,Tracking!C:C,"5v5")</f>
        <v/>
      </c>
      <c r="I24" s="9">
        <f>COUNTIFS(Tracking!E:E,A24,Tracking!D:D,C24,Tracking!N:N,"y",Tracking!C:C,"5v5")</f>
        <v/>
      </c>
      <c r="J24" s="9">
        <f>COUNTIFS(Tracking!E:E,A24,Tracking!D:D,C24,Tracking!M:M,"y",Tracking!C:C,"5v5")</f>
        <v/>
      </c>
      <c r="K24" s="9">
        <f>L24+M24+N24</f>
        <v/>
      </c>
      <c r="L24" s="9">
        <f>COUNTIFS(Tracking!G:G,A24,Tracking!D:D,C24,Tracking!C:C,"5v5")</f>
        <v/>
      </c>
      <c r="M24" s="9">
        <f>COUNTIFS(Tracking!H:H,A24,Tracking!D:D,C24,Tracking!C:C,"5v5")</f>
        <v/>
      </c>
      <c r="N24" s="9">
        <f>COUNTIFS(Tracking!I:I,A24,Tracking!D:D,C24,Tracking!C:C,"5v5")</f>
        <v/>
      </c>
      <c r="O24" s="9">
        <f>COUNTIFS(Tracking!G:G,A24,Tracking!D:D,C24,Tracking!C:C,"5v5",Tracking!M:M,"y")</f>
        <v/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/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/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/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/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/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/>
      </c>
      <c r="V24" s="9">
        <f>COUNTIFS(Tracking!E:E,A24,Tracking!D:D,C24,Tracking!C:C,"5v5",Tracking!P:P,"r")</f>
        <v/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/>
      </c>
      <c r="X24" s="9">
        <f>COUNTIFS(Tracking!E:E,A24,Tracking!D:D,C24,Tracking!C:C,"5v5",Tracking!P:P,"f")</f>
        <v/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/>
      </c>
      <c r="Z24" s="9">
        <f>COUNTIFS(Tracking!E:E,A24,Tracking!D:D,C24,Tracking!C:C,"5v5",Tracking!P:P,"c")</f>
        <v/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/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/>
      </c>
      <c r="AC24" s="11">
        <f>COUNTIFS(Tracking!Z:Z,A24&amp;C24,Tracking!C:C,"5v5")-AE24</f>
        <v/>
      </c>
      <c r="AD24" s="11">
        <f>COUNTIFS(Tracking!Z:Z,A24&amp;C24,Tracking!C:C,"5v5",Tracking!Y:Y,"C")</f>
        <v/>
      </c>
      <c r="AE24" s="11">
        <f>COUNTIFS(Tracking!Z:Z,A24&amp;C24,Tracking!C:C,"5v5",Tracking!Y:Y,"F")</f>
        <v/>
      </c>
      <c r="AF24" s="11">
        <f>COUNTIFS(Tracking!Z:Z,A24&amp;C24,Tracking!C:C,"5v5",Tracking!Y:Y,"C",Tracking!AB:AB,"Y")</f>
        <v/>
      </c>
      <c r="AG24" s="11">
        <f>COUNTIFS(Tracking!AD:AD,A24&amp;C24,Tracking!C:C,"5v5")</f>
        <v/>
      </c>
      <c r="AH24" s="11">
        <f>COUNTIFS(Tracking!Z:Z,A24&amp;C24,Tracking!C:C,"5v5",Tracking!Y:Y,"C",Tracking!AE:AE,"Y")</f>
        <v/>
      </c>
      <c r="AI24" s="11">
        <f>COUNTIFS(Tracking!Z:Z,A24&amp;C24,Tracking!C:C,"5v5",Tracking!Y:Y,"D",Tracking!AE:AE,"Y")</f>
        <v/>
      </c>
      <c r="AJ24" s="11">
        <f>COUNTIFS(Tracking!AH:AH,A24&amp;C24)</f>
        <v/>
      </c>
      <c r="AK24" s="5">
        <f>COUNTIFS(Tracking!AI:AI,A24&amp;C24,Tracking!C:C,"5v5")+AL24</f>
        <v/>
      </c>
      <c r="AL24" s="5">
        <f>COUNTIFS(Tracking!AF:AF,A24&amp;C24,Tracking!C:C,"5v5")-AT24</f>
        <v/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/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/>
      </c>
      <c r="AO24" s="5">
        <f>COUNTIFS(Tracking!AF:AF,A24&amp;C24,Tracking!C:C,"5v5",Tracking!AG:AG,"CEX")+COUNTIFS(Tracking!AI:AI,A24&amp;C24,Tracking!C:C,"5v5",Tracking!AJ:AJ,"CEX")</f>
        <v/>
      </c>
      <c r="AP24" s="5">
        <f>COUNTIFS(Tracking!AF:AF,A24&amp;C24,Tracking!C:C,"5v5",Tracking!AG:AG,"PEX")</f>
        <v/>
      </c>
      <c r="AQ24" s="5">
        <f>COUNTIFS(Tracking!AF:AF,A24&amp;C24,Tracking!C:C,"5v5",Tracking!AG:AG,"CLE")+COUNTIFS(Tracking!AI:AI,A24&amp;C24,Tracking!C:C,"5v5",Tracking!AJ:AJ,"CLE")</f>
        <v/>
      </c>
      <c r="AR24" s="5">
        <f>COUNTIFS(Tracking!AF:AF,A24&amp;C24,Tracking!C:C,"5v5",Tracking!AG:AG,"MEX")</f>
        <v/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/>
      </c>
      <c r="AT24" s="5">
        <f>COUNTIFS(Tracking!AF:AF,A24&amp;C24,Tracking!C:C,"5v5",Tracking!AG:AG,"BOT")+COUNTIFS(Tracking!AF:AF,A24&amp;C24,Tracking!C:C,"5v5",Tracking!AG:AG,"FEX")</f>
        <v/>
      </c>
      <c r="AU24" s="5">
        <f>COUNTIFS(Tracking!AF:AF,A24&amp;C24,Tracking!C:C,"5v5",Tracking!AG:AG,"EXC")</f>
        <v/>
      </c>
      <c r="AV24" s="5">
        <f>COUNTIFS(Tracking!AF:AF,A24&amp;C24,Tracking!C:C,"5v5",Tracking!AG:AG,"FEX")+COUNTIFS(Tracking!AI:AI,A24&amp;C24,Tracking!C:C,"5v5",Tracking!AJ:AJ,"FEX")</f>
        <v/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/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/>
      </c>
      <c r="AY24" s="1">
        <f>COUNTIFS(Tracking!AA:AA,A24&amp;C24,Tracking!C:C,"5v5")</f>
        <v/>
      </c>
      <c r="AZ24" s="1">
        <f>COUNTIFS(Tracking!AA:AA,A24&amp;C24,Tracking!C:C,"5v5",Tracking!Y:Y,"C")</f>
        <v/>
      </c>
      <c r="BA24" s="1">
        <f>COUNTIFS(Tracking!AA:AA,A24&amp;C24,Tracking!C:C,"5v5",Tracking!Y:Y,"F")</f>
        <v/>
      </c>
      <c r="BB24" s="1">
        <f>COUNTIFS(Tracking!AA:AA,A24&amp;C24,Tracking!C:C,"5v5",Tracking!AB:AB,"Y")</f>
        <v/>
      </c>
      <c r="BC24" s="1">
        <f>COUNTIFS(Tracking!AA:AA,A24&amp;C24,Tracking!C:C,"5v5",Tracking!Y:Y,"C",Tracking!AE:AE,"Y")</f>
        <v/>
      </c>
      <c r="BD24" s="1">
        <f>COUNTIFS(Tracking!AA:AA,A24&amp;C24,Tracking!C:C,"5v5",Tracking!Y:Y,"D",Tracking!AE:AE,"Y")</f>
        <v/>
      </c>
      <c r="BE24" s="10">
        <f>COUNTIFS(Tracking!Z:Z,A24&amp;C24,Tracking!C:C,"5v4")</f>
        <v/>
      </c>
      <c r="BF24" s="10">
        <f>COUNTIFS(Tracking!Z:Z,A24&amp;C24,Tracking!C:C,"5v4",Tracking!Y:Y,"C")</f>
        <v/>
      </c>
      <c r="BG24" s="10">
        <f>COUNTIFS(Tracking!Z:Z,A24&amp;C24,Tracking!C:C,"5v4",Tracking!AB:AB,"Y")</f>
        <v/>
      </c>
      <c r="BH24" s="10">
        <f>COUNTIFS(Tracking!Z:Z,A24&amp;C24,Tracking!C:C,"4v5")</f>
        <v/>
      </c>
      <c r="BI24" s="10">
        <f>COUNTIFS(Tracking!AA:AA,A24&amp;C24,Tracking!C:C,"5v4",Tracking!Y:Y,"D")+COUNTIFS(Tracking!AA:AA,A24&amp;C24,Tracking!C:C,"5v4",Tracking!Y:Y,"F")</f>
        <v/>
      </c>
      <c r="BJ24" s="10">
        <f>COUNTIFS(Tracking!E:E,A24,Tracking!D:D,C24,Tracking!C:C,"5v4")</f>
        <v/>
      </c>
      <c r="BK24" s="10">
        <f>COUNTIFS(Tracking!G:G,A24,Tracking!D:D,C24,Tracking!C:C,"5v4")+COUNTIFS(Tracking!H:H,A24,Tracking!D:D,C24,Tracking!C:C,"5v4")+COUNTIFS(Tracking!I:I,A24,Tracking!D:D,C24,Tracking!C:C,"5v4")</f>
        <v/>
      </c>
      <c r="BL24" s="10">
        <f>COUNTIFS(Tracking!G:G,A24,Tracking!D:D,C24,Tracking!C:C,"5v4")</f>
        <v/>
      </c>
      <c r="BM24" s="10">
        <f>COUNTIFS(Tracking!E:E,A24,Tracking!D:D,C24,Tracking!C:C,"5v4",Tracking!M:M,"Y")</f>
        <v/>
      </c>
      <c r="BN24" s="10">
        <f>COUNTIFS(Tracking!G:G,A24,Tracking!D:D,C24,Tracking!C:C,"5v4",Tracking!M:M,"Y")</f>
        <v/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/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/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/>
      </c>
      <c r="BR24" s="12">
        <f>COUNTIFS(Tracking!E:E,A24,Tracking!D:D,C24,Tracking!C:C,"5v5",Tracking!F:F,"o")</f>
        <v/>
      </c>
      <c r="BS24" s="12">
        <f>COUNTIFS(Tracking!E:E,A24,Tracking!D:D,C24,Tracking!C:C,"5v5",Tracking!F:F,"r")</f>
        <v/>
      </c>
      <c r="BT24" s="12">
        <f>COUNTIFS(Tracking!E:E,A24,Tracking!D:D,C24,Tracking!C:C,"5v5",Tracking!F:F,"t")</f>
        <v/>
      </c>
      <c r="BU24" s="12">
        <f>COUNTIFS(Tracking!G:G,A24,Tracking!D:D,C24,Tracking!C:C,"5v5",Tracking!F:F,"o")</f>
        <v/>
      </c>
      <c r="BV24" s="12">
        <f>COUNTIFS(Tracking!E:E,A23,Tracking!D:D,C24,Tracking!C:C,"5v5",Tracking!F:F,"r")</f>
        <v/>
      </c>
      <c r="BW24" s="12">
        <f>COUNTIFS(Tracking!G:G,A24,Tracking!D:D,C24,Tracking!C:C,"5v5",Tracking!F:F,"T")</f>
        <v/>
      </c>
      <c r="BX24" s="12">
        <f>COUNTIFS(Tracking!E:E,A24,Tracking!D:D,C24,Tracking!C:C,"5v5",Tracking!Q:Q,"OZ")</f>
        <v/>
      </c>
      <c r="BY24" s="12">
        <f>COUNTIFS(Tracking!E:E,A24,Tracking!D:D,C24,Tracking!C:C,"5v5",Tracking!Q:Q,"nZ")</f>
        <v/>
      </c>
      <c r="BZ24" s="12">
        <f>COUNTIFS(Tracking!E:E,A24,Tracking!D:D,C24,Tracking!C:C,"5v5",Tracking!Q:Q,"dZ")</f>
        <v/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/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/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/>
      </c>
      <c r="CD24" s="12">
        <f>COUNTIFS(Tracking!E:E,A24,Tracking!D:D,C24,Tracking!C:C,"5v5",Tracking!R:R,"dz exit")</f>
        <v/>
      </c>
      <c r="CE24" s="12">
        <f>COUNTIFS(Tracking!E:E,A24,Tracking!D:D,C24,Tracking!C:C,"5v5",Tracking!R:R,"dz counter")</f>
        <v/>
      </c>
      <c r="CF24" s="12">
        <f>COUNTIFS(Tracking!E:E,A24,Tracking!D:D,C24,Tracking!C:C,"5v5",Tracking!R:R,"nz turnover")</f>
        <v/>
      </c>
      <c r="CG24" s="12">
        <f>COUNTIFS(Tracking!E:E,A24,Tracking!D:D,C24,Tracking!C:C,"5v5",Tracking!R:R,"nz regroup")</f>
        <v/>
      </c>
      <c r="CH24" s="12">
        <f>COUNTIFS(Tracking!E:E,A24,Tracking!D:D,C24,Tracking!C:C,"5v5",Tracking!R:R,"nz reload")</f>
        <v/>
      </c>
      <c r="CI24" s="12">
        <f>COUNTIFS(Tracking!E:E,A24,Tracking!D:D,C24,Tracking!C:C,"5v5",Tracking!R:R,"controlled breakout")</f>
        <v/>
      </c>
      <c r="CJ24" s="2">
        <f>CK24+CL24+CM24+CN24+CO24+CP24</f>
        <v/>
      </c>
      <c r="CK24" s="2">
        <f>(0.075*H24)+(0.07*L24)+(0.055*M24)+(0.055*N24)+(0.095*J24)+(0.09*O24)+(0.05*P24)+(0.05*R24)+(0.05*S24)+(0.05*AB24)</f>
        <v/>
      </c>
      <c r="CL24" s="2">
        <f>(0.045*AD24)-(0.045*AE24)+(0.055*AH24)+(0.035*AI24)</f>
        <v/>
      </c>
      <c r="CM24" s="2">
        <f>(0.015*(AY24-AZ24))+(0.035*BA24)-(0.015*BB24)-(0.025*BC24)+(0.015*(AY24-(BD24+BC24)))</f>
        <v/>
      </c>
      <c r="CN24" s="2">
        <f>(0.035*AN24)+(0.025*AS24)-(0.035*AT24)-(0.035*AV24)</f>
        <v/>
      </c>
      <c r="CO24" s="2">
        <f>(0.015*AJ24)+(0.045*AG24)</f>
        <v/>
      </c>
      <c r="CP24" s="2">
        <f>(0.055*BM24)+(0.055*BN24)+(0.035*BO24)+(0.035*BQ24)+(0.055*BH24)+(0.035*BI24)+(0.035*BG24)</f>
        <v/>
      </c>
      <c r="CQ24" s="2">
        <f>CK24+CL24+CM24+CN24+CO24</f>
        <v/>
      </c>
    </row>
    <row r="25">
      <c r="A25" s="8" t="n">
        <v>92</v>
      </c>
      <c r="B25" s="8" t="inlineStr">
        <is>
          <t>Gabriel Landeskog</t>
        </is>
      </c>
      <c r="C25" s="8" t="inlineStr">
        <is>
          <t>COL</t>
        </is>
      </c>
      <c r="D25" s="8" t="inlineStr">
        <is>
          <t>L</t>
        </is>
      </c>
      <c r="E25" s="8" t="n">
        <v>15.016666666667</v>
      </c>
      <c r="F25" s="8" t="inlineStr">
        <is>
          <t>2025-26</t>
        </is>
      </c>
      <c r="G25" s="19" t="inlineStr">
        <is>
          <t>3/6/2026 DAL vs. COL</t>
        </is>
      </c>
      <c r="H25" s="9">
        <f>COUNTIFS(Tracking!E:E,A25,Tracking!D:D,C25,Tracking!C:C,"5v5")</f>
        <v/>
      </c>
      <c r="I25" s="9">
        <f>COUNTIFS(Tracking!E:E,A25,Tracking!D:D,C25,Tracking!N:N,"y",Tracking!C:C,"5v5")</f>
        <v/>
      </c>
      <c r="J25" s="9">
        <f>COUNTIFS(Tracking!E:E,A25,Tracking!D:D,C25,Tracking!M:M,"y",Tracking!C:C,"5v5")</f>
        <v/>
      </c>
      <c r="K25" s="9">
        <f>L25+M25+N25</f>
        <v/>
      </c>
      <c r="L25" s="9">
        <f>COUNTIFS(Tracking!G:G,A25,Tracking!D:D,C25,Tracking!C:C,"5v5")</f>
        <v/>
      </c>
      <c r="M25" s="9">
        <f>COUNTIFS(Tracking!H:H,A25,Tracking!D:D,C25,Tracking!C:C,"5v5")</f>
        <v/>
      </c>
      <c r="N25" s="9">
        <f>COUNTIFS(Tracking!I:I,A25,Tracking!D:D,C25,Tracking!C:C,"5v5")</f>
        <v/>
      </c>
      <c r="O25" s="9">
        <f>COUNTIFS(Tracking!G:G,A25,Tracking!D:D,C25,Tracking!C:C,"5v5",Tracking!M:M,"y")</f>
        <v/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/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/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/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/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/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/>
      </c>
      <c r="V25" s="9">
        <f>COUNTIFS(Tracking!E:E,A25,Tracking!D:D,C25,Tracking!C:C,"5v5",Tracking!P:P,"r")</f>
        <v/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/>
      </c>
      <c r="X25" s="9">
        <f>COUNTIFS(Tracking!E:E,A25,Tracking!D:D,C25,Tracking!C:C,"5v5",Tracking!P:P,"f")</f>
        <v/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/>
      </c>
      <c r="Z25" s="9">
        <f>COUNTIFS(Tracking!E:E,A25,Tracking!D:D,C25,Tracking!C:C,"5v5",Tracking!P:P,"c")</f>
        <v/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/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/>
      </c>
      <c r="AC25" s="11">
        <f>COUNTIFS(Tracking!Z:Z,A25&amp;C25,Tracking!C:C,"5v5")-AE25</f>
        <v/>
      </c>
      <c r="AD25" s="11">
        <f>COUNTIFS(Tracking!Z:Z,A25&amp;C25,Tracking!C:C,"5v5",Tracking!Y:Y,"C")</f>
        <v/>
      </c>
      <c r="AE25" s="11">
        <f>COUNTIFS(Tracking!Z:Z,A25&amp;C25,Tracking!C:C,"5v5",Tracking!Y:Y,"F")</f>
        <v/>
      </c>
      <c r="AF25" s="11">
        <f>COUNTIFS(Tracking!Z:Z,A25&amp;C25,Tracking!C:C,"5v5",Tracking!Y:Y,"C",Tracking!AB:AB,"Y")</f>
        <v/>
      </c>
      <c r="AG25" s="11">
        <f>COUNTIFS(Tracking!AD:AD,A25&amp;C25,Tracking!C:C,"5v5")</f>
        <v/>
      </c>
      <c r="AH25" s="11">
        <f>COUNTIFS(Tracking!Z:Z,A25&amp;C25,Tracking!C:C,"5v5",Tracking!Y:Y,"C",Tracking!AE:AE,"Y")</f>
        <v/>
      </c>
      <c r="AI25" s="11">
        <f>COUNTIFS(Tracking!Z:Z,A25&amp;C25,Tracking!C:C,"5v5",Tracking!Y:Y,"D",Tracking!AE:AE,"Y")</f>
        <v/>
      </c>
      <c r="AJ25" s="11">
        <f>COUNTIFS(Tracking!AH:AH,A25&amp;C25)</f>
        <v/>
      </c>
      <c r="AK25" s="5">
        <f>COUNTIFS(Tracking!AI:AI,A25&amp;C25,Tracking!C:C,"5v5")+AL25</f>
        <v/>
      </c>
      <c r="AL25" s="5">
        <f>COUNTIFS(Tracking!AF:AF,A25&amp;C25,Tracking!C:C,"5v5")-AT25</f>
        <v/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/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/>
      </c>
      <c r="AO25" s="5">
        <f>COUNTIFS(Tracking!AF:AF,A25&amp;C25,Tracking!C:C,"5v5",Tracking!AG:AG,"CEX")+COUNTIFS(Tracking!AI:AI,A25&amp;C25,Tracking!C:C,"5v5",Tracking!AJ:AJ,"CEX")</f>
        <v/>
      </c>
      <c r="AP25" s="5">
        <f>COUNTIFS(Tracking!AF:AF,A25&amp;C25,Tracking!C:C,"5v5",Tracking!AG:AG,"PEX")</f>
        <v/>
      </c>
      <c r="AQ25" s="5">
        <f>COUNTIFS(Tracking!AF:AF,A25&amp;C25,Tracking!C:C,"5v5",Tracking!AG:AG,"CLE")+COUNTIFS(Tracking!AI:AI,A25&amp;C25,Tracking!C:C,"5v5",Tracking!AJ:AJ,"CLE")</f>
        <v/>
      </c>
      <c r="AR25" s="5">
        <f>COUNTIFS(Tracking!AF:AF,A25&amp;C25,Tracking!C:C,"5v5",Tracking!AG:AG,"MEX")</f>
        <v/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/>
      </c>
      <c r="AT25" s="5">
        <f>COUNTIFS(Tracking!AF:AF,A25&amp;C25,Tracking!C:C,"5v5",Tracking!AG:AG,"BOT")+COUNTIFS(Tracking!AF:AF,A25&amp;C25,Tracking!C:C,"5v5",Tracking!AG:AG,"FEX")</f>
        <v/>
      </c>
      <c r="AU25" s="5">
        <f>COUNTIFS(Tracking!AF:AF,A25&amp;C25,Tracking!C:C,"5v5",Tracking!AG:AG,"EXC")</f>
        <v/>
      </c>
      <c r="AV25" s="5">
        <f>COUNTIFS(Tracking!AF:AF,A25&amp;C25,Tracking!C:C,"5v5",Tracking!AG:AG,"FEX")+COUNTIFS(Tracking!AI:AI,A25&amp;C25,Tracking!C:C,"5v5",Tracking!AJ:AJ,"FEX")</f>
        <v/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/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/>
      </c>
      <c r="AY25" s="1">
        <f>COUNTIFS(Tracking!AA:AA,A25&amp;C25,Tracking!C:C,"5v5")</f>
        <v/>
      </c>
      <c r="AZ25" s="1">
        <f>COUNTIFS(Tracking!AA:AA,A25&amp;C25,Tracking!C:C,"5v5",Tracking!Y:Y,"C")</f>
        <v/>
      </c>
      <c r="BA25" s="1">
        <f>COUNTIFS(Tracking!AA:AA,A25&amp;C25,Tracking!C:C,"5v5",Tracking!Y:Y,"F")</f>
        <v/>
      </c>
      <c r="BB25" s="1">
        <f>COUNTIFS(Tracking!AA:AA,A25&amp;C25,Tracking!C:C,"5v5",Tracking!AB:AB,"Y")</f>
        <v/>
      </c>
      <c r="BC25" s="1">
        <f>COUNTIFS(Tracking!AA:AA,A25&amp;C25,Tracking!C:C,"5v5",Tracking!Y:Y,"C",Tracking!AE:AE,"Y")</f>
        <v/>
      </c>
      <c r="BD25" s="1">
        <f>COUNTIFS(Tracking!AA:AA,A25&amp;C25,Tracking!C:C,"5v5",Tracking!Y:Y,"D",Tracking!AE:AE,"Y")</f>
        <v/>
      </c>
      <c r="BE25" s="10">
        <f>COUNTIFS(Tracking!Z:Z,A25&amp;C25,Tracking!C:C,"5v4")</f>
        <v/>
      </c>
      <c r="BF25" s="10">
        <f>COUNTIFS(Tracking!Z:Z,A25&amp;C25,Tracking!C:C,"5v4",Tracking!Y:Y,"C")</f>
        <v/>
      </c>
      <c r="BG25" s="10">
        <f>COUNTIFS(Tracking!Z:Z,A25&amp;C25,Tracking!C:C,"5v4",Tracking!AB:AB,"Y")</f>
        <v/>
      </c>
      <c r="BH25" s="10">
        <f>COUNTIFS(Tracking!Z:Z,A25&amp;C25,Tracking!C:C,"4v5")</f>
        <v/>
      </c>
      <c r="BI25" s="10">
        <f>COUNTIFS(Tracking!AA:AA,A25&amp;C25,Tracking!C:C,"5v4",Tracking!Y:Y,"D")+COUNTIFS(Tracking!AA:AA,A25&amp;C25,Tracking!C:C,"5v4",Tracking!Y:Y,"F")</f>
        <v/>
      </c>
      <c r="BJ25" s="10">
        <f>COUNTIFS(Tracking!E:E,A25,Tracking!D:D,C25,Tracking!C:C,"5v4")</f>
        <v/>
      </c>
      <c r="BK25" s="10">
        <f>COUNTIFS(Tracking!G:G,A25,Tracking!D:D,C25,Tracking!C:C,"5v4")+COUNTIFS(Tracking!H:H,A25,Tracking!D:D,C25,Tracking!C:C,"5v4")+COUNTIFS(Tracking!I:I,A25,Tracking!D:D,C25,Tracking!C:C,"5v4")</f>
        <v/>
      </c>
      <c r="BL25" s="10">
        <f>COUNTIFS(Tracking!G:G,A25,Tracking!D:D,C25,Tracking!C:C,"5v4")</f>
        <v/>
      </c>
      <c r="BM25" s="10">
        <f>COUNTIFS(Tracking!E:E,A25,Tracking!D:D,C25,Tracking!C:C,"5v4",Tracking!M:M,"Y")</f>
        <v/>
      </c>
      <c r="BN25" s="10">
        <f>COUNTIFS(Tracking!G:G,A25,Tracking!D:D,C25,Tracking!C:C,"5v4",Tracking!M:M,"Y")</f>
        <v/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/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/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/>
      </c>
      <c r="BR25" s="12">
        <f>COUNTIFS(Tracking!E:E,A25,Tracking!D:D,C25,Tracking!C:C,"5v5",Tracking!F:F,"o")</f>
        <v/>
      </c>
      <c r="BS25" s="12">
        <f>COUNTIFS(Tracking!E:E,A25,Tracking!D:D,C25,Tracking!C:C,"5v5",Tracking!F:F,"r")</f>
        <v/>
      </c>
      <c r="BT25" s="12">
        <f>COUNTIFS(Tracking!E:E,A25,Tracking!D:D,C25,Tracking!C:C,"5v5",Tracking!F:F,"t")</f>
        <v/>
      </c>
      <c r="BU25" s="12">
        <f>COUNTIFS(Tracking!G:G,A25,Tracking!D:D,C25,Tracking!C:C,"5v5",Tracking!F:F,"o")</f>
        <v/>
      </c>
      <c r="BV25" s="12">
        <f>COUNTIFS(Tracking!E:E,A24,Tracking!D:D,C25,Tracking!C:C,"5v5",Tracking!F:F,"r")</f>
        <v/>
      </c>
      <c r="BW25" s="12">
        <f>COUNTIFS(Tracking!G:G,A25,Tracking!D:D,C25,Tracking!C:C,"5v5",Tracking!F:F,"T")</f>
        <v/>
      </c>
      <c r="BX25" s="12">
        <f>COUNTIFS(Tracking!E:E,A25,Tracking!D:D,C25,Tracking!C:C,"5v5",Tracking!Q:Q,"OZ")</f>
        <v/>
      </c>
      <c r="BY25" s="12">
        <f>COUNTIFS(Tracking!E:E,A25,Tracking!D:D,C25,Tracking!C:C,"5v5",Tracking!Q:Q,"nZ")</f>
        <v/>
      </c>
      <c r="BZ25" s="12">
        <f>COUNTIFS(Tracking!E:E,A25,Tracking!D:D,C25,Tracking!C:C,"5v5",Tracking!Q:Q,"dZ")</f>
        <v/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/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/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/>
      </c>
      <c r="CD25" s="12">
        <f>COUNTIFS(Tracking!E:E,A25,Tracking!D:D,C25,Tracking!C:C,"5v5",Tracking!R:R,"dz exit")</f>
        <v/>
      </c>
      <c r="CE25" s="12">
        <f>COUNTIFS(Tracking!E:E,A25,Tracking!D:D,C25,Tracking!C:C,"5v5",Tracking!R:R,"dz counter")</f>
        <v/>
      </c>
      <c r="CF25" s="12">
        <f>COUNTIFS(Tracking!E:E,A25,Tracking!D:D,C25,Tracking!C:C,"5v5",Tracking!R:R,"nz turnover")</f>
        <v/>
      </c>
      <c r="CG25" s="12">
        <f>COUNTIFS(Tracking!E:E,A25,Tracking!D:D,C25,Tracking!C:C,"5v5",Tracking!R:R,"nz regroup")</f>
        <v/>
      </c>
      <c r="CH25" s="12">
        <f>COUNTIFS(Tracking!E:E,A25,Tracking!D:D,C25,Tracking!C:C,"5v5",Tracking!R:R,"nz reload")</f>
        <v/>
      </c>
      <c r="CI25" s="12">
        <f>COUNTIFS(Tracking!E:E,A25,Tracking!D:D,C25,Tracking!C:C,"5v5",Tracking!R:R,"controlled breakout")</f>
        <v/>
      </c>
      <c r="CJ25" s="2">
        <f>CK25+CL25+CM25+CN25+CO25+CP25</f>
        <v/>
      </c>
      <c r="CK25" s="2">
        <f>(0.075*H25)+(0.07*L25)+(0.055*M25)+(0.055*N25)+(0.095*J25)+(0.09*O25)+(0.05*P25)+(0.05*R25)+(0.05*S25)+(0.05*AB25)</f>
        <v/>
      </c>
      <c r="CL25" s="2">
        <f>(0.045*AD25)-(0.045*AE25)+(0.055*AH25)+(0.035*AI25)</f>
        <v/>
      </c>
      <c r="CM25" s="2">
        <f>(0.015*(AY25-AZ25))+(0.035*BA25)-(0.015*BB25)-(0.025*BC25)+(0.015*(AY25-(BD25+BC25)))</f>
        <v/>
      </c>
      <c r="CN25" s="2">
        <f>(0.035*AN25)+(0.025*AS25)-(0.035*AT25)-(0.035*AV25)</f>
        <v/>
      </c>
      <c r="CO25" s="2">
        <f>(0.015*AJ25)+(0.045*AG25)</f>
        <v/>
      </c>
      <c r="CP25" s="2">
        <f>(0.055*BM25)+(0.055*BN25)+(0.035*BO25)+(0.035*BQ25)+(0.055*BH25)+(0.035*BI25)+(0.035*BG25)</f>
        <v/>
      </c>
      <c r="CQ25" s="2">
        <f>CK25+CL25+CM25+CN25+CO25</f>
        <v/>
      </c>
    </row>
    <row r="26">
      <c r="A26" s="8" t="n">
        <v>54</v>
      </c>
      <c r="B26" s="8" t="inlineStr">
        <is>
          <t>Gavin Brindley</t>
        </is>
      </c>
      <c r="C26" s="8" t="inlineStr">
        <is>
          <t>COL</t>
        </is>
      </c>
      <c r="D26" s="8" t="inlineStr">
        <is>
          <t>C</t>
        </is>
      </c>
      <c r="E26" s="8" t="n">
        <v>6.2166666666667</v>
      </c>
      <c r="F26" s="8" t="inlineStr">
        <is>
          <t>2025-26</t>
        </is>
      </c>
      <c r="G26" s="19" t="inlineStr">
        <is>
          <t>3/6/2026 DAL vs. COL</t>
        </is>
      </c>
      <c r="H26" s="9">
        <f>COUNTIFS(Tracking!E:E,A26,Tracking!D:D,C26,Tracking!C:C,"5v5")</f>
        <v/>
      </c>
      <c r="I26" s="9">
        <f>COUNTIFS(Tracking!E:E,A26,Tracking!D:D,C26,Tracking!N:N,"y",Tracking!C:C,"5v5")</f>
        <v/>
      </c>
      <c r="J26" s="9">
        <f>COUNTIFS(Tracking!E:E,A26,Tracking!D:D,C26,Tracking!M:M,"y",Tracking!C:C,"5v5")</f>
        <v/>
      </c>
      <c r="K26" s="9">
        <f>L26+M26+N26</f>
        <v/>
      </c>
      <c r="L26" s="9">
        <f>COUNTIFS(Tracking!G:G,A26,Tracking!D:D,C26,Tracking!C:C,"5v5")</f>
        <v/>
      </c>
      <c r="M26" s="9">
        <f>COUNTIFS(Tracking!H:H,A26,Tracking!D:D,C26,Tracking!C:C,"5v5")</f>
        <v/>
      </c>
      <c r="N26" s="9">
        <f>COUNTIFS(Tracking!I:I,A26,Tracking!D:D,C26,Tracking!C:C,"5v5")</f>
        <v/>
      </c>
      <c r="O26" s="9">
        <f>COUNTIFS(Tracking!G:G,A26,Tracking!D:D,C26,Tracking!C:C,"5v5",Tracking!M:M,"y")</f>
        <v/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/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/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/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/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/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/>
      </c>
      <c r="V26" s="9">
        <f>COUNTIFS(Tracking!E:E,A26,Tracking!D:D,C26,Tracking!C:C,"5v5",Tracking!P:P,"r")</f>
        <v/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/>
      </c>
      <c r="X26" s="9">
        <f>COUNTIFS(Tracking!E:E,A26,Tracking!D:D,C26,Tracking!C:C,"5v5",Tracking!P:P,"f")</f>
        <v/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/>
      </c>
      <c r="Z26" s="9">
        <f>COUNTIFS(Tracking!E:E,A26,Tracking!D:D,C26,Tracking!C:C,"5v5",Tracking!P:P,"c")</f>
        <v/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/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/>
      </c>
      <c r="AC26" s="11">
        <f>COUNTIFS(Tracking!Z:Z,A26&amp;C26,Tracking!C:C,"5v5")-AE26</f>
        <v/>
      </c>
      <c r="AD26" s="11">
        <f>COUNTIFS(Tracking!Z:Z,A26&amp;C26,Tracking!C:C,"5v5",Tracking!Y:Y,"C")</f>
        <v/>
      </c>
      <c r="AE26" s="11">
        <f>COUNTIFS(Tracking!Z:Z,A26&amp;C26,Tracking!C:C,"5v5",Tracking!Y:Y,"F")</f>
        <v/>
      </c>
      <c r="AF26" s="11">
        <f>COUNTIFS(Tracking!Z:Z,A26&amp;C26,Tracking!C:C,"5v5",Tracking!Y:Y,"C",Tracking!AB:AB,"Y")</f>
        <v/>
      </c>
      <c r="AG26" s="11">
        <f>COUNTIFS(Tracking!AD:AD,A26&amp;C26,Tracking!C:C,"5v5")</f>
        <v/>
      </c>
      <c r="AH26" s="11">
        <f>COUNTIFS(Tracking!Z:Z,A26&amp;C26,Tracking!C:C,"5v5",Tracking!Y:Y,"C",Tracking!AE:AE,"Y")</f>
        <v/>
      </c>
      <c r="AI26" s="11">
        <f>COUNTIFS(Tracking!Z:Z,A26&amp;C26,Tracking!C:C,"5v5",Tracking!Y:Y,"D",Tracking!AE:AE,"Y")</f>
        <v/>
      </c>
      <c r="AJ26" s="11">
        <f>COUNTIFS(Tracking!AH:AH,A26&amp;C26)</f>
        <v/>
      </c>
      <c r="AK26" s="5">
        <f>COUNTIFS(Tracking!AI:AI,A26&amp;C26,Tracking!C:C,"5v5")+AL26</f>
        <v/>
      </c>
      <c r="AL26" s="5">
        <f>COUNTIFS(Tracking!AF:AF,A26&amp;C26,Tracking!C:C,"5v5")-AT26</f>
        <v/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/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/>
      </c>
      <c r="AO26" s="5">
        <f>COUNTIFS(Tracking!AF:AF,A26&amp;C26,Tracking!C:C,"5v5",Tracking!AG:AG,"CEX")+COUNTIFS(Tracking!AI:AI,A26&amp;C26,Tracking!C:C,"5v5",Tracking!AJ:AJ,"CEX")</f>
        <v/>
      </c>
      <c r="AP26" s="5">
        <f>COUNTIFS(Tracking!AF:AF,A26&amp;C26,Tracking!C:C,"5v5",Tracking!AG:AG,"PEX")</f>
        <v/>
      </c>
      <c r="AQ26" s="5">
        <f>COUNTIFS(Tracking!AF:AF,A26&amp;C26,Tracking!C:C,"5v5",Tracking!AG:AG,"CLE")+COUNTIFS(Tracking!AI:AI,A26&amp;C26,Tracking!C:C,"5v5",Tracking!AJ:AJ,"CLE")</f>
        <v/>
      </c>
      <c r="AR26" s="5">
        <f>COUNTIFS(Tracking!AF:AF,A26&amp;C26,Tracking!C:C,"5v5",Tracking!AG:AG,"MEX")</f>
        <v/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/>
      </c>
      <c r="AT26" s="5">
        <f>COUNTIFS(Tracking!AF:AF,A26&amp;C26,Tracking!C:C,"5v5",Tracking!AG:AG,"BOT")+COUNTIFS(Tracking!AF:AF,A26&amp;C26,Tracking!C:C,"5v5",Tracking!AG:AG,"FEX")</f>
        <v/>
      </c>
      <c r="AU26" s="5">
        <f>COUNTIFS(Tracking!AF:AF,A26&amp;C26,Tracking!C:C,"5v5",Tracking!AG:AG,"EXC")</f>
        <v/>
      </c>
      <c r="AV26" s="5">
        <f>COUNTIFS(Tracking!AF:AF,A26&amp;C26,Tracking!C:C,"5v5",Tracking!AG:AG,"FEX")+COUNTIFS(Tracking!AI:AI,A26&amp;C26,Tracking!C:C,"5v5",Tracking!AJ:AJ,"FEX")</f>
        <v/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/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/>
      </c>
      <c r="AY26" s="1">
        <f>COUNTIFS(Tracking!AA:AA,A26&amp;C26,Tracking!C:C,"5v5")</f>
        <v/>
      </c>
      <c r="AZ26" s="1">
        <f>COUNTIFS(Tracking!AA:AA,A26&amp;C26,Tracking!C:C,"5v5",Tracking!Y:Y,"C")</f>
        <v/>
      </c>
      <c r="BA26" s="1">
        <f>COUNTIFS(Tracking!AA:AA,A26&amp;C26,Tracking!C:C,"5v5",Tracking!Y:Y,"F")</f>
        <v/>
      </c>
      <c r="BB26" s="1">
        <f>COUNTIFS(Tracking!AA:AA,A26&amp;C26,Tracking!C:C,"5v5",Tracking!AB:AB,"Y")</f>
        <v/>
      </c>
      <c r="BC26" s="1">
        <f>COUNTIFS(Tracking!AA:AA,A26&amp;C26,Tracking!C:C,"5v5",Tracking!Y:Y,"C",Tracking!AE:AE,"Y")</f>
        <v/>
      </c>
      <c r="BD26" s="1">
        <f>COUNTIFS(Tracking!AA:AA,A26&amp;C26,Tracking!C:C,"5v5",Tracking!Y:Y,"D",Tracking!AE:AE,"Y")</f>
        <v/>
      </c>
      <c r="BE26" s="10">
        <f>COUNTIFS(Tracking!Z:Z,A26&amp;C26,Tracking!C:C,"5v4")</f>
        <v/>
      </c>
      <c r="BF26" s="10">
        <f>COUNTIFS(Tracking!Z:Z,A26&amp;C26,Tracking!C:C,"5v4",Tracking!Y:Y,"C")</f>
        <v/>
      </c>
      <c r="BG26" s="10">
        <f>COUNTIFS(Tracking!Z:Z,A26&amp;C26,Tracking!C:C,"5v4",Tracking!AB:AB,"Y")</f>
        <v/>
      </c>
      <c r="BH26" s="10">
        <f>COUNTIFS(Tracking!Z:Z,A26&amp;C26,Tracking!C:C,"4v5")</f>
        <v/>
      </c>
      <c r="BI26" s="10">
        <f>COUNTIFS(Tracking!AA:AA,A26&amp;C26,Tracking!C:C,"5v4",Tracking!Y:Y,"D")+COUNTIFS(Tracking!AA:AA,A26&amp;C26,Tracking!C:C,"5v4",Tracking!Y:Y,"F")</f>
        <v/>
      </c>
      <c r="BJ26" s="10">
        <f>COUNTIFS(Tracking!E:E,A26,Tracking!D:D,C26,Tracking!C:C,"5v4")</f>
        <v/>
      </c>
      <c r="BK26" s="10">
        <f>COUNTIFS(Tracking!G:G,A26,Tracking!D:D,C26,Tracking!C:C,"5v4")+COUNTIFS(Tracking!H:H,A26,Tracking!D:D,C26,Tracking!C:C,"5v4")+COUNTIFS(Tracking!I:I,A26,Tracking!D:D,C26,Tracking!C:C,"5v4")</f>
        <v/>
      </c>
      <c r="BL26" s="10">
        <f>COUNTIFS(Tracking!G:G,A26,Tracking!D:D,C26,Tracking!C:C,"5v4")</f>
        <v/>
      </c>
      <c r="BM26" s="10">
        <f>COUNTIFS(Tracking!E:E,A26,Tracking!D:D,C26,Tracking!C:C,"5v4",Tracking!M:M,"Y")</f>
        <v/>
      </c>
      <c r="BN26" s="10">
        <f>COUNTIFS(Tracking!G:G,A26,Tracking!D:D,C26,Tracking!C:C,"5v4",Tracking!M:M,"Y")</f>
        <v/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/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/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/>
      </c>
      <c r="BR26" s="12">
        <f>COUNTIFS(Tracking!E:E,A26,Tracking!D:D,C26,Tracking!C:C,"5v5",Tracking!F:F,"o")</f>
        <v/>
      </c>
      <c r="BS26" s="12">
        <f>COUNTIFS(Tracking!E:E,A26,Tracking!D:D,C26,Tracking!C:C,"5v5",Tracking!F:F,"r")</f>
        <v/>
      </c>
      <c r="BT26" s="12">
        <f>COUNTIFS(Tracking!E:E,A26,Tracking!D:D,C26,Tracking!C:C,"5v5",Tracking!F:F,"t")</f>
        <v/>
      </c>
      <c r="BU26" s="12">
        <f>COUNTIFS(Tracking!G:G,A26,Tracking!D:D,C26,Tracking!C:C,"5v5",Tracking!F:F,"o")</f>
        <v/>
      </c>
      <c r="BV26" s="12">
        <f>COUNTIFS(Tracking!E:E,A25,Tracking!D:D,C26,Tracking!C:C,"5v5",Tracking!F:F,"r")</f>
        <v/>
      </c>
      <c r="BW26" s="12">
        <f>COUNTIFS(Tracking!G:G,A26,Tracking!D:D,C26,Tracking!C:C,"5v5",Tracking!F:F,"T")</f>
        <v/>
      </c>
      <c r="BX26" s="12">
        <f>COUNTIFS(Tracking!E:E,A26,Tracking!D:D,C26,Tracking!C:C,"5v5",Tracking!Q:Q,"OZ")</f>
        <v/>
      </c>
      <c r="BY26" s="12">
        <f>COUNTIFS(Tracking!E:E,A26,Tracking!D:D,C26,Tracking!C:C,"5v5",Tracking!Q:Q,"nZ")</f>
        <v/>
      </c>
      <c r="BZ26" s="12">
        <f>COUNTIFS(Tracking!E:E,A26,Tracking!D:D,C26,Tracking!C:C,"5v5",Tracking!Q:Q,"dZ")</f>
        <v/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/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/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/>
      </c>
      <c r="CD26" s="12">
        <f>COUNTIFS(Tracking!E:E,A26,Tracking!D:D,C26,Tracking!C:C,"5v5",Tracking!R:R,"dz exit")</f>
        <v/>
      </c>
      <c r="CE26" s="12">
        <f>COUNTIFS(Tracking!E:E,A26,Tracking!D:D,C26,Tracking!C:C,"5v5",Tracking!R:R,"dz counter")</f>
        <v/>
      </c>
      <c r="CF26" s="12">
        <f>COUNTIFS(Tracking!E:E,A26,Tracking!D:D,C26,Tracking!C:C,"5v5",Tracking!R:R,"nz turnover")</f>
        <v/>
      </c>
      <c r="CG26" s="12">
        <f>COUNTIFS(Tracking!E:E,A26,Tracking!D:D,C26,Tracking!C:C,"5v5",Tracking!R:R,"nz regroup")</f>
        <v/>
      </c>
      <c r="CH26" s="12">
        <f>COUNTIFS(Tracking!E:E,A26,Tracking!D:D,C26,Tracking!C:C,"5v5",Tracking!R:R,"nz reload")</f>
        <v/>
      </c>
      <c r="CI26" s="12">
        <f>COUNTIFS(Tracking!E:E,A26,Tracking!D:D,C26,Tracking!C:C,"5v5",Tracking!R:R,"controlled breakout")</f>
        <v/>
      </c>
      <c r="CJ26" s="2">
        <f>CK26+CL26+CM26+CN26+CO26+CP26</f>
        <v/>
      </c>
      <c r="CK26" s="2">
        <f>(0.075*H26)+(0.07*L26)+(0.055*M26)+(0.055*N26)+(0.095*J26)+(0.09*O26)+(0.05*P26)+(0.05*R26)+(0.05*S26)+(0.05*AB26)</f>
        <v/>
      </c>
      <c r="CL26" s="2">
        <f>(0.045*AD26)-(0.045*AE26)+(0.055*AH26)+(0.035*AI26)</f>
        <v/>
      </c>
      <c r="CM26" s="2">
        <f>(0.015*(AY26-AZ26))+(0.035*BA26)-(0.015*BB26)-(0.025*BC26)+(0.015*(AY26-(BD26+BC26)))</f>
        <v/>
      </c>
      <c r="CN26" s="2">
        <f>(0.035*AN26)+(0.025*AS26)-(0.035*AT26)-(0.035*AV26)</f>
        <v/>
      </c>
      <c r="CO26" s="2">
        <f>(0.015*AJ26)+(0.045*AG26)</f>
        <v/>
      </c>
      <c r="CP26" s="2">
        <f>(0.055*BM26)+(0.055*BN26)+(0.035*BO26)+(0.035*BQ26)+(0.055*BH26)+(0.035*BI26)+(0.035*BG26)</f>
        <v/>
      </c>
      <c r="CQ26" s="2">
        <f>CK26+CL26+CM26+CN26+CO26</f>
        <v/>
      </c>
    </row>
    <row r="27">
      <c r="A27" s="8" t="n">
        <v>18</v>
      </c>
      <c r="B27" s="8" t="inlineStr">
        <is>
          <t>Jack Drury</t>
        </is>
      </c>
      <c r="C27" s="8" t="inlineStr">
        <is>
          <t>COL</t>
        </is>
      </c>
      <c r="D27" s="8" t="inlineStr">
        <is>
          <t>C</t>
        </is>
      </c>
      <c r="E27" s="8" t="n">
        <v>9.800000000000001</v>
      </c>
      <c r="F27" s="8" t="inlineStr">
        <is>
          <t>2025-26</t>
        </is>
      </c>
      <c r="G27" s="19" t="inlineStr">
        <is>
          <t>3/6/2026 DAL vs. COL</t>
        </is>
      </c>
      <c r="H27" s="9">
        <f>COUNTIFS(Tracking!E:E,A27,Tracking!D:D,C27,Tracking!C:C,"5v5")</f>
        <v/>
      </c>
      <c r="I27" s="9">
        <f>COUNTIFS(Tracking!E:E,A27,Tracking!D:D,C27,Tracking!N:N,"y",Tracking!C:C,"5v5")</f>
        <v/>
      </c>
      <c r="J27" s="9">
        <f>COUNTIFS(Tracking!E:E,A27,Tracking!D:D,C27,Tracking!M:M,"y",Tracking!C:C,"5v5")</f>
        <v/>
      </c>
      <c r="K27" s="9">
        <f>L27+M27+N27</f>
        <v/>
      </c>
      <c r="L27" s="9">
        <f>COUNTIFS(Tracking!G:G,A27,Tracking!D:D,C27,Tracking!C:C,"5v5")</f>
        <v/>
      </c>
      <c r="M27" s="9">
        <f>COUNTIFS(Tracking!H:H,A27,Tracking!D:D,C27,Tracking!C:C,"5v5")</f>
        <v/>
      </c>
      <c r="N27" s="9">
        <f>COUNTIFS(Tracking!I:I,A27,Tracking!D:D,C27,Tracking!C:C,"5v5")</f>
        <v/>
      </c>
      <c r="O27" s="9">
        <f>COUNTIFS(Tracking!G:G,A27,Tracking!D:D,C27,Tracking!C:C,"5v5",Tracking!M:M,"y")</f>
        <v/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/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/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/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/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/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/>
      </c>
      <c r="V27" s="9">
        <f>COUNTIFS(Tracking!E:E,A27,Tracking!D:D,C27,Tracking!C:C,"5v5",Tracking!P:P,"r")</f>
        <v/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/>
      </c>
      <c r="X27" s="9">
        <f>COUNTIFS(Tracking!E:E,A27,Tracking!D:D,C27,Tracking!C:C,"5v5",Tracking!P:P,"f")</f>
        <v/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/>
      </c>
      <c r="Z27" s="9">
        <f>COUNTIFS(Tracking!E:E,A27,Tracking!D:D,C27,Tracking!C:C,"5v5",Tracking!P:P,"c")</f>
        <v/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/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/>
      </c>
      <c r="AC27" s="11">
        <f>COUNTIFS(Tracking!Z:Z,A27&amp;C27,Tracking!C:C,"5v5")-AE27</f>
        <v/>
      </c>
      <c r="AD27" s="11">
        <f>COUNTIFS(Tracking!Z:Z,A27&amp;C27,Tracking!C:C,"5v5",Tracking!Y:Y,"C")</f>
        <v/>
      </c>
      <c r="AE27" s="11">
        <f>COUNTIFS(Tracking!Z:Z,A27&amp;C27,Tracking!C:C,"5v5",Tracking!Y:Y,"F")</f>
        <v/>
      </c>
      <c r="AF27" s="11">
        <f>COUNTIFS(Tracking!Z:Z,A27&amp;C27,Tracking!C:C,"5v5",Tracking!Y:Y,"C",Tracking!AB:AB,"Y")</f>
        <v/>
      </c>
      <c r="AG27" s="11">
        <f>COUNTIFS(Tracking!AD:AD,A27&amp;C27,Tracking!C:C,"5v5")</f>
        <v/>
      </c>
      <c r="AH27" s="11">
        <f>COUNTIFS(Tracking!Z:Z,A27&amp;C27,Tracking!C:C,"5v5",Tracking!Y:Y,"C",Tracking!AE:AE,"Y")</f>
        <v/>
      </c>
      <c r="AI27" s="11">
        <f>COUNTIFS(Tracking!Z:Z,A27&amp;C27,Tracking!C:C,"5v5",Tracking!Y:Y,"D",Tracking!AE:AE,"Y")</f>
        <v/>
      </c>
      <c r="AJ27" s="11">
        <f>COUNTIFS(Tracking!AH:AH,A27&amp;C27)</f>
        <v/>
      </c>
      <c r="AK27" s="5">
        <f>COUNTIFS(Tracking!AI:AI,A27&amp;C27,Tracking!C:C,"5v5")+AL27</f>
        <v/>
      </c>
      <c r="AL27" s="5">
        <f>COUNTIFS(Tracking!AF:AF,A27&amp;C27,Tracking!C:C,"5v5")-AT27</f>
        <v/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/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/>
      </c>
      <c r="AO27" s="5">
        <f>COUNTIFS(Tracking!AF:AF,A27&amp;C27,Tracking!C:C,"5v5",Tracking!AG:AG,"CEX")+COUNTIFS(Tracking!AI:AI,A27&amp;C27,Tracking!C:C,"5v5",Tracking!AJ:AJ,"CEX")</f>
        <v/>
      </c>
      <c r="AP27" s="5">
        <f>COUNTIFS(Tracking!AF:AF,A27&amp;C27,Tracking!C:C,"5v5",Tracking!AG:AG,"PEX")</f>
        <v/>
      </c>
      <c r="AQ27" s="5">
        <f>COUNTIFS(Tracking!AF:AF,A27&amp;C27,Tracking!C:C,"5v5",Tracking!AG:AG,"CLE")+COUNTIFS(Tracking!AI:AI,A27&amp;C27,Tracking!C:C,"5v5",Tracking!AJ:AJ,"CLE")</f>
        <v/>
      </c>
      <c r="AR27" s="5">
        <f>COUNTIFS(Tracking!AF:AF,A27&amp;C27,Tracking!C:C,"5v5",Tracking!AG:AG,"MEX")</f>
        <v/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/>
      </c>
      <c r="AT27" s="5">
        <f>COUNTIFS(Tracking!AF:AF,A27&amp;C27,Tracking!C:C,"5v5",Tracking!AG:AG,"BOT")+COUNTIFS(Tracking!AF:AF,A27&amp;C27,Tracking!C:C,"5v5",Tracking!AG:AG,"FEX")</f>
        <v/>
      </c>
      <c r="AU27" s="5">
        <f>COUNTIFS(Tracking!AF:AF,A27&amp;C27,Tracking!C:C,"5v5",Tracking!AG:AG,"EXC")</f>
        <v/>
      </c>
      <c r="AV27" s="5">
        <f>COUNTIFS(Tracking!AF:AF,A27&amp;C27,Tracking!C:C,"5v5",Tracking!AG:AG,"FEX")+COUNTIFS(Tracking!AI:AI,A27&amp;C27,Tracking!C:C,"5v5",Tracking!AJ:AJ,"FEX")</f>
        <v/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/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/>
      </c>
      <c r="AY27" s="1">
        <f>COUNTIFS(Tracking!AA:AA,A27&amp;C27,Tracking!C:C,"5v5")</f>
        <v/>
      </c>
      <c r="AZ27" s="1">
        <f>COUNTIFS(Tracking!AA:AA,A27&amp;C27,Tracking!C:C,"5v5",Tracking!Y:Y,"C")</f>
        <v/>
      </c>
      <c r="BA27" s="1">
        <f>COUNTIFS(Tracking!AA:AA,A27&amp;C27,Tracking!C:C,"5v5",Tracking!Y:Y,"F")</f>
        <v/>
      </c>
      <c r="BB27" s="1">
        <f>COUNTIFS(Tracking!AA:AA,A27&amp;C27,Tracking!C:C,"5v5",Tracking!AB:AB,"Y")</f>
        <v/>
      </c>
      <c r="BC27" s="1">
        <f>COUNTIFS(Tracking!AA:AA,A27&amp;C27,Tracking!C:C,"5v5",Tracking!Y:Y,"C",Tracking!AE:AE,"Y")</f>
        <v/>
      </c>
      <c r="BD27" s="1">
        <f>COUNTIFS(Tracking!AA:AA,A27&amp;C27,Tracking!C:C,"5v5",Tracking!Y:Y,"D",Tracking!AE:AE,"Y")</f>
        <v/>
      </c>
      <c r="BE27" s="10">
        <f>COUNTIFS(Tracking!Z:Z,A27&amp;C27,Tracking!C:C,"5v4")</f>
        <v/>
      </c>
      <c r="BF27" s="10">
        <f>COUNTIFS(Tracking!Z:Z,A27&amp;C27,Tracking!C:C,"5v4",Tracking!Y:Y,"C")</f>
        <v/>
      </c>
      <c r="BG27" s="10">
        <f>COUNTIFS(Tracking!Z:Z,A27&amp;C27,Tracking!C:C,"5v4",Tracking!AB:AB,"Y")</f>
        <v/>
      </c>
      <c r="BH27" s="10">
        <f>COUNTIFS(Tracking!Z:Z,A27&amp;C27,Tracking!C:C,"4v5")</f>
        <v/>
      </c>
      <c r="BI27" s="10">
        <f>COUNTIFS(Tracking!AA:AA,A27&amp;C27,Tracking!C:C,"5v4",Tracking!Y:Y,"D")+COUNTIFS(Tracking!AA:AA,A27&amp;C27,Tracking!C:C,"5v4",Tracking!Y:Y,"F")</f>
        <v/>
      </c>
      <c r="BJ27" s="10">
        <f>COUNTIFS(Tracking!E:E,A27,Tracking!D:D,C27,Tracking!C:C,"5v4")</f>
        <v/>
      </c>
      <c r="BK27" s="10">
        <f>COUNTIFS(Tracking!G:G,A27,Tracking!D:D,C27,Tracking!C:C,"5v4")+COUNTIFS(Tracking!H:H,A27,Tracking!D:D,C27,Tracking!C:C,"5v4")+COUNTIFS(Tracking!I:I,A27,Tracking!D:D,C27,Tracking!C:C,"5v4")</f>
        <v/>
      </c>
      <c r="BL27" s="10">
        <f>COUNTIFS(Tracking!G:G,A27,Tracking!D:D,C27,Tracking!C:C,"5v4")</f>
        <v/>
      </c>
      <c r="BM27" s="10">
        <f>COUNTIFS(Tracking!E:E,A27,Tracking!D:D,C27,Tracking!C:C,"5v4",Tracking!M:M,"Y")</f>
        <v/>
      </c>
      <c r="BN27" s="10">
        <f>COUNTIFS(Tracking!G:G,A27,Tracking!D:D,C27,Tracking!C:C,"5v4",Tracking!M:M,"Y")</f>
        <v/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/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/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/>
      </c>
      <c r="BR27" s="12">
        <f>COUNTIFS(Tracking!E:E,A27,Tracking!D:D,C27,Tracking!C:C,"5v5",Tracking!F:F,"o")</f>
        <v/>
      </c>
      <c r="BS27" s="12">
        <f>COUNTIFS(Tracking!E:E,A27,Tracking!D:D,C27,Tracking!C:C,"5v5",Tracking!F:F,"r")</f>
        <v/>
      </c>
      <c r="BT27" s="12">
        <f>COUNTIFS(Tracking!E:E,A27,Tracking!D:D,C27,Tracking!C:C,"5v5",Tracking!F:F,"t")</f>
        <v/>
      </c>
      <c r="BU27" s="12">
        <f>COUNTIFS(Tracking!G:G,A27,Tracking!D:D,C27,Tracking!C:C,"5v5",Tracking!F:F,"o")</f>
        <v/>
      </c>
      <c r="BV27" s="12">
        <f>COUNTIFS(Tracking!E:E,A26,Tracking!D:D,C27,Tracking!C:C,"5v5",Tracking!F:F,"r")</f>
        <v/>
      </c>
      <c r="BW27" s="12">
        <f>COUNTIFS(Tracking!G:G,A27,Tracking!D:D,C27,Tracking!C:C,"5v5",Tracking!F:F,"T")</f>
        <v/>
      </c>
      <c r="BX27" s="12">
        <f>COUNTIFS(Tracking!E:E,A27,Tracking!D:D,C27,Tracking!C:C,"5v5",Tracking!Q:Q,"OZ")</f>
        <v/>
      </c>
      <c r="BY27" s="12">
        <f>COUNTIFS(Tracking!E:E,A27,Tracking!D:D,C27,Tracking!C:C,"5v5",Tracking!Q:Q,"nZ")</f>
        <v/>
      </c>
      <c r="BZ27" s="12">
        <f>COUNTIFS(Tracking!E:E,A27,Tracking!D:D,C27,Tracking!C:C,"5v5",Tracking!Q:Q,"dZ")</f>
        <v/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/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/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/>
      </c>
      <c r="CD27" s="12">
        <f>COUNTIFS(Tracking!E:E,A27,Tracking!D:D,C27,Tracking!C:C,"5v5",Tracking!R:R,"dz exit")</f>
        <v/>
      </c>
      <c r="CE27" s="12">
        <f>COUNTIFS(Tracking!E:E,A27,Tracking!D:D,C27,Tracking!C:C,"5v5",Tracking!R:R,"dz counter")</f>
        <v/>
      </c>
      <c r="CF27" s="12">
        <f>COUNTIFS(Tracking!E:E,A27,Tracking!D:D,C27,Tracking!C:C,"5v5",Tracking!R:R,"nz turnover")</f>
        <v/>
      </c>
      <c r="CG27" s="12">
        <f>COUNTIFS(Tracking!E:E,A27,Tracking!D:D,C27,Tracking!C:C,"5v5",Tracking!R:R,"nz regroup")</f>
        <v/>
      </c>
      <c r="CH27" s="12">
        <f>COUNTIFS(Tracking!E:E,A27,Tracking!D:D,C27,Tracking!C:C,"5v5",Tracking!R:R,"nz reload")</f>
        <v/>
      </c>
      <c r="CI27" s="12">
        <f>COUNTIFS(Tracking!E:E,A27,Tracking!D:D,C27,Tracking!C:C,"5v5",Tracking!R:R,"controlled breakout")</f>
        <v/>
      </c>
      <c r="CJ27" s="2">
        <f>CK27+CL27+CM27+CN27+CO27+CP27</f>
        <v/>
      </c>
      <c r="CK27" s="2">
        <f>(0.075*H27)+(0.07*L27)+(0.055*M27)+(0.055*N27)+(0.095*J27)+(0.09*O27)+(0.05*P27)+(0.05*R27)+(0.05*S27)+(0.05*AB27)</f>
        <v/>
      </c>
      <c r="CL27" s="2">
        <f>(0.045*AD27)-(0.045*AE27)+(0.055*AH27)+(0.035*AI27)</f>
        <v/>
      </c>
      <c r="CM27" s="2">
        <f>(0.015*(AY27-AZ27))+(0.035*BA27)-(0.015*BB27)-(0.025*BC27)+(0.015*(AY27-(BD27+BC27)))</f>
        <v/>
      </c>
      <c r="CN27" s="2">
        <f>(0.035*AN27)+(0.025*AS27)-(0.035*AT27)-(0.035*AV27)</f>
        <v/>
      </c>
      <c r="CO27" s="2">
        <f>(0.015*AJ27)+(0.045*AG27)</f>
        <v/>
      </c>
      <c r="CP27" s="2">
        <f>(0.055*BM27)+(0.055*BN27)+(0.035*BO27)+(0.035*BQ27)+(0.055*BH27)+(0.035*BI27)+(0.035*BG27)</f>
        <v/>
      </c>
      <c r="CQ27" s="2">
        <f>CK27+CL27+CM27+CN27+CO27</f>
        <v/>
      </c>
    </row>
    <row r="28">
      <c r="A28" s="8" t="n">
        <v>94</v>
      </c>
      <c r="B28" s="8" t="inlineStr">
        <is>
          <t>Joel Kiviranta</t>
        </is>
      </c>
      <c r="C28" s="8" t="inlineStr">
        <is>
          <t>COL</t>
        </is>
      </c>
      <c r="D28" s="8" t="inlineStr">
        <is>
          <t>L</t>
        </is>
      </c>
      <c r="E28" s="8" t="n">
        <v>8.9333333333333</v>
      </c>
      <c r="F28" s="8" t="inlineStr">
        <is>
          <t>2025-26</t>
        </is>
      </c>
      <c r="G28" s="19" t="inlineStr">
        <is>
          <t>3/6/2026 DAL vs. COL</t>
        </is>
      </c>
      <c r="H28" s="9">
        <f>COUNTIFS(Tracking!E:E,A28,Tracking!D:D,C28,Tracking!C:C,"5v5")</f>
        <v/>
      </c>
      <c r="I28" s="9">
        <f>COUNTIFS(Tracking!E:E,A28,Tracking!D:D,C28,Tracking!N:N,"y",Tracking!C:C,"5v5")</f>
        <v/>
      </c>
      <c r="J28" s="9">
        <f>COUNTIFS(Tracking!E:E,A28,Tracking!D:D,C28,Tracking!M:M,"y",Tracking!C:C,"5v5")</f>
        <v/>
      </c>
      <c r="K28" s="9">
        <f>L28+M28+N28</f>
        <v/>
      </c>
      <c r="L28" s="9">
        <f>COUNTIFS(Tracking!G:G,A28,Tracking!D:D,C28,Tracking!C:C,"5v5")</f>
        <v/>
      </c>
      <c r="M28" s="9">
        <f>COUNTIFS(Tracking!H:H,A28,Tracking!D:D,C28,Tracking!C:C,"5v5")</f>
        <v/>
      </c>
      <c r="N28" s="9">
        <f>COUNTIFS(Tracking!I:I,A28,Tracking!D:D,C28,Tracking!C:C,"5v5")</f>
        <v/>
      </c>
      <c r="O28" s="9">
        <f>COUNTIFS(Tracking!G:G,A28,Tracking!D:D,C28,Tracking!C:C,"5v5",Tracking!M:M,"y")</f>
        <v/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/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/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/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/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/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/>
      </c>
      <c r="V28" s="9">
        <f>COUNTIFS(Tracking!E:E,A28,Tracking!D:D,C28,Tracking!C:C,"5v5",Tracking!P:P,"r")</f>
        <v/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/>
      </c>
      <c r="X28" s="9">
        <f>COUNTIFS(Tracking!E:E,A28,Tracking!D:D,C28,Tracking!C:C,"5v5",Tracking!P:P,"f")</f>
        <v/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/>
      </c>
      <c r="Z28" s="9">
        <f>COUNTIFS(Tracking!E:E,A28,Tracking!D:D,C28,Tracking!C:C,"5v5",Tracking!P:P,"c")</f>
        <v/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/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/>
      </c>
      <c r="AC28" s="11">
        <f>COUNTIFS(Tracking!Z:Z,A28&amp;C28,Tracking!C:C,"5v5")-AE28</f>
        <v/>
      </c>
      <c r="AD28" s="11">
        <f>COUNTIFS(Tracking!Z:Z,A28&amp;C28,Tracking!C:C,"5v5",Tracking!Y:Y,"C")</f>
        <v/>
      </c>
      <c r="AE28" s="11">
        <f>COUNTIFS(Tracking!Z:Z,A28&amp;C28,Tracking!C:C,"5v5",Tracking!Y:Y,"F")</f>
        <v/>
      </c>
      <c r="AF28" s="11">
        <f>COUNTIFS(Tracking!Z:Z,A28&amp;C28,Tracking!C:C,"5v5",Tracking!Y:Y,"C",Tracking!AB:AB,"Y")</f>
        <v/>
      </c>
      <c r="AG28" s="11">
        <f>COUNTIFS(Tracking!AD:AD,A28&amp;C28,Tracking!C:C,"5v5")</f>
        <v/>
      </c>
      <c r="AH28" s="11">
        <f>COUNTIFS(Tracking!Z:Z,A28&amp;C28,Tracking!C:C,"5v5",Tracking!Y:Y,"C",Tracking!AE:AE,"Y")</f>
        <v/>
      </c>
      <c r="AI28" s="11">
        <f>COUNTIFS(Tracking!Z:Z,A28&amp;C28,Tracking!C:C,"5v5",Tracking!Y:Y,"D",Tracking!AE:AE,"Y")</f>
        <v/>
      </c>
      <c r="AJ28" s="11">
        <f>COUNTIFS(Tracking!AH:AH,A28&amp;C28)</f>
        <v/>
      </c>
      <c r="AK28" s="5">
        <f>COUNTIFS(Tracking!AI:AI,A28&amp;C28,Tracking!C:C,"5v5")+AL28</f>
        <v/>
      </c>
      <c r="AL28" s="5">
        <f>COUNTIFS(Tracking!AF:AF,A28&amp;C28,Tracking!C:C,"5v5")-AT28</f>
        <v/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/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/>
      </c>
      <c r="AO28" s="5">
        <f>COUNTIFS(Tracking!AF:AF,A28&amp;C28,Tracking!C:C,"5v5",Tracking!AG:AG,"CEX")+COUNTIFS(Tracking!AI:AI,A28&amp;C28,Tracking!C:C,"5v5",Tracking!AJ:AJ,"CEX")</f>
        <v/>
      </c>
      <c r="AP28" s="5">
        <f>COUNTIFS(Tracking!AF:AF,A28&amp;C28,Tracking!C:C,"5v5",Tracking!AG:AG,"PEX")</f>
        <v/>
      </c>
      <c r="AQ28" s="5">
        <f>COUNTIFS(Tracking!AF:AF,A28&amp;C28,Tracking!C:C,"5v5",Tracking!AG:AG,"CLE")+COUNTIFS(Tracking!AI:AI,A28&amp;C28,Tracking!C:C,"5v5",Tracking!AJ:AJ,"CLE")</f>
        <v/>
      </c>
      <c r="AR28" s="5">
        <f>COUNTIFS(Tracking!AF:AF,A28&amp;C28,Tracking!C:C,"5v5",Tracking!AG:AG,"MEX")</f>
        <v/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/>
      </c>
      <c r="AT28" s="5">
        <f>COUNTIFS(Tracking!AF:AF,A28&amp;C28,Tracking!C:C,"5v5",Tracking!AG:AG,"BOT")+COUNTIFS(Tracking!AF:AF,A28&amp;C28,Tracking!C:C,"5v5",Tracking!AG:AG,"FEX")</f>
        <v/>
      </c>
      <c r="AU28" s="5">
        <f>COUNTIFS(Tracking!AF:AF,A28&amp;C28,Tracking!C:C,"5v5",Tracking!AG:AG,"EXC")</f>
        <v/>
      </c>
      <c r="AV28" s="5">
        <f>COUNTIFS(Tracking!AF:AF,A28&amp;C28,Tracking!C:C,"5v5",Tracking!AG:AG,"FEX")+COUNTIFS(Tracking!AI:AI,A28&amp;C28,Tracking!C:C,"5v5",Tracking!AJ:AJ,"FEX")</f>
        <v/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/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/>
      </c>
      <c r="AY28" s="1">
        <f>COUNTIFS(Tracking!AA:AA,A28&amp;C28,Tracking!C:C,"5v5")</f>
        <v/>
      </c>
      <c r="AZ28" s="1">
        <f>COUNTIFS(Tracking!AA:AA,A28&amp;C28,Tracking!C:C,"5v5",Tracking!Y:Y,"C")</f>
        <v/>
      </c>
      <c r="BA28" s="1">
        <f>COUNTIFS(Tracking!AA:AA,A28&amp;C28,Tracking!C:C,"5v5",Tracking!Y:Y,"F")</f>
        <v/>
      </c>
      <c r="BB28" s="1">
        <f>COUNTIFS(Tracking!AA:AA,A28&amp;C28,Tracking!C:C,"5v5",Tracking!AB:AB,"Y")</f>
        <v/>
      </c>
      <c r="BC28" s="1">
        <f>COUNTIFS(Tracking!AA:AA,A28&amp;C28,Tracking!C:C,"5v5",Tracking!Y:Y,"C",Tracking!AE:AE,"Y")</f>
        <v/>
      </c>
      <c r="BD28" s="1">
        <f>COUNTIFS(Tracking!AA:AA,A28&amp;C28,Tracking!C:C,"5v5",Tracking!Y:Y,"D",Tracking!AE:AE,"Y")</f>
        <v/>
      </c>
      <c r="BE28" s="10">
        <f>COUNTIFS(Tracking!Z:Z,A28&amp;C28,Tracking!C:C,"5v4")</f>
        <v/>
      </c>
      <c r="BF28" s="10">
        <f>COUNTIFS(Tracking!Z:Z,A28&amp;C28,Tracking!C:C,"5v4",Tracking!Y:Y,"C")</f>
        <v/>
      </c>
      <c r="BG28" s="10">
        <f>COUNTIFS(Tracking!Z:Z,A28&amp;C28,Tracking!C:C,"5v4",Tracking!AB:AB,"Y")</f>
        <v/>
      </c>
      <c r="BH28" s="10">
        <f>COUNTIFS(Tracking!Z:Z,A28&amp;C28,Tracking!C:C,"4v5")</f>
        <v/>
      </c>
      <c r="BI28" s="10">
        <f>COUNTIFS(Tracking!AA:AA,A28&amp;C28,Tracking!C:C,"5v4",Tracking!Y:Y,"D")+COUNTIFS(Tracking!AA:AA,A28&amp;C28,Tracking!C:C,"5v4",Tracking!Y:Y,"F")</f>
        <v/>
      </c>
      <c r="BJ28" s="10">
        <f>COUNTIFS(Tracking!E:E,A28,Tracking!D:D,C28,Tracking!C:C,"5v4")</f>
        <v/>
      </c>
      <c r="BK28" s="10">
        <f>COUNTIFS(Tracking!G:G,A28,Tracking!D:D,C28,Tracking!C:C,"5v4")+COUNTIFS(Tracking!H:H,A28,Tracking!D:D,C28,Tracking!C:C,"5v4")+COUNTIFS(Tracking!I:I,A28,Tracking!D:D,C28,Tracking!C:C,"5v4")</f>
        <v/>
      </c>
      <c r="BL28" s="10">
        <f>COUNTIFS(Tracking!G:G,A28,Tracking!D:D,C28,Tracking!C:C,"5v4")</f>
        <v/>
      </c>
      <c r="BM28" s="10">
        <f>COUNTIFS(Tracking!E:E,A28,Tracking!D:D,C28,Tracking!C:C,"5v4",Tracking!M:M,"Y")</f>
        <v/>
      </c>
      <c r="BN28" s="10">
        <f>COUNTIFS(Tracking!G:G,A28,Tracking!D:D,C28,Tracking!C:C,"5v4",Tracking!M:M,"Y")</f>
        <v/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/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/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/>
      </c>
      <c r="BR28" s="12">
        <f>COUNTIFS(Tracking!E:E,A28,Tracking!D:D,C28,Tracking!C:C,"5v5",Tracking!F:F,"o")</f>
        <v/>
      </c>
      <c r="BS28" s="12">
        <f>COUNTIFS(Tracking!E:E,A28,Tracking!D:D,C28,Tracking!C:C,"5v5",Tracking!F:F,"r")</f>
        <v/>
      </c>
      <c r="BT28" s="12">
        <f>COUNTIFS(Tracking!E:E,A28,Tracking!D:D,C28,Tracking!C:C,"5v5",Tracking!F:F,"t")</f>
        <v/>
      </c>
      <c r="BU28" s="12">
        <f>COUNTIFS(Tracking!G:G,A28,Tracking!D:D,C28,Tracking!C:C,"5v5",Tracking!F:F,"o")</f>
        <v/>
      </c>
      <c r="BV28" s="12">
        <f>COUNTIFS(Tracking!E:E,A27,Tracking!D:D,C28,Tracking!C:C,"5v5",Tracking!F:F,"r")</f>
        <v/>
      </c>
      <c r="BW28" s="12">
        <f>COUNTIFS(Tracking!G:G,A28,Tracking!D:D,C28,Tracking!C:C,"5v5",Tracking!F:F,"T")</f>
        <v/>
      </c>
      <c r="BX28" s="12">
        <f>COUNTIFS(Tracking!E:E,A28,Tracking!D:D,C28,Tracking!C:C,"5v5",Tracking!Q:Q,"OZ")</f>
        <v/>
      </c>
      <c r="BY28" s="12">
        <f>COUNTIFS(Tracking!E:E,A28,Tracking!D:D,C28,Tracking!C:C,"5v5",Tracking!Q:Q,"nZ")</f>
        <v/>
      </c>
      <c r="BZ28" s="12">
        <f>COUNTIFS(Tracking!E:E,A28,Tracking!D:D,C28,Tracking!C:C,"5v5",Tracking!Q:Q,"dZ")</f>
        <v/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/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/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/>
      </c>
      <c r="CD28" s="12">
        <f>COUNTIFS(Tracking!E:E,A28,Tracking!D:D,C28,Tracking!C:C,"5v5",Tracking!R:R,"dz exit")</f>
        <v/>
      </c>
      <c r="CE28" s="12">
        <f>COUNTIFS(Tracking!E:E,A28,Tracking!D:D,C28,Tracking!C:C,"5v5",Tracking!R:R,"dz counter")</f>
        <v/>
      </c>
      <c r="CF28" s="12">
        <f>COUNTIFS(Tracking!E:E,A28,Tracking!D:D,C28,Tracking!C:C,"5v5",Tracking!R:R,"nz turnover")</f>
        <v/>
      </c>
      <c r="CG28" s="12">
        <f>COUNTIFS(Tracking!E:E,A28,Tracking!D:D,C28,Tracking!C:C,"5v5",Tracking!R:R,"nz regroup")</f>
        <v/>
      </c>
      <c r="CH28" s="12">
        <f>COUNTIFS(Tracking!E:E,A28,Tracking!D:D,C28,Tracking!C:C,"5v5",Tracking!R:R,"nz reload")</f>
        <v/>
      </c>
      <c r="CI28" s="12">
        <f>COUNTIFS(Tracking!E:E,A28,Tracking!D:D,C28,Tracking!C:C,"5v5",Tracking!R:R,"controlled breakout")</f>
        <v/>
      </c>
      <c r="CJ28" s="2">
        <f>CK28+CL28+CM28+CN28+CO28+CP28</f>
        <v/>
      </c>
      <c r="CK28" s="2">
        <f>(0.075*H28)+(0.07*L28)+(0.055*M28)+(0.055*N28)+(0.095*J28)+(0.09*O28)+(0.05*P28)+(0.05*R28)+(0.05*S28)+(0.05*AB28)</f>
        <v/>
      </c>
      <c r="CL28" s="2">
        <f>(0.045*AD28)-(0.045*AE28)+(0.055*AH28)+(0.035*AI28)</f>
        <v/>
      </c>
      <c r="CM28" s="2">
        <f>(0.015*(AY28-AZ28))+(0.035*BA28)-(0.015*BB28)-(0.025*BC28)+(0.015*(AY28-(BD28+BC28)))</f>
        <v/>
      </c>
      <c r="CN28" s="2">
        <f>(0.035*AN28)+(0.025*AS28)-(0.035*AT28)-(0.035*AV28)</f>
        <v/>
      </c>
      <c r="CO28" s="2">
        <f>(0.015*AJ28)+(0.045*AG28)</f>
        <v/>
      </c>
      <c r="CP28" s="2">
        <f>(0.055*BM28)+(0.055*BN28)+(0.035*BO28)+(0.035*BQ28)+(0.055*BH28)+(0.035*BI28)+(0.035*BG28)</f>
        <v/>
      </c>
      <c r="CQ28" s="2">
        <f>CK28+CL28+CM28+CN28+CO28</f>
        <v/>
      </c>
    </row>
    <row r="29">
      <c r="A29" s="8" t="n">
        <v>42</v>
      </c>
      <c r="B29" s="8" t="inlineStr">
        <is>
          <t>Josh Manson</t>
        </is>
      </c>
      <c r="C29" s="8" t="inlineStr">
        <is>
          <t>COL</t>
        </is>
      </c>
      <c r="D29" s="8" t="inlineStr">
        <is>
          <t>D</t>
        </is>
      </c>
      <c r="E29" s="8" t="n">
        <v>13.183333333333</v>
      </c>
      <c r="F29" s="8" t="inlineStr">
        <is>
          <t>2025-26</t>
        </is>
      </c>
      <c r="G29" s="19" t="inlineStr">
        <is>
          <t>3/6/2026 DAL vs. COL</t>
        </is>
      </c>
      <c r="H29" s="9">
        <f>COUNTIFS(Tracking!E:E,A29,Tracking!D:D,C29,Tracking!C:C,"5v5")</f>
        <v/>
      </c>
      <c r="I29" s="9">
        <f>COUNTIFS(Tracking!E:E,A29,Tracking!D:D,C29,Tracking!N:N,"y",Tracking!C:C,"5v5")</f>
        <v/>
      </c>
      <c r="J29" s="9">
        <f>COUNTIFS(Tracking!E:E,A29,Tracking!D:D,C29,Tracking!M:M,"y",Tracking!C:C,"5v5")</f>
        <v/>
      </c>
      <c r="K29" s="9">
        <f>L29+M29+N29</f>
        <v/>
      </c>
      <c r="L29" s="9">
        <f>COUNTIFS(Tracking!G:G,A29,Tracking!D:D,C29,Tracking!C:C,"5v5")</f>
        <v/>
      </c>
      <c r="M29" s="9">
        <f>COUNTIFS(Tracking!H:H,A29,Tracking!D:D,C29,Tracking!C:C,"5v5")</f>
        <v/>
      </c>
      <c r="N29" s="9">
        <f>COUNTIFS(Tracking!I:I,A29,Tracking!D:D,C29,Tracking!C:C,"5v5")</f>
        <v/>
      </c>
      <c r="O29" s="9">
        <f>COUNTIFS(Tracking!G:G,A29,Tracking!D:D,C29,Tracking!C:C,"5v5",Tracking!M:M,"y")</f>
        <v/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/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/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/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/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/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/>
      </c>
      <c r="V29" s="9">
        <f>COUNTIFS(Tracking!E:E,A29,Tracking!D:D,C29,Tracking!C:C,"5v5",Tracking!P:P,"r")</f>
        <v/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/>
      </c>
      <c r="X29" s="9">
        <f>COUNTIFS(Tracking!E:E,A29,Tracking!D:D,C29,Tracking!C:C,"5v5",Tracking!P:P,"f")</f>
        <v/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/>
      </c>
      <c r="Z29" s="9">
        <f>COUNTIFS(Tracking!E:E,A29,Tracking!D:D,C29,Tracking!C:C,"5v5",Tracking!P:P,"c")</f>
        <v/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/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/>
      </c>
      <c r="AC29" s="11">
        <f>COUNTIFS(Tracking!Z:Z,A29&amp;C29,Tracking!C:C,"5v5")-AE29</f>
        <v/>
      </c>
      <c r="AD29" s="11">
        <f>COUNTIFS(Tracking!Z:Z,A29&amp;C29,Tracking!C:C,"5v5",Tracking!Y:Y,"C")</f>
        <v/>
      </c>
      <c r="AE29" s="11">
        <f>COUNTIFS(Tracking!Z:Z,A29&amp;C29,Tracking!C:C,"5v5",Tracking!Y:Y,"F")</f>
        <v/>
      </c>
      <c r="AF29" s="11">
        <f>COUNTIFS(Tracking!Z:Z,A29&amp;C29,Tracking!C:C,"5v5",Tracking!Y:Y,"C",Tracking!AB:AB,"Y")</f>
        <v/>
      </c>
      <c r="AG29" s="11">
        <f>COUNTIFS(Tracking!AD:AD,A29&amp;C29,Tracking!C:C,"5v5")</f>
        <v/>
      </c>
      <c r="AH29" s="11">
        <f>COUNTIFS(Tracking!Z:Z,A29&amp;C29,Tracking!C:C,"5v5",Tracking!Y:Y,"C",Tracking!AE:AE,"Y")</f>
        <v/>
      </c>
      <c r="AI29" s="11">
        <f>COUNTIFS(Tracking!Z:Z,A29&amp;C29,Tracking!C:C,"5v5",Tracking!Y:Y,"D",Tracking!AE:AE,"Y")</f>
        <v/>
      </c>
      <c r="AJ29" s="11">
        <f>COUNTIFS(Tracking!AH:AH,A29&amp;C29)</f>
        <v/>
      </c>
      <c r="AK29" s="5">
        <f>COUNTIFS(Tracking!AI:AI,A29&amp;C29,Tracking!C:C,"5v5")+AL29</f>
        <v/>
      </c>
      <c r="AL29" s="5">
        <f>COUNTIFS(Tracking!AF:AF,A29&amp;C29,Tracking!C:C,"5v5")-AT29</f>
        <v/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/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/>
      </c>
      <c r="AO29" s="5">
        <f>COUNTIFS(Tracking!AF:AF,A29&amp;C29,Tracking!C:C,"5v5",Tracking!AG:AG,"CEX")+COUNTIFS(Tracking!AI:AI,A29&amp;C29,Tracking!C:C,"5v5",Tracking!AJ:AJ,"CEX")</f>
        <v/>
      </c>
      <c r="AP29" s="5">
        <f>COUNTIFS(Tracking!AF:AF,A29&amp;C29,Tracking!C:C,"5v5",Tracking!AG:AG,"PEX")</f>
        <v/>
      </c>
      <c r="AQ29" s="5">
        <f>COUNTIFS(Tracking!AF:AF,A29&amp;C29,Tracking!C:C,"5v5",Tracking!AG:AG,"CLE")+COUNTIFS(Tracking!AI:AI,A29&amp;C29,Tracking!C:C,"5v5",Tracking!AJ:AJ,"CLE")</f>
        <v/>
      </c>
      <c r="AR29" s="5">
        <f>COUNTIFS(Tracking!AF:AF,A29&amp;C29,Tracking!C:C,"5v5",Tracking!AG:AG,"MEX")</f>
        <v/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/>
      </c>
      <c r="AT29" s="5">
        <f>COUNTIFS(Tracking!AF:AF,A29&amp;C29,Tracking!C:C,"5v5",Tracking!AG:AG,"BOT")+COUNTIFS(Tracking!AF:AF,A29&amp;C29,Tracking!C:C,"5v5",Tracking!AG:AG,"FEX")</f>
        <v/>
      </c>
      <c r="AU29" s="5">
        <f>COUNTIFS(Tracking!AF:AF,A29&amp;C29,Tracking!C:C,"5v5",Tracking!AG:AG,"EXC")</f>
        <v/>
      </c>
      <c r="AV29" s="5">
        <f>COUNTIFS(Tracking!AF:AF,A29&amp;C29,Tracking!C:C,"5v5",Tracking!AG:AG,"FEX")+COUNTIFS(Tracking!AI:AI,A29&amp;C29,Tracking!C:C,"5v5",Tracking!AJ:AJ,"FEX")</f>
        <v/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/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/>
      </c>
      <c r="AY29" s="1">
        <f>COUNTIFS(Tracking!AA:AA,A29&amp;C29,Tracking!C:C,"5v5")</f>
        <v/>
      </c>
      <c r="AZ29" s="1">
        <f>COUNTIFS(Tracking!AA:AA,A29&amp;C29,Tracking!C:C,"5v5",Tracking!Y:Y,"C")</f>
        <v/>
      </c>
      <c r="BA29" s="1">
        <f>COUNTIFS(Tracking!AA:AA,A29&amp;C29,Tracking!C:C,"5v5",Tracking!Y:Y,"F")</f>
        <v/>
      </c>
      <c r="BB29" s="1">
        <f>COUNTIFS(Tracking!AA:AA,A29&amp;C29,Tracking!C:C,"5v5",Tracking!AB:AB,"Y")</f>
        <v/>
      </c>
      <c r="BC29" s="1">
        <f>COUNTIFS(Tracking!AA:AA,A29&amp;C29,Tracking!C:C,"5v5",Tracking!Y:Y,"C",Tracking!AE:AE,"Y")</f>
        <v/>
      </c>
      <c r="BD29" s="1">
        <f>COUNTIFS(Tracking!AA:AA,A29&amp;C29,Tracking!C:C,"5v5",Tracking!Y:Y,"D",Tracking!AE:AE,"Y")</f>
        <v/>
      </c>
      <c r="BE29" s="10">
        <f>COUNTIFS(Tracking!Z:Z,A29&amp;C29,Tracking!C:C,"5v4")</f>
        <v/>
      </c>
      <c r="BF29" s="10">
        <f>COUNTIFS(Tracking!Z:Z,A29&amp;C29,Tracking!C:C,"5v4",Tracking!Y:Y,"C")</f>
        <v/>
      </c>
      <c r="BG29" s="10">
        <f>COUNTIFS(Tracking!Z:Z,A29&amp;C29,Tracking!C:C,"5v4",Tracking!AB:AB,"Y")</f>
        <v/>
      </c>
      <c r="BH29" s="10">
        <f>COUNTIFS(Tracking!Z:Z,A29&amp;C29,Tracking!C:C,"4v5")</f>
        <v/>
      </c>
      <c r="BI29" s="10">
        <f>COUNTIFS(Tracking!AA:AA,A29&amp;C29,Tracking!C:C,"5v4",Tracking!Y:Y,"D")+COUNTIFS(Tracking!AA:AA,A29&amp;C29,Tracking!C:C,"5v4",Tracking!Y:Y,"F")</f>
        <v/>
      </c>
      <c r="BJ29" s="10">
        <f>COUNTIFS(Tracking!E:E,A29,Tracking!D:D,C29,Tracking!C:C,"5v4")</f>
        <v/>
      </c>
      <c r="BK29" s="10">
        <f>COUNTIFS(Tracking!G:G,A29,Tracking!D:D,C29,Tracking!C:C,"5v4")+COUNTIFS(Tracking!H:H,A29,Tracking!D:D,C29,Tracking!C:C,"5v4")+COUNTIFS(Tracking!I:I,A29,Tracking!D:D,C29,Tracking!C:C,"5v4")</f>
        <v/>
      </c>
      <c r="BL29" s="10">
        <f>COUNTIFS(Tracking!G:G,A29,Tracking!D:D,C29,Tracking!C:C,"5v4")</f>
        <v/>
      </c>
      <c r="BM29" s="10">
        <f>COUNTIFS(Tracking!E:E,A29,Tracking!D:D,C29,Tracking!C:C,"5v4",Tracking!M:M,"Y")</f>
        <v/>
      </c>
      <c r="BN29" s="10">
        <f>COUNTIFS(Tracking!G:G,A29,Tracking!D:D,C29,Tracking!C:C,"5v4",Tracking!M:M,"Y")</f>
        <v/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/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/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/>
      </c>
      <c r="BR29" s="12">
        <f>COUNTIFS(Tracking!E:E,A29,Tracking!D:D,C29,Tracking!C:C,"5v5",Tracking!F:F,"o")</f>
        <v/>
      </c>
      <c r="BS29" s="12">
        <f>COUNTIFS(Tracking!E:E,A29,Tracking!D:D,C29,Tracking!C:C,"5v5",Tracking!F:F,"r")</f>
        <v/>
      </c>
      <c r="BT29" s="12">
        <f>COUNTIFS(Tracking!E:E,A29,Tracking!D:D,C29,Tracking!C:C,"5v5",Tracking!F:F,"t")</f>
        <v/>
      </c>
      <c r="BU29" s="12">
        <f>COUNTIFS(Tracking!G:G,A29,Tracking!D:D,C29,Tracking!C:C,"5v5",Tracking!F:F,"o")</f>
        <v/>
      </c>
      <c r="BV29" s="12">
        <f>COUNTIFS(Tracking!E:E,A28,Tracking!D:D,C29,Tracking!C:C,"5v5",Tracking!F:F,"r")</f>
        <v/>
      </c>
      <c r="BW29" s="12">
        <f>COUNTIFS(Tracking!G:G,A29,Tracking!D:D,C29,Tracking!C:C,"5v5",Tracking!F:F,"T")</f>
        <v/>
      </c>
      <c r="BX29" s="12">
        <f>COUNTIFS(Tracking!E:E,A29,Tracking!D:D,C29,Tracking!C:C,"5v5",Tracking!Q:Q,"OZ")</f>
        <v/>
      </c>
      <c r="BY29" s="12">
        <f>COUNTIFS(Tracking!E:E,A29,Tracking!D:D,C29,Tracking!C:C,"5v5",Tracking!Q:Q,"nZ")</f>
        <v/>
      </c>
      <c r="BZ29" s="12">
        <f>COUNTIFS(Tracking!E:E,A29,Tracking!D:D,C29,Tracking!C:C,"5v5",Tracking!Q:Q,"dZ")</f>
        <v/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/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/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/>
      </c>
      <c r="CD29" s="12">
        <f>COUNTIFS(Tracking!E:E,A29,Tracking!D:D,C29,Tracking!C:C,"5v5",Tracking!R:R,"dz exit")</f>
        <v/>
      </c>
      <c r="CE29" s="12">
        <f>COUNTIFS(Tracking!E:E,A29,Tracking!D:D,C29,Tracking!C:C,"5v5",Tracking!R:R,"dz counter")</f>
        <v/>
      </c>
      <c r="CF29" s="12">
        <f>COUNTIFS(Tracking!E:E,A29,Tracking!D:D,C29,Tracking!C:C,"5v5",Tracking!R:R,"nz turnover")</f>
        <v/>
      </c>
      <c r="CG29" s="12">
        <f>COUNTIFS(Tracking!E:E,A29,Tracking!D:D,C29,Tracking!C:C,"5v5",Tracking!R:R,"nz regroup")</f>
        <v/>
      </c>
      <c r="CH29" s="12">
        <f>COUNTIFS(Tracking!E:E,A29,Tracking!D:D,C29,Tracking!C:C,"5v5",Tracking!R:R,"nz reload")</f>
        <v/>
      </c>
      <c r="CI29" s="12">
        <f>COUNTIFS(Tracking!E:E,A29,Tracking!D:D,C29,Tracking!C:C,"5v5",Tracking!R:R,"controlled breakout")</f>
        <v/>
      </c>
      <c r="CJ29" s="2">
        <f>CK29+CL29+CM29+CN29+CO29+CP29</f>
        <v/>
      </c>
      <c r="CK29" s="2">
        <f>(0.075*H29)+(0.07*L29)+(0.055*M29)+(0.055*N29)+(0.095*J29)+(0.09*O29)+(0.05*P29)+(0.05*R29)+(0.05*S29)+(0.05*AB29)</f>
        <v/>
      </c>
      <c r="CL29" s="2">
        <f>(0.045*AD29)-(0.045*AE29)+(0.055*AH29)+(0.035*AI29)</f>
        <v/>
      </c>
      <c r="CM29" s="2">
        <f>(0.015*(AY29-AZ29))+(0.035*BA29)-(0.015*BB29)-(0.025*BC29)+(0.015*(AY29-(BD29+BC29)))</f>
        <v/>
      </c>
      <c r="CN29" s="2">
        <f>(0.035*AN29)+(0.025*AS29)-(0.035*AT29)-(0.035*AV29)</f>
        <v/>
      </c>
      <c r="CO29" s="2">
        <f>(0.015*AJ29)+(0.045*AG29)</f>
        <v/>
      </c>
      <c r="CP29" s="2">
        <f>(0.055*BM29)+(0.055*BN29)+(0.035*BO29)+(0.035*BQ29)+(0.055*BH29)+(0.035*BI29)+(0.035*BG29)</f>
        <v/>
      </c>
      <c r="CQ29" s="2">
        <f>CK29+CL29+CM29+CN29+CO29</f>
        <v/>
      </c>
    </row>
    <row r="30">
      <c r="A30" s="8" t="n">
        <v>88</v>
      </c>
      <c r="B30" s="8" t="inlineStr">
        <is>
          <t>Martin Necas</t>
        </is>
      </c>
      <c r="C30" s="8" t="inlineStr">
        <is>
          <t>COL</t>
        </is>
      </c>
      <c r="D30" s="8" t="inlineStr">
        <is>
          <t>C</t>
        </is>
      </c>
      <c r="E30" s="8" t="n">
        <v>15.95</v>
      </c>
      <c r="F30" s="8" t="inlineStr">
        <is>
          <t>2025-26</t>
        </is>
      </c>
      <c r="G30" s="19" t="inlineStr">
        <is>
          <t>3/6/2026 DAL vs. COL</t>
        </is>
      </c>
      <c r="H30" s="9">
        <f>COUNTIFS(Tracking!E:E,A30,Tracking!D:D,C30,Tracking!C:C,"5v5")</f>
        <v/>
      </c>
      <c r="I30" s="9">
        <f>COUNTIFS(Tracking!E:E,A30,Tracking!D:D,C30,Tracking!N:N,"y",Tracking!C:C,"5v5")</f>
        <v/>
      </c>
      <c r="J30" s="9">
        <f>COUNTIFS(Tracking!E:E,A30,Tracking!D:D,C30,Tracking!M:M,"y",Tracking!C:C,"5v5")</f>
        <v/>
      </c>
      <c r="K30" s="9">
        <f>L30+M30+N30</f>
        <v/>
      </c>
      <c r="L30" s="9">
        <f>COUNTIFS(Tracking!G:G,A30,Tracking!D:D,C30,Tracking!C:C,"5v5")</f>
        <v/>
      </c>
      <c r="M30" s="9">
        <f>COUNTIFS(Tracking!H:H,A30,Tracking!D:D,C30,Tracking!C:C,"5v5")</f>
        <v/>
      </c>
      <c r="N30" s="9">
        <f>COUNTIFS(Tracking!I:I,A30,Tracking!D:D,C30,Tracking!C:C,"5v5")</f>
        <v/>
      </c>
      <c r="O30" s="9">
        <f>COUNTIFS(Tracking!G:G,A30,Tracking!D:D,C30,Tracking!C:C,"5v5",Tracking!M:M,"y")</f>
        <v/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/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/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/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/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/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/>
      </c>
      <c r="V30" s="9">
        <f>COUNTIFS(Tracking!E:E,A30,Tracking!D:D,C30,Tracking!C:C,"5v5",Tracking!P:P,"r")</f>
        <v/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/>
      </c>
      <c r="X30" s="9">
        <f>COUNTIFS(Tracking!E:E,A30,Tracking!D:D,C30,Tracking!C:C,"5v5",Tracking!P:P,"f")</f>
        <v/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/>
      </c>
      <c r="Z30" s="9">
        <f>COUNTIFS(Tracking!E:E,A30,Tracking!D:D,C30,Tracking!C:C,"5v5",Tracking!P:P,"c")</f>
        <v/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/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/>
      </c>
      <c r="AC30" s="11">
        <f>COUNTIFS(Tracking!Z:Z,A30&amp;C30,Tracking!C:C,"5v5")-AE30</f>
        <v/>
      </c>
      <c r="AD30" s="11">
        <f>COUNTIFS(Tracking!Z:Z,A30&amp;C30,Tracking!C:C,"5v5",Tracking!Y:Y,"C")</f>
        <v/>
      </c>
      <c r="AE30" s="11">
        <f>COUNTIFS(Tracking!Z:Z,A30&amp;C30,Tracking!C:C,"5v5",Tracking!Y:Y,"F")</f>
        <v/>
      </c>
      <c r="AF30" s="11">
        <f>COUNTIFS(Tracking!Z:Z,A30&amp;C30,Tracking!C:C,"5v5",Tracking!Y:Y,"C",Tracking!AB:AB,"Y")</f>
        <v/>
      </c>
      <c r="AG30" s="11">
        <f>COUNTIFS(Tracking!AD:AD,A30&amp;C30,Tracking!C:C,"5v5")</f>
        <v/>
      </c>
      <c r="AH30" s="11">
        <f>COUNTIFS(Tracking!Z:Z,A30&amp;C30,Tracking!C:C,"5v5",Tracking!Y:Y,"C",Tracking!AE:AE,"Y")</f>
        <v/>
      </c>
      <c r="AI30" s="11">
        <f>COUNTIFS(Tracking!Z:Z,A30&amp;C30,Tracking!C:C,"5v5",Tracking!Y:Y,"D",Tracking!AE:AE,"Y")</f>
        <v/>
      </c>
      <c r="AJ30" s="11">
        <f>COUNTIFS(Tracking!AH:AH,A30&amp;C30)</f>
        <v/>
      </c>
      <c r="AK30" s="5">
        <f>COUNTIFS(Tracking!AI:AI,A30&amp;C30,Tracking!C:C,"5v5")+AL30</f>
        <v/>
      </c>
      <c r="AL30" s="5">
        <f>COUNTIFS(Tracking!AF:AF,A30&amp;C30,Tracking!C:C,"5v5")-AT30</f>
        <v/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/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/>
      </c>
      <c r="AO30" s="5">
        <f>COUNTIFS(Tracking!AF:AF,A30&amp;C30,Tracking!C:C,"5v5",Tracking!AG:AG,"CEX")+COUNTIFS(Tracking!AI:AI,A30&amp;C30,Tracking!C:C,"5v5",Tracking!AJ:AJ,"CEX")</f>
        <v/>
      </c>
      <c r="AP30" s="5">
        <f>COUNTIFS(Tracking!AF:AF,A30&amp;C30,Tracking!C:C,"5v5",Tracking!AG:AG,"PEX")</f>
        <v/>
      </c>
      <c r="AQ30" s="5">
        <f>COUNTIFS(Tracking!AF:AF,A30&amp;C30,Tracking!C:C,"5v5",Tracking!AG:AG,"CLE")+COUNTIFS(Tracking!AI:AI,A30&amp;C30,Tracking!C:C,"5v5",Tracking!AJ:AJ,"CLE")</f>
        <v/>
      </c>
      <c r="AR30" s="5">
        <f>COUNTIFS(Tracking!AF:AF,A30&amp;C30,Tracking!C:C,"5v5",Tracking!AG:AG,"MEX")</f>
        <v/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/>
      </c>
      <c r="AT30" s="5">
        <f>COUNTIFS(Tracking!AF:AF,A30&amp;C30,Tracking!C:C,"5v5",Tracking!AG:AG,"BOT")+COUNTIFS(Tracking!AF:AF,A30&amp;C30,Tracking!C:C,"5v5",Tracking!AG:AG,"FEX")</f>
        <v/>
      </c>
      <c r="AU30" s="5">
        <f>COUNTIFS(Tracking!AF:AF,A30&amp;C30,Tracking!C:C,"5v5",Tracking!AG:AG,"EXC")</f>
        <v/>
      </c>
      <c r="AV30" s="5">
        <f>COUNTIFS(Tracking!AF:AF,A30&amp;C30,Tracking!C:C,"5v5",Tracking!AG:AG,"FEX")+COUNTIFS(Tracking!AI:AI,A30&amp;C30,Tracking!C:C,"5v5",Tracking!AJ:AJ,"FEX")</f>
        <v/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/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/>
      </c>
      <c r="AY30" s="1">
        <f>COUNTIFS(Tracking!AA:AA,A30&amp;C30,Tracking!C:C,"5v5")</f>
        <v/>
      </c>
      <c r="AZ30" s="1">
        <f>COUNTIFS(Tracking!AA:AA,A30&amp;C30,Tracking!C:C,"5v5",Tracking!Y:Y,"C")</f>
        <v/>
      </c>
      <c r="BA30" s="1">
        <f>COUNTIFS(Tracking!AA:AA,A30&amp;C30,Tracking!C:C,"5v5",Tracking!Y:Y,"F")</f>
        <v/>
      </c>
      <c r="BB30" s="1">
        <f>COUNTIFS(Tracking!AA:AA,A30&amp;C30,Tracking!C:C,"5v5",Tracking!AB:AB,"Y")</f>
        <v/>
      </c>
      <c r="BC30" s="1">
        <f>COUNTIFS(Tracking!AA:AA,A30&amp;C30,Tracking!C:C,"5v5",Tracking!Y:Y,"C",Tracking!AE:AE,"Y")</f>
        <v/>
      </c>
      <c r="BD30" s="1">
        <f>COUNTIFS(Tracking!AA:AA,A30&amp;C30,Tracking!C:C,"5v5",Tracking!Y:Y,"D",Tracking!AE:AE,"Y")</f>
        <v/>
      </c>
      <c r="BE30" s="10">
        <f>COUNTIFS(Tracking!Z:Z,A30&amp;C30,Tracking!C:C,"5v4")</f>
        <v/>
      </c>
      <c r="BF30" s="10">
        <f>COUNTIFS(Tracking!Z:Z,A30&amp;C30,Tracking!C:C,"5v4",Tracking!Y:Y,"C")</f>
        <v/>
      </c>
      <c r="BG30" s="10">
        <f>COUNTIFS(Tracking!Z:Z,A30&amp;C30,Tracking!C:C,"5v4",Tracking!AB:AB,"Y")</f>
        <v/>
      </c>
      <c r="BH30" s="10">
        <f>COUNTIFS(Tracking!Z:Z,A30&amp;C30,Tracking!C:C,"4v5")</f>
        <v/>
      </c>
      <c r="BI30" s="10">
        <f>COUNTIFS(Tracking!AA:AA,A30&amp;C30,Tracking!C:C,"5v4",Tracking!Y:Y,"D")+COUNTIFS(Tracking!AA:AA,A30&amp;C30,Tracking!C:C,"5v4",Tracking!Y:Y,"F")</f>
        <v/>
      </c>
      <c r="BJ30" s="10">
        <f>COUNTIFS(Tracking!E:E,A30,Tracking!D:D,C30,Tracking!C:C,"5v4")</f>
        <v/>
      </c>
      <c r="BK30" s="10">
        <f>COUNTIFS(Tracking!G:G,A30,Tracking!D:D,C30,Tracking!C:C,"5v4")+COUNTIFS(Tracking!H:H,A30,Tracking!D:D,C30,Tracking!C:C,"5v4")+COUNTIFS(Tracking!I:I,A30,Tracking!D:D,C30,Tracking!C:C,"5v4")</f>
        <v/>
      </c>
      <c r="BL30" s="10">
        <f>COUNTIFS(Tracking!G:G,A30,Tracking!D:D,C30,Tracking!C:C,"5v4")</f>
        <v/>
      </c>
      <c r="BM30" s="10">
        <f>COUNTIFS(Tracking!E:E,A30,Tracking!D:D,C30,Tracking!C:C,"5v4",Tracking!M:M,"Y")</f>
        <v/>
      </c>
      <c r="BN30" s="10">
        <f>COUNTIFS(Tracking!G:G,A30,Tracking!D:D,C30,Tracking!C:C,"5v4",Tracking!M:M,"Y")</f>
        <v/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/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/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/>
      </c>
      <c r="BR30" s="12">
        <f>COUNTIFS(Tracking!E:E,A30,Tracking!D:D,C30,Tracking!C:C,"5v5",Tracking!F:F,"o")</f>
        <v/>
      </c>
      <c r="BS30" s="12">
        <f>COUNTIFS(Tracking!E:E,A30,Tracking!D:D,C30,Tracking!C:C,"5v5",Tracking!F:F,"r")</f>
        <v/>
      </c>
      <c r="BT30" s="12">
        <f>COUNTIFS(Tracking!E:E,A30,Tracking!D:D,C30,Tracking!C:C,"5v5",Tracking!F:F,"t")</f>
        <v/>
      </c>
      <c r="BU30" s="12">
        <f>COUNTIFS(Tracking!G:G,A30,Tracking!D:D,C30,Tracking!C:C,"5v5",Tracking!F:F,"o")</f>
        <v/>
      </c>
      <c r="BV30" s="12">
        <f>COUNTIFS(Tracking!E:E,A29,Tracking!D:D,C30,Tracking!C:C,"5v5",Tracking!F:F,"r")</f>
        <v/>
      </c>
      <c r="BW30" s="12">
        <f>COUNTIFS(Tracking!G:G,A30,Tracking!D:D,C30,Tracking!C:C,"5v5",Tracking!F:F,"T")</f>
        <v/>
      </c>
      <c r="BX30" s="12">
        <f>COUNTIFS(Tracking!E:E,A30,Tracking!D:D,C30,Tracking!C:C,"5v5",Tracking!Q:Q,"OZ")</f>
        <v/>
      </c>
      <c r="BY30" s="12">
        <f>COUNTIFS(Tracking!E:E,A30,Tracking!D:D,C30,Tracking!C:C,"5v5",Tracking!Q:Q,"nZ")</f>
        <v/>
      </c>
      <c r="BZ30" s="12">
        <f>COUNTIFS(Tracking!E:E,A30,Tracking!D:D,C30,Tracking!C:C,"5v5",Tracking!Q:Q,"dZ")</f>
        <v/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/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/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/>
      </c>
      <c r="CD30" s="12">
        <f>COUNTIFS(Tracking!E:E,A30,Tracking!D:D,C30,Tracking!C:C,"5v5",Tracking!R:R,"dz exit")</f>
        <v/>
      </c>
      <c r="CE30" s="12">
        <f>COUNTIFS(Tracking!E:E,A30,Tracking!D:D,C30,Tracking!C:C,"5v5",Tracking!R:R,"dz counter")</f>
        <v/>
      </c>
      <c r="CF30" s="12">
        <f>COUNTIFS(Tracking!E:E,A30,Tracking!D:D,C30,Tracking!C:C,"5v5",Tracking!R:R,"nz turnover")</f>
        <v/>
      </c>
      <c r="CG30" s="12">
        <f>COUNTIFS(Tracking!E:E,A30,Tracking!D:D,C30,Tracking!C:C,"5v5",Tracking!R:R,"nz regroup")</f>
        <v/>
      </c>
      <c r="CH30" s="12">
        <f>COUNTIFS(Tracking!E:E,A30,Tracking!D:D,C30,Tracking!C:C,"5v5",Tracking!R:R,"nz reload")</f>
        <v/>
      </c>
      <c r="CI30" s="12">
        <f>COUNTIFS(Tracking!E:E,A30,Tracking!D:D,C30,Tracking!C:C,"5v5",Tracking!R:R,"controlled breakout")</f>
        <v/>
      </c>
      <c r="CJ30" s="2">
        <f>CK30+CL30+CM30+CN30+CO30+CP30</f>
        <v/>
      </c>
      <c r="CK30" s="2">
        <f>(0.075*H30)+(0.07*L30)+(0.055*M30)+(0.055*N30)+(0.095*J30)+(0.09*O30)+(0.05*P30)+(0.05*R30)+(0.05*S30)+(0.05*AB30)</f>
        <v/>
      </c>
      <c r="CL30" s="2">
        <f>(0.045*AD30)-(0.045*AE30)+(0.055*AH30)+(0.035*AI30)</f>
        <v/>
      </c>
      <c r="CM30" s="2">
        <f>(0.015*(AY30-AZ30))+(0.035*BA30)-(0.015*BB30)-(0.025*BC30)+(0.015*(AY30-(BD30+BC30)))</f>
        <v/>
      </c>
      <c r="CN30" s="2">
        <f>(0.035*AN30)+(0.025*AS30)-(0.035*AT30)-(0.035*AV30)</f>
        <v/>
      </c>
      <c r="CO30" s="2">
        <f>(0.015*AJ30)+(0.045*AG30)</f>
        <v/>
      </c>
      <c r="CP30" s="2">
        <f>(0.055*BM30)+(0.055*BN30)+(0.035*BO30)+(0.035*BQ30)+(0.055*BH30)+(0.035*BI30)+(0.035*BG30)</f>
        <v/>
      </c>
      <c r="CQ30" s="2">
        <f>CK30+CL30+CM30+CN30+CO30</f>
        <v/>
      </c>
    </row>
    <row r="31">
      <c r="A31" s="8" t="n">
        <v>29</v>
      </c>
      <c r="B31" s="8" t="inlineStr">
        <is>
          <t>Nathan MacKinnon</t>
        </is>
      </c>
      <c r="C31" s="8" t="inlineStr">
        <is>
          <t>COL</t>
        </is>
      </c>
      <c r="D31" s="8" t="inlineStr">
        <is>
          <t>C</t>
        </is>
      </c>
      <c r="E31" s="8" t="n">
        <v>15.366666666667</v>
      </c>
      <c r="F31" s="8" t="inlineStr">
        <is>
          <t>2025-26</t>
        </is>
      </c>
      <c r="G31" s="19" t="inlineStr">
        <is>
          <t>3/6/2026 DAL vs. COL</t>
        </is>
      </c>
      <c r="H31" s="9">
        <f>COUNTIFS(Tracking!E:E,A31,Tracking!D:D,C31,Tracking!C:C,"5v5")</f>
        <v/>
      </c>
      <c r="I31" s="9">
        <f>COUNTIFS(Tracking!E:E,A31,Tracking!D:D,C31,Tracking!N:N,"y",Tracking!C:C,"5v5")</f>
        <v/>
      </c>
      <c r="J31" s="9">
        <f>COUNTIFS(Tracking!E:E,A31,Tracking!D:D,C31,Tracking!M:M,"y",Tracking!C:C,"5v5")</f>
        <v/>
      </c>
      <c r="K31" s="9">
        <f>L31+M31+N31</f>
        <v/>
      </c>
      <c r="L31" s="9">
        <f>COUNTIFS(Tracking!G:G,A31,Tracking!D:D,C31,Tracking!C:C,"5v5")</f>
        <v/>
      </c>
      <c r="M31" s="9">
        <f>COUNTIFS(Tracking!H:H,A31,Tracking!D:D,C31,Tracking!C:C,"5v5")</f>
        <v/>
      </c>
      <c r="N31" s="9">
        <f>COUNTIFS(Tracking!I:I,A31,Tracking!D:D,C31,Tracking!C:C,"5v5")</f>
        <v/>
      </c>
      <c r="O31" s="9">
        <f>COUNTIFS(Tracking!G:G,A31,Tracking!D:D,C31,Tracking!C:C,"5v5",Tracking!M:M,"y")</f>
        <v/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/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/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/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/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/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/>
      </c>
      <c r="V31" s="9">
        <f>COUNTIFS(Tracking!E:E,A31,Tracking!D:D,C31,Tracking!C:C,"5v5",Tracking!P:P,"r")</f>
        <v/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/>
      </c>
      <c r="X31" s="9">
        <f>COUNTIFS(Tracking!E:E,A31,Tracking!D:D,C31,Tracking!C:C,"5v5",Tracking!P:P,"f")</f>
        <v/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/>
      </c>
      <c r="Z31" s="9">
        <f>COUNTIFS(Tracking!E:E,A31,Tracking!D:D,C31,Tracking!C:C,"5v5",Tracking!P:P,"c")</f>
        <v/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/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/>
      </c>
      <c r="AC31" s="11">
        <f>COUNTIFS(Tracking!Z:Z,A31&amp;C31,Tracking!C:C,"5v5")-AE31</f>
        <v/>
      </c>
      <c r="AD31" s="11">
        <f>COUNTIFS(Tracking!Z:Z,A31&amp;C31,Tracking!C:C,"5v5",Tracking!Y:Y,"C")</f>
        <v/>
      </c>
      <c r="AE31" s="11">
        <f>COUNTIFS(Tracking!Z:Z,A31&amp;C31,Tracking!C:C,"5v5",Tracking!Y:Y,"F")</f>
        <v/>
      </c>
      <c r="AF31" s="11">
        <f>COUNTIFS(Tracking!Z:Z,A31&amp;C31,Tracking!C:C,"5v5",Tracking!Y:Y,"C",Tracking!AB:AB,"Y")</f>
        <v/>
      </c>
      <c r="AG31" s="11">
        <f>COUNTIFS(Tracking!AD:AD,A31&amp;C31,Tracking!C:C,"5v5")</f>
        <v/>
      </c>
      <c r="AH31" s="11">
        <f>COUNTIFS(Tracking!Z:Z,A31&amp;C31,Tracking!C:C,"5v5",Tracking!Y:Y,"C",Tracking!AE:AE,"Y")</f>
        <v/>
      </c>
      <c r="AI31" s="11">
        <f>COUNTIFS(Tracking!Z:Z,A31&amp;C31,Tracking!C:C,"5v5",Tracking!Y:Y,"D",Tracking!AE:AE,"Y")</f>
        <v/>
      </c>
      <c r="AJ31" s="11">
        <f>COUNTIFS(Tracking!AH:AH,A31&amp;C31)</f>
        <v/>
      </c>
      <c r="AK31" s="5">
        <f>COUNTIFS(Tracking!AI:AI,A31&amp;C31,Tracking!C:C,"5v5")+AL31</f>
        <v/>
      </c>
      <c r="AL31" s="5">
        <f>COUNTIFS(Tracking!AF:AF,A31&amp;C31,Tracking!C:C,"5v5")-AT31</f>
        <v/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/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/>
      </c>
      <c r="AO31" s="5">
        <f>COUNTIFS(Tracking!AF:AF,A31&amp;C31,Tracking!C:C,"5v5",Tracking!AG:AG,"CEX")+COUNTIFS(Tracking!AI:AI,A31&amp;C31,Tracking!C:C,"5v5",Tracking!AJ:AJ,"CEX")</f>
        <v/>
      </c>
      <c r="AP31" s="5">
        <f>COUNTIFS(Tracking!AF:AF,A31&amp;C31,Tracking!C:C,"5v5",Tracking!AG:AG,"PEX")</f>
        <v/>
      </c>
      <c r="AQ31" s="5">
        <f>COUNTIFS(Tracking!AF:AF,A31&amp;C31,Tracking!C:C,"5v5",Tracking!AG:AG,"CLE")+COUNTIFS(Tracking!AI:AI,A31&amp;C31,Tracking!C:C,"5v5",Tracking!AJ:AJ,"CLE")</f>
        <v/>
      </c>
      <c r="AR31" s="5">
        <f>COUNTIFS(Tracking!AF:AF,A31&amp;C31,Tracking!C:C,"5v5",Tracking!AG:AG,"MEX")</f>
        <v/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/>
      </c>
      <c r="AT31" s="5">
        <f>COUNTIFS(Tracking!AF:AF,A31&amp;C31,Tracking!C:C,"5v5",Tracking!AG:AG,"BOT")+COUNTIFS(Tracking!AF:AF,A31&amp;C31,Tracking!C:C,"5v5",Tracking!AG:AG,"FEX")</f>
        <v/>
      </c>
      <c r="AU31" s="5">
        <f>COUNTIFS(Tracking!AF:AF,A31&amp;C31,Tracking!C:C,"5v5",Tracking!AG:AG,"EXC")</f>
        <v/>
      </c>
      <c r="AV31" s="5">
        <f>COUNTIFS(Tracking!AF:AF,A31&amp;C31,Tracking!C:C,"5v5",Tracking!AG:AG,"FEX")+COUNTIFS(Tracking!AI:AI,A31&amp;C31,Tracking!C:C,"5v5",Tracking!AJ:AJ,"FEX")</f>
        <v/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/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/>
      </c>
      <c r="AY31" s="1">
        <f>COUNTIFS(Tracking!AA:AA,A31&amp;C31,Tracking!C:C,"5v5")</f>
        <v/>
      </c>
      <c r="AZ31" s="1">
        <f>COUNTIFS(Tracking!AA:AA,A31&amp;C31,Tracking!C:C,"5v5",Tracking!Y:Y,"C")</f>
        <v/>
      </c>
      <c r="BA31" s="1">
        <f>COUNTIFS(Tracking!AA:AA,A31&amp;C31,Tracking!C:C,"5v5",Tracking!Y:Y,"F")</f>
        <v/>
      </c>
      <c r="BB31" s="1">
        <f>COUNTIFS(Tracking!AA:AA,A31&amp;C31,Tracking!C:C,"5v5",Tracking!AB:AB,"Y")</f>
        <v/>
      </c>
      <c r="BC31" s="1">
        <f>COUNTIFS(Tracking!AA:AA,A31&amp;C31,Tracking!C:C,"5v5",Tracking!Y:Y,"C",Tracking!AE:AE,"Y")</f>
        <v/>
      </c>
      <c r="BD31" s="1">
        <f>COUNTIFS(Tracking!AA:AA,A31&amp;C31,Tracking!C:C,"5v5",Tracking!Y:Y,"D",Tracking!AE:AE,"Y")</f>
        <v/>
      </c>
      <c r="BE31" s="10">
        <f>COUNTIFS(Tracking!Z:Z,A31&amp;C31,Tracking!C:C,"5v4")</f>
        <v/>
      </c>
      <c r="BF31" s="10">
        <f>COUNTIFS(Tracking!Z:Z,A31&amp;C31,Tracking!C:C,"5v4",Tracking!Y:Y,"C")</f>
        <v/>
      </c>
      <c r="BG31" s="10">
        <f>COUNTIFS(Tracking!Z:Z,A31&amp;C31,Tracking!C:C,"5v4",Tracking!AB:AB,"Y")</f>
        <v/>
      </c>
      <c r="BH31" s="10">
        <f>COUNTIFS(Tracking!Z:Z,A31&amp;C31,Tracking!C:C,"4v5")</f>
        <v/>
      </c>
      <c r="BI31" s="10">
        <f>COUNTIFS(Tracking!AA:AA,A31&amp;C31,Tracking!C:C,"5v4",Tracking!Y:Y,"D")+COUNTIFS(Tracking!AA:AA,A31&amp;C31,Tracking!C:C,"5v4",Tracking!Y:Y,"F")</f>
        <v/>
      </c>
      <c r="BJ31" s="10">
        <f>COUNTIFS(Tracking!E:E,A31,Tracking!D:D,C31,Tracking!C:C,"5v4")</f>
        <v/>
      </c>
      <c r="BK31" s="10">
        <f>COUNTIFS(Tracking!G:G,A31,Tracking!D:D,C31,Tracking!C:C,"5v4")+COUNTIFS(Tracking!H:H,A31,Tracking!D:D,C31,Tracking!C:C,"5v4")+COUNTIFS(Tracking!I:I,A31,Tracking!D:D,C31,Tracking!C:C,"5v4")</f>
        <v/>
      </c>
      <c r="BL31" s="10">
        <f>COUNTIFS(Tracking!G:G,A31,Tracking!D:D,C31,Tracking!C:C,"5v4")</f>
        <v/>
      </c>
      <c r="BM31" s="10">
        <f>COUNTIFS(Tracking!E:E,A31,Tracking!D:D,C31,Tracking!C:C,"5v4",Tracking!M:M,"Y")</f>
        <v/>
      </c>
      <c r="BN31" s="10">
        <f>COUNTIFS(Tracking!G:G,A31,Tracking!D:D,C31,Tracking!C:C,"5v4",Tracking!M:M,"Y")</f>
        <v/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/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/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/>
      </c>
      <c r="BR31" s="12">
        <f>COUNTIFS(Tracking!E:E,A31,Tracking!D:D,C31,Tracking!C:C,"5v5",Tracking!F:F,"o")</f>
        <v/>
      </c>
      <c r="BS31" s="12">
        <f>COUNTIFS(Tracking!E:E,A31,Tracking!D:D,C31,Tracking!C:C,"5v5",Tracking!F:F,"r")</f>
        <v/>
      </c>
      <c r="BT31" s="12">
        <f>COUNTIFS(Tracking!E:E,A31,Tracking!D:D,C31,Tracking!C:C,"5v5",Tracking!F:F,"t")</f>
        <v/>
      </c>
      <c r="BU31" s="12">
        <f>COUNTIFS(Tracking!G:G,A31,Tracking!D:D,C31,Tracking!C:C,"5v5",Tracking!F:F,"o")</f>
        <v/>
      </c>
      <c r="BV31" s="12">
        <f>COUNTIFS(Tracking!E:E,A30,Tracking!D:D,C31,Tracking!C:C,"5v5",Tracking!F:F,"r")</f>
        <v/>
      </c>
      <c r="BW31" s="12">
        <f>COUNTIFS(Tracking!G:G,A31,Tracking!D:D,C31,Tracking!C:C,"5v5",Tracking!F:F,"T")</f>
        <v/>
      </c>
      <c r="BX31" s="12">
        <f>COUNTIFS(Tracking!E:E,A31,Tracking!D:D,C31,Tracking!C:C,"5v5",Tracking!Q:Q,"OZ")</f>
        <v/>
      </c>
      <c r="BY31" s="12">
        <f>COUNTIFS(Tracking!E:E,A31,Tracking!D:D,C31,Tracking!C:C,"5v5",Tracking!Q:Q,"nZ")</f>
        <v/>
      </c>
      <c r="BZ31" s="12">
        <f>COUNTIFS(Tracking!E:E,A31,Tracking!D:D,C31,Tracking!C:C,"5v5",Tracking!Q:Q,"dZ")</f>
        <v/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/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/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/>
      </c>
      <c r="CD31" s="12">
        <f>COUNTIFS(Tracking!E:E,A31,Tracking!D:D,C31,Tracking!C:C,"5v5",Tracking!R:R,"dz exit")</f>
        <v/>
      </c>
      <c r="CE31" s="12">
        <f>COUNTIFS(Tracking!E:E,A31,Tracking!D:D,C31,Tracking!C:C,"5v5",Tracking!R:R,"dz counter")</f>
        <v/>
      </c>
      <c r="CF31" s="12">
        <f>COUNTIFS(Tracking!E:E,A31,Tracking!D:D,C31,Tracking!C:C,"5v5",Tracking!R:R,"nz turnover")</f>
        <v/>
      </c>
      <c r="CG31" s="12">
        <f>COUNTIFS(Tracking!E:E,A31,Tracking!D:D,C31,Tracking!C:C,"5v5",Tracking!R:R,"nz regroup")</f>
        <v/>
      </c>
      <c r="CH31" s="12">
        <f>COUNTIFS(Tracking!E:E,A31,Tracking!D:D,C31,Tracking!C:C,"5v5",Tracking!R:R,"nz reload")</f>
        <v/>
      </c>
      <c r="CI31" s="12">
        <f>COUNTIFS(Tracking!E:E,A31,Tracking!D:D,C31,Tracking!C:C,"5v5",Tracking!R:R,"controlled breakout")</f>
        <v/>
      </c>
      <c r="CJ31" s="2">
        <f>CK31+CL31+CM31+CN31+CO31+CP31</f>
        <v/>
      </c>
      <c r="CK31" s="2">
        <f>(0.075*H31)+(0.07*L31)+(0.055*M31)+(0.055*N31)+(0.095*J31)+(0.09*O31)+(0.05*P31)+(0.05*R31)+(0.05*S31)+(0.05*AB31)</f>
        <v/>
      </c>
      <c r="CL31" s="2">
        <f>(0.045*AD31)-(0.045*AE31)+(0.055*AH31)+(0.035*AI31)</f>
        <v/>
      </c>
      <c r="CM31" s="2">
        <f>(0.015*(AY31-AZ31))+(0.035*BA31)-(0.015*BB31)-(0.025*BC31)+(0.015*(AY31-(BD31+BC31)))</f>
        <v/>
      </c>
      <c r="CN31" s="2">
        <f>(0.035*AN31)+(0.025*AS31)-(0.035*AT31)-(0.035*AV31)</f>
        <v/>
      </c>
      <c r="CO31" s="2">
        <f>(0.015*AJ31)+(0.045*AG31)</f>
        <v/>
      </c>
      <c r="CP31" s="2">
        <f>(0.055*BM31)+(0.055*BN31)+(0.035*BO31)+(0.035*BQ31)+(0.055*BH31)+(0.035*BI31)+(0.035*BG31)</f>
        <v/>
      </c>
      <c r="CQ31" s="2">
        <f>CK31+CL31+CM31+CN31+CO31</f>
        <v/>
      </c>
    </row>
    <row r="32">
      <c r="A32" s="8" t="n">
        <v>10</v>
      </c>
      <c r="B32" s="8" t="inlineStr">
        <is>
          <t>Nicolas Roy</t>
        </is>
      </c>
      <c r="C32" s="8" t="inlineStr">
        <is>
          <t>COL</t>
        </is>
      </c>
      <c r="D32" s="8" t="inlineStr">
        <is>
          <t>C</t>
        </is>
      </c>
      <c r="E32" s="8" t="n">
        <v>8.516666666666699</v>
      </c>
      <c r="F32" s="8" t="inlineStr">
        <is>
          <t>2025-26</t>
        </is>
      </c>
      <c r="G32" s="19" t="inlineStr">
        <is>
          <t>3/6/2026 DAL vs. COL</t>
        </is>
      </c>
      <c r="H32" s="9">
        <f>COUNTIFS(Tracking!E:E,A32,Tracking!D:D,C32,Tracking!C:C,"5v5")</f>
        <v/>
      </c>
      <c r="I32" s="9">
        <f>COUNTIFS(Tracking!E:E,A32,Tracking!D:D,C32,Tracking!N:N,"y",Tracking!C:C,"5v5")</f>
        <v/>
      </c>
      <c r="J32" s="9">
        <f>COUNTIFS(Tracking!E:E,A32,Tracking!D:D,C32,Tracking!M:M,"y",Tracking!C:C,"5v5")</f>
        <v/>
      </c>
      <c r="K32" s="9">
        <f>L32+M32+N32</f>
        <v/>
      </c>
      <c r="L32" s="9">
        <f>COUNTIFS(Tracking!G:G,A32,Tracking!D:D,C32,Tracking!C:C,"5v5")</f>
        <v/>
      </c>
      <c r="M32" s="9">
        <f>COUNTIFS(Tracking!H:H,A32,Tracking!D:D,C32,Tracking!C:C,"5v5")</f>
        <v/>
      </c>
      <c r="N32" s="9">
        <f>COUNTIFS(Tracking!I:I,A32,Tracking!D:D,C32,Tracking!C:C,"5v5")</f>
        <v/>
      </c>
      <c r="O32" s="9">
        <f>COUNTIFS(Tracking!G:G,A32,Tracking!D:D,C32,Tracking!C:C,"5v5",Tracking!M:M,"y")</f>
        <v/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/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/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/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/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/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/>
      </c>
      <c r="V32" s="9">
        <f>COUNTIFS(Tracking!E:E,A32,Tracking!D:D,C32,Tracking!C:C,"5v5",Tracking!P:P,"r")</f>
        <v/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/>
      </c>
      <c r="X32" s="9">
        <f>COUNTIFS(Tracking!E:E,A32,Tracking!D:D,C32,Tracking!C:C,"5v5",Tracking!P:P,"f")</f>
        <v/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/>
      </c>
      <c r="Z32" s="9">
        <f>COUNTIFS(Tracking!E:E,A32,Tracking!D:D,C32,Tracking!C:C,"5v5",Tracking!P:P,"c")</f>
        <v/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/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/>
      </c>
      <c r="AC32" s="11">
        <f>COUNTIFS(Tracking!Z:Z,A32&amp;C32,Tracking!C:C,"5v5")-AE32</f>
        <v/>
      </c>
      <c r="AD32" s="11">
        <f>COUNTIFS(Tracking!Z:Z,A32&amp;C32,Tracking!C:C,"5v5",Tracking!Y:Y,"C")</f>
        <v/>
      </c>
      <c r="AE32" s="11">
        <f>COUNTIFS(Tracking!Z:Z,A32&amp;C32,Tracking!C:C,"5v5",Tracking!Y:Y,"F")</f>
        <v/>
      </c>
      <c r="AF32" s="11">
        <f>COUNTIFS(Tracking!Z:Z,A32&amp;C32,Tracking!C:C,"5v5",Tracking!Y:Y,"C",Tracking!AB:AB,"Y")</f>
        <v/>
      </c>
      <c r="AG32" s="11">
        <f>COUNTIFS(Tracking!AD:AD,A32&amp;C32,Tracking!C:C,"5v5")</f>
        <v/>
      </c>
      <c r="AH32" s="11">
        <f>COUNTIFS(Tracking!Z:Z,A32&amp;C32,Tracking!C:C,"5v5",Tracking!Y:Y,"C",Tracking!AE:AE,"Y")</f>
        <v/>
      </c>
      <c r="AI32" s="11">
        <f>COUNTIFS(Tracking!Z:Z,A32&amp;C32,Tracking!C:C,"5v5",Tracking!Y:Y,"D",Tracking!AE:AE,"Y")</f>
        <v/>
      </c>
      <c r="AJ32" s="11">
        <f>COUNTIFS(Tracking!AH:AH,A32&amp;C32)</f>
        <v/>
      </c>
      <c r="AK32" s="5">
        <f>COUNTIFS(Tracking!AI:AI,A32&amp;C32,Tracking!C:C,"5v5")+AL32</f>
        <v/>
      </c>
      <c r="AL32" s="5">
        <f>COUNTIFS(Tracking!AF:AF,A32&amp;C32,Tracking!C:C,"5v5")-AT32</f>
        <v/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/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/>
      </c>
      <c r="AO32" s="5">
        <f>COUNTIFS(Tracking!AF:AF,A32&amp;C32,Tracking!C:C,"5v5",Tracking!AG:AG,"CEX")+COUNTIFS(Tracking!AI:AI,A32&amp;C32,Tracking!C:C,"5v5",Tracking!AJ:AJ,"CEX")</f>
        <v/>
      </c>
      <c r="AP32" s="5">
        <f>COUNTIFS(Tracking!AF:AF,A32&amp;C32,Tracking!C:C,"5v5",Tracking!AG:AG,"PEX")</f>
        <v/>
      </c>
      <c r="AQ32" s="5">
        <f>COUNTIFS(Tracking!AF:AF,A32&amp;C32,Tracking!C:C,"5v5",Tracking!AG:AG,"CLE")+COUNTIFS(Tracking!AI:AI,A32&amp;C32,Tracking!C:C,"5v5",Tracking!AJ:AJ,"CLE")</f>
        <v/>
      </c>
      <c r="AR32" s="5">
        <f>COUNTIFS(Tracking!AF:AF,A32&amp;C32,Tracking!C:C,"5v5",Tracking!AG:AG,"MEX")</f>
        <v/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/>
      </c>
      <c r="AT32" s="5">
        <f>COUNTIFS(Tracking!AF:AF,A32&amp;C32,Tracking!C:C,"5v5",Tracking!AG:AG,"BOT")+COUNTIFS(Tracking!AF:AF,A32&amp;C32,Tracking!C:C,"5v5",Tracking!AG:AG,"FEX")</f>
        <v/>
      </c>
      <c r="AU32" s="5">
        <f>COUNTIFS(Tracking!AF:AF,A32&amp;C32,Tracking!C:C,"5v5",Tracking!AG:AG,"EXC")</f>
        <v/>
      </c>
      <c r="AV32" s="5">
        <f>COUNTIFS(Tracking!AF:AF,A32&amp;C32,Tracking!C:C,"5v5",Tracking!AG:AG,"FEX")+COUNTIFS(Tracking!AI:AI,A32&amp;C32,Tracking!C:C,"5v5",Tracking!AJ:AJ,"FEX")</f>
        <v/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/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/>
      </c>
      <c r="AY32" s="1">
        <f>COUNTIFS(Tracking!AA:AA,A32&amp;C32,Tracking!C:C,"5v5")</f>
        <v/>
      </c>
      <c r="AZ32" s="1">
        <f>COUNTIFS(Tracking!AA:AA,A32&amp;C32,Tracking!C:C,"5v5",Tracking!Y:Y,"C")</f>
        <v/>
      </c>
      <c r="BA32" s="1">
        <f>COUNTIFS(Tracking!AA:AA,A32&amp;C32,Tracking!C:C,"5v5",Tracking!Y:Y,"F")</f>
        <v/>
      </c>
      <c r="BB32" s="1">
        <f>COUNTIFS(Tracking!AA:AA,A32&amp;C32,Tracking!C:C,"5v5",Tracking!AB:AB,"Y")</f>
        <v/>
      </c>
      <c r="BC32" s="1">
        <f>COUNTIFS(Tracking!AA:AA,A32&amp;C32,Tracking!C:C,"5v5",Tracking!Y:Y,"C",Tracking!AE:AE,"Y")</f>
        <v/>
      </c>
      <c r="BD32" s="1">
        <f>COUNTIFS(Tracking!AA:AA,A32&amp;C32,Tracking!C:C,"5v5",Tracking!Y:Y,"D",Tracking!AE:AE,"Y")</f>
        <v/>
      </c>
      <c r="BE32" s="10">
        <f>COUNTIFS(Tracking!Z:Z,A32&amp;C32,Tracking!C:C,"5v4")</f>
        <v/>
      </c>
      <c r="BF32" s="10">
        <f>COUNTIFS(Tracking!Z:Z,A32&amp;C32,Tracking!C:C,"5v4",Tracking!Y:Y,"C")</f>
        <v/>
      </c>
      <c r="BG32" s="10">
        <f>COUNTIFS(Tracking!Z:Z,A32&amp;C32,Tracking!C:C,"5v4",Tracking!AB:AB,"Y")</f>
        <v/>
      </c>
      <c r="BH32" s="10">
        <f>COUNTIFS(Tracking!Z:Z,A32&amp;C32,Tracking!C:C,"4v5")</f>
        <v/>
      </c>
      <c r="BI32" s="10">
        <f>COUNTIFS(Tracking!AA:AA,A32&amp;C32,Tracking!C:C,"5v4",Tracking!Y:Y,"D")+COUNTIFS(Tracking!AA:AA,A32&amp;C32,Tracking!C:C,"5v4",Tracking!Y:Y,"F")</f>
        <v/>
      </c>
      <c r="BJ32" s="10">
        <f>COUNTIFS(Tracking!E:E,A32,Tracking!D:D,C32,Tracking!C:C,"5v4")</f>
        <v/>
      </c>
      <c r="BK32" s="10">
        <f>COUNTIFS(Tracking!G:G,A32,Tracking!D:D,C32,Tracking!C:C,"5v4")+COUNTIFS(Tracking!H:H,A32,Tracking!D:D,C32,Tracking!C:C,"5v4")+COUNTIFS(Tracking!I:I,A32,Tracking!D:D,C32,Tracking!C:C,"5v4")</f>
        <v/>
      </c>
      <c r="BL32" s="10">
        <f>COUNTIFS(Tracking!G:G,A32,Tracking!D:D,C32,Tracking!C:C,"5v4")</f>
        <v/>
      </c>
      <c r="BM32" s="10">
        <f>COUNTIFS(Tracking!E:E,A32,Tracking!D:D,C32,Tracking!C:C,"5v4",Tracking!M:M,"Y")</f>
        <v/>
      </c>
      <c r="BN32" s="10">
        <f>COUNTIFS(Tracking!G:G,A32,Tracking!D:D,C32,Tracking!C:C,"5v4",Tracking!M:M,"Y")</f>
        <v/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/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/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/>
      </c>
      <c r="BR32" s="12">
        <f>COUNTIFS(Tracking!E:E,A32,Tracking!D:D,C32,Tracking!C:C,"5v5",Tracking!F:F,"o")</f>
        <v/>
      </c>
      <c r="BS32" s="12">
        <f>COUNTIFS(Tracking!E:E,A32,Tracking!D:D,C32,Tracking!C:C,"5v5",Tracking!F:F,"r")</f>
        <v/>
      </c>
      <c r="BT32" s="12">
        <f>COUNTIFS(Tracking!E:E,A32,Tracking!D:D,C32,Tracking!C:C,"5v5",Tracking!F:F,"t")</f>
        <v/>
      </c>
      <c r="BU32" s="12">
        <f>COUNTIFS(Tracking!G:G,A32,Tracking!D:D,C32,Tracking!C:C,"5v5",Tracking!F:F,"o")</f>
        <v/>
      </c>
      <c r="BV32" s="12">
        <f>COUNTIFS(Tracking!E:E,A31,Tracking!D:D,C32,Tracking!C:C,"5v5",Tracking!F:F,"r")</f>
        <v/>
      </c>
      <c r="BW32" s="12">
        <f>COUNTIFS(Tracking!G:G,A32,Tracking!D:D,C32,Tracking!C:C,"5v5",Tracking!F:F,"T")</f>
        <v/>
      </c>
      <c r="BX32" s="12">
        <f>COUNTIFS(Tracking!E:E,A32,Tracking!D:D,C32,Tracking!C:C,"5v5",Tracking!Q:Q,"OZ")</f>
        <v/>
      </c>
      <c r="BY32" s="12">
        <f>COUNTIFS(Tracking!E:E,A32,Tracking!D:D,C32,Tracking!C:C,"5v5",Tracking!Q:Q,"nZ")</f>
        <v/>
      </c>
      <c r="BZ32" s="12">
        <f>COUNTIFS(Tracking!E:E,A32,Tracking!D:D,C32,Tracking!C:C,"5v5",Tracking!Q:Q,"dZ")</f>
        <v/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/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/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/>
      </c>
      <c r="CD32" s="12">
        <f>COUNTIFS(Tracking!E:E,A32,Tracking!D:D,C32,Tracking!C:C,"5v5",Tracking!R:R,"dz exit")</f>
        <v/>
      </c>
      <c r="CE32" s="12">
        <f>COUNTIFS(Tracking!E:E,A32,Tracking!D:D,C32,Tracking!C:C,"5v5",Tracking!R:R,"dz counter")</f>
        <v/>
      </c>
      <c r="CF32" s="12">
        <f>COUNTIFS(Tracking!E:E,A32,Tracking!D:D,C32,Tracking!C:C,"5v5",Tracking!R:R,"nz turnover")</f>
        <v/>
      </c>
      <c r="CG32" s="12">
        <f>COUNTIFS(Tracking!E:E,A32,Tracking!D:D,C32,Tracking!C:C,"5v5",Tracking!R:R,"nz regroup")</f>
        <v/>
      </c>
      <c r="CH32" s="12">
        <f>COUNTIFS(Tracking!E:E,A32,Tracking!D:D,C32,Tracking!C:C,"5v5",Tracking!R:R,"nz reload")</f>
        <v/>
      </c>
      <c r="CI32" s="12">
        <f>COUNTIFS(Tracking!E:E,A32,Tracking!D:D,C32,Tracking!C:C,"5v5",Tracking!R:R,"controlled breakout")</f>
        <v/>
      </c>
      <c r="CJ32" s="2">
        <f>CK32+CL32+CM32+CN32+CO32+CP32</f>
        <v/>
      </c>
      <c r="CK32" s="2">
        <f>(0.075*H32)+(0.07*L32)+(0.055*M32)+(0.055*N32)+(0.095*J32)+(0.09*O32)+(0.05*P32)+(0.05*R32)+(0.05*S32)+(0.05*AB32)</f>
        <v/>
      </c>
      <c r="CL32" s="2">
        <f>(0.045*AD32)-(0.045*AE32)+(0.055*AH32)+(0.035*AI32)</f>
        <v/>
      </c>
      <c r="CM32" s="2">
        <f>(0.015*(AY32-AZ32))+(0.035*BA32)-(0.015*BB32)-(0.025*BC32)+(0.015*(AY32-(BD32+BC32)))</f>
        <v/>
      </c>
      <c r="CN32" s="2">
        <f>(0.035*AN32)+(0.025*AS32)-(0.035*AT32)-(0.035*AV32)</f>
        <v/>
      </c>
      <c r="CO32" s="2">
        <f>(0.015*AJ32)+(0.045*AG32)</f>
        <v/>
      </c>
      <c r="CP32" s="2">
        <f>(0.055*BM32)+(0.055*BN32)+(0.035*BO32)+(0.035*BQ32)+(0.055*BH32)+(0.035*BI32)+(0.035*BG32)</f>
        <v/>
      </c>
      <c r="CQ32" s="2">
        <f>CK32+CL32+CM32+CN32+CO32</f>
        <v/>
      </c>
    </row>
    <row r="33">
      <c r="A33" s="8" t="n">
        <v>17</v>
      </c>
      <c r="B33" s="8" t="inlineStr">
        <is>
          <t>Parker Kelly</t>
        </is>
      </c>
      <c r="C33" s="8" t="inlineStr">
        <is>
          <t>COL</t>
        </is>
      </c>
      <c r="D33" s="8" t="inlineStr">
        <is>
          <t>C</t>
        </is>
      </c>
      <c r="E33" s="8" t="n">
        <v>9.5666666666667</v>
      </c>
      <c r="F33" s="8" t="inlineStr">
        <is>
          <t>2025-26</t>
        </is>
      </c>
      <c r="G33" s="19" t="inlineStr">
        <is>
          <t>3/6/2026 DAL vs. COL</t>
        </is>
      </c>
      <c r="H33" s="9">
        <f>COUNTIFS(Tracking!E:E,A33,Tracking!D:D,C33,Tracking!C:C,"5v5")</f>
        <v/>
      </c>
      <c r="I33" s="9">
        <f>COUNTIFS(Tracking!E:E,A33,Tracking!D:D,C33,Tracking!N:N,"y",Tracking!C:C,"5v5")</f>
        <v/>
      </c>
      <c r="J33" s="9">
        <f>COUNTIFS(Tracking!E:E,A33,Tracking!D:D,C33,Tracking!M:M,"y",Tracking!C:C,"5v5")</f>
        <v/>
      </c>
      <c r="K33" s="9">
        <f>L33+M33+N33</f>
        <v/>
      </c>
      <c r="L33" s="9">
        <f>COUNTIFS(Tracking!G:G,A33,Tracking!D:D,C33,Tracking!C:C,"5v5")</f>
        <v/>
      </c>
      <c r="M33" s="9">
        <f>COUNTIFS(Tracking!H:H,A33,Tracking!D:D,C33,Tracking!C:C,"5v5")</f>
        <v/>
      </c>
      <c r="N33" s="9">
        <f>COUNTIFS(Tracking!I:I,A33,Tracking!D:D,C33,Tracking!C:C,"5v5")</f>
        <v/>
      </c>
      <c r="O33" s="9">
        <f>COUNTIFS(Tracking!G:G,A33,Tracking!D:D,C33,Tracking!C:C,"5v5",Tracking!M:M,"y")</f>
        <v/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/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/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/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/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/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/>
      </c>
      <c r="V33" s="9">
        <f>COUNTIFS(Tracking!E:E,A33,Tracking!D:D,C33,Tracking!C:C,"5v5",Tracking!P:P,"r")</f>
        <v/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/>
      </c>
      <c r="X33" s="9">
        <f>COUNTIFS(Tracking!E:E,A33,Tracking!D:D,C33,Tracking!C:C,"5v5",Tracking!P:P,"f")</f>
        <v/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/>
      </c>
      <c r="Z33" s="9">
        <f>COUNTIFS(Tracking!E:E,A33,Tracking!D:D,C33,Tracking!C:C,"5v5",Tracking!P:P,"c")</f>
        <v/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/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/>
      </c>
      <c r="AC33" s="11">
        <f>COUNTIFS(Tracking!Z:Z,A33&amp;C33,Tracking!C:C,"5v5")-AE33</f>
        <v/>
      </c>
      <c r="AD33" s="11">
        <f>COUNTIFS(Tracking!Z:Z,A33&amp;C33,Tracking!C:C,"5v5",Tracking!Y:Y,"C")</f>
        <v/>
      </c>
      <c r="AE33" s="11">
        <f>COUNTIFS(Tracking!Z:Z,A33&amp;C33,Tracking!C:C,"5v5",Tracking!Y:Y,"F")</f>
        <v/>
      </c>
      <c r="AF33" s="11">
        <f>COUNTIFS(Tracking!Z:Z,A33&amp;C33,Tracking!C:C,"5v5",Tracking!Y:Y,"C",Tracking!AB:AB,"Y")</f>
        <v/>
      </c>
      <c r="AG33" s="11">
        <f>COUNTIFS(Tracking!AD:AD,A33&amp;C33,Tracking!C:C,"5v5")</f>
        <v/>
      </c>
      <c r="AH33" s="11">
        <f>COUNTIFS(Tracking!Z:Z,A33&amp;C33,Tracking!C:C,"5v5",Tracking!Y:Y,"C",Tracking!AE:AE,"Y")</f>
        <v/>
      </c>
      <c r="AI33" s="11">
        <f>COUNTIFS(Tracking!Z:Z,A33&amp;C33,Tracking!C:C,"5v5",Tracking!Y:Y,"D",Tracking!AE:AE,"Y")</f>
        <v/>
      </c>
      <c r="AJ33" s="11">
        <f>COUNTIFS(Tracking!AH:AH,A33&amp;C33)</f>
        <v/>
      </c>
      <c r="AK33" s="5">
        <f>COUNTIFS(Tracking!AI:AI,A33&amp;C33,Tracking!C:C,"5v5")+AL33</f>
        <v/>
      </c>
      <c r="AL33" s="5">
        <f>COUNTIFS(Tracking!AF:AF,A33&amp;C33,Tracking!C:C,"5v5")-AT33</f>
        <v/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/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/>
      </c>
      <c r="AO33" s="5">
        <f>COUNTIFS(Tracking!AF:AF,A33&amp;C33,Tracking!C:C,"5v5",Tracking!AG:AG,"CEX")+COUNTIFS(Tracking!AI:AI,A33&amp;C33,Tracking!C:C,"5v5",Tracking!AJ:AJ,"CEX")</f>
        <v/>
      </c>
      <c r="AP33" s="5">
        <f>COUNTIFS(Tracking!AF:AF,A33&amp;C33,Tracking!C:C,"5v5",Tracking!AG:AG,"PEX")</f>
        <v/>
      </c>
      <c r="AQ33" s="5">
        <f>COUNTIFS(Tracking!AF:AF,A33&amp;C33,Tracking!C:C,"5v5",Tracking!AG:AG,"CLE")+COUNTIFS(Tracking!AI:AI,A33&amp;C33,Tracking!C:C,"5v5",Tracking!AJ:AJ,"CLE")</f>
        <v/>
      </c>
      <c r="AR33" s="5">
        <f>COUNTIFS(Tracking!AF:AF,A33&amp;C33,Tracking!C:C,"5v5",Tracking!AG:AG,"MEX")</f>
        <v/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/>
      </c>
      <c r="AT33" s="5">
        <f>COUNTIFS(Tracking!AF:AF,A33&amp;C33,Tracking!C:C,"5v5",Tracking!AG:AG,"BOT")+COUNTIFS(Tracking!AF:AF,A33&amp;C33,Tracking!C:C,"5v5",Tracking!AG:AG,"FEX")</f>
        <v/>
      </c>
      <c r="AU33" s="5">
        <f>COUNTIFS(Tracking!AF:AF,A33&amp;C33,Tracking!C:C,"5v5",Tracking!AG:AG,"EXC")</f>
        <v/>
      </c>
      <c r="AV33" s="5">
        <f>COUNTIFS(Tracking!AF:AF,A33&amp;C33,Tracking!C:C,"5v5",Tracking!AG:AG,"FEX")+COUNTIFS(Tracking!AI:AI,A33&amp;C33,Tracking!C:C,"5v5",Tracking!AJ:AJ,"FEX")</f>
        <v/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/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/>
      </c>
      <c r="AY33" s="1">
        <f>COUNTIFS(Tracking!AA:AA,A33&amp;C33,Tracking!C:C,"5v5")</f>
        <v/>
      </c>
      <c r="AZ33" s="1">
        <f>COUNTIFS(Tracking!AA:AA,A33&amp;C33,Tracking!C:C,"5v5",Tracking!Y:Y,"C")</f>
        <v/>
      </c>
      <c r="BA33" s="1">
        <f>COUNTIFS(Tracking!AA:AA,A33&amp;C33,Tracking!C:C,"5v5",Tracking!Y:Y,"F")</f>
        <v/>
      </c>
      <c r="BB33" s="1">
        <f>COUNTIFS(Tracking!AA:AA,A33&amp;C33,Tracking!C:C,"5v5",Tracking!AB:AB,"Y")</f>
        <v/>
      </c>
      <c r="BC33" s="1">
        <f>COUNTIFS(Tracking!AA:AA,A33&amp;C33,Tracking!C:C,"5v5",Tracking!Y:Y,"C",Tracking!AE:AE,"Y")</f>
        <v/>
      </c>
      <c r="BD33" s="1">
        <f>COUNTIFS(Tracking!AA:AA,A33&amp;C33,Tracking!C:C,"5v5",Tracking!Y:Y,"D",Tracking!AE:AE,"Y")</f>
        <v/>
      </c>
      <c r="BE33" s="10">
        <f>COUNTIFS(Tracking!Z:Z,A33&amp;C33,Tracking!C:C,"5v4")</f>
        <v/>
      </c>
      <c r="BF33" s="10">
        <f>COUNTIFS(Tracking!Z:Z,A33&amp;C33,Tracking!C:C,"5v4",Tracking!Y:Y,"C")</f>
        <v/>
      </c>
      <c r="BG33" s="10">
        <f>COUNTIFS(Tracking!Z:Z,A33&amp;C33,Tracking!C:C,"5v4",Tracking!AB:AB,"Y")</f>
        <v/>
      </c>
      <c r="BH33" s="10">
        <f>COUNTIFS(Tracking!Z:Z,A33&amp;C33,Tracking!C:C,"4v5")</f>
        <v/>
      </c>
      <c r="BI33" s="10">
        <f>COUNTIFS(Tracking!AA:AA,A33&amp;C33,Tracking!C:C,"5v4",Tracking!Y:Y,"D")+COUNTIFS(Tracking!AA:AA,A33&amp;C33,Tracking!C:C,"5v4",Tracking!Y:Y,"F")</f>
        <v/>
      </c>
      <c r="BJ33" s="10">
        <f>COUNTIFS(Tracking!E:E,A33,Tracking!D:D,C33,Tracking!C:C,"5v4")</f>
        <v/>
      </c>
      <c r="BK33" s="10">
        <f>COUNTIFS(Tracking!G:G,A33,Tracking!D:D,C33,Tracking!C:C,"5v4")+COUNTIFS(Tracking!H:H,A33,Tracking!D:D,C33,Tracking!C:C,"5v4")+COUNTIFS(Tracking!I:I,A33,Tracking!D:D,C33,Tracking!C:C,"5v4")</f>
        <v/>
      </c>
      <c r="BL33" s="10">
        <f>COUNTIFS(Tracking!G:G,A33,Tracking!D:D,C33,Tracking!C:C,"5v4")</f>
        <v/>
      </c>
      <c r="BM33" s="10">
        <f>COUNTIFS(Tracking!E:E,A33,Tracking!D:D,C33,Tracking!C:C,"5v4",Tracking!M:M,"Y")</f>
        <v/>
      </c>
      <c r="BN33" s="10">
        <f>COUNTIFS(Tracking!G:G,A33,Tracking!D:D,C33,Tracking!C:C,"5v4",Tracking!M:M,"Y")</f>
        <v/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/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/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/>
      </c>
      <c r="BR33" s="12">
        <f>COUNTIFS(Tracking!E:E,A33,Tracking!D:D,C33,Tracking!C:C,"5v5",Tracking!F:F,"o")</f>
        <v/>
      </c>
      <c r="BS33" s="12">
        <f>COUNTIFS(Tracking!E:E,A33,Tracking!D:D,C33,Tracking!C:C,"5v5",Tracking!F:F,"r")</f>
        <v/>
      </c>
      <c r="BT33" s="12">
        <f>COUNTIFS(Tracking!E:E,A33,Tracking!D:D,C33,Tracking!C:C,"5v5",Tracking!F:F,"t")</f>
        <v/>
      </c>
      <c r="BU33" s="12">
        <f>COUNTIFS(Tracking!G:G,A33,Tracking!D:D,C33,Tracking!C:C,"5v5",Tracking!F:F,"o")</f>
        <v/>
      </c>
      <c r="BV33" s="12">
        <f>COUNTIFS(Tracking!E:E,A32,Tracking!D:D,C33,Tracking!C:C,"5v5",Tracking!F:F,"r")</f>
        <v/>
      </c>
      <c r="BW33" s="12">
        <f>COUNTIFS(Tracking!G:G,A33,Tracking!D:D,C33,Tracking!C:C,"5v5",Tracking!F:F,"T")</f>
        <v/>
      </c>
      <c r="BX33" s="12">
        <f>COUNTIFS(Tracking!E:E,A33,Tracking!D:D,C33,Tracking!C:C,"5v5",Tracking!Q:Q,"OZ")</f>
        <v/>
      </c>
      <c r="BY33" s="12">
        <f>COUNTIFS(Tracking!E:E,A33,Tracking!D:D,C33,Tracking!C:C,"5v5",Tracking!Q:Q,"nZ")</f>
        <v/>
      </c>
      <c r="BZ33" s="12">
        <f>COUNTIFS(Tracking!E:E,A33,Tracking!D:D,C33,Tracking!C:C,"5v5",Tracking!Q:Q,"dZ")</f>
        <v/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/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/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/>
      </c>
      <c r="CD33" s="12">
        <f>COUNTIFS(Tracking!E:E,A33,Tracking!D:D,C33,Tracking!C:C,"5v5",Tracking!R:R,"dz exit")</f>
        <v/>
      </c>
      <c r="CE33" s="12">
        <f>COUNTIFS(Tracking!E:E,A33,Tracking!D:D,C33,Tracking!C:C,"5v5",Tracking!R:R,"dz counter")</f>
        <v/>
      </c>
      <c r="CF33" s="12">
        <f>COUNTIFS(Tracking!E:E,A33,Tracking!D:D,C33,Tracking!C:C,"5v5",Tracking!R:R,"nz turnover")</f>
        <v/>
      </c>
      <c r="CG33" s="12">
        <f>COUNTIFS(Tracking!E:E,A33,Tracking!D:D,C33,Tracking!C:C,"5v5",Tracking!R:R,"nz regroup")</f>
        <v/>
      </c>
      <c r="CH33" s="12">
        <f>COUNTIFS(Tracking!E:E,A33,Tracking!D:D,C33,Tracking!C:C,"5v5",Tracking!R:R,"nz reload")</f>
        <v/>
      </c>
      <c r="CI33" s="12">
        <f>COUNTIFS(Tracking!E:E,A33,Tracking!D:D,C33,Tracking!C:C,"5v5",Tracking!R:R,"controlled breakout")</f>
        <v/>
      </c>
      <c r="CJ33" s="2">
        <f>CK33+CL33+CM33+CN33+CO33+CP33</f>
        <v/>
      </c>
      <c r="CK33" s="2">
        <f>(0.075*H33)+(0.07*L33)+(0.055*M33)+(0.055*N33)+(0.095*J33)+(0.09*O33)+(0.05*P33)+(0.05*R33)+(0.05*S33)+(0.05*AB33)</f>
        <v/>
      </c>
      <c r="CL33" s="2">
        <f>(0.045*AD33)-(0.045*AE33)+(0.055*AH33)+(0.035*AI33)</f>
        <v/>
      </c>
      <c r="CM33" s="2">
        <f>(0.015*(AY33-AZ33))+(0.035*BA33)-(0.015*BB33)-(0.025*BC33)+(0.015*(AY33-(BD33+BC33)))</f>
        <v/>
      </c>
      <c r="CN33" s="2">
        <f>(0.035*AN33)+(0.025*AS33)-(0.035*AT33)-(0.035*AV33)</f>
        <v/>
      </c>
      <c r="CO33" s="2">
        <f>(0.015*AJ33)+(0.045*AG33)</f>
        <v/>
      </c>
      <c r="CP33" s="2">
        <f>(0.055*BM33)+(0.055*BN33)+(0.035*BO33)+(0.035*BQ33)+(0.055*BH33)+(0.035*BI33)+(0.035*BG33)</f>
        <v/>
      </c>
      <c r="CQ33" s="2">
        <f>CK33+CL33+CM33+CN33+CO33</f>
        <v/>
      </c>
    </row>
    <row r="34">
      <c r="A34" s="8" t="n">
        <v>20</v>
      </c>
      <c r="B34" s="8" t="inlineStr">
        <is>
          <t>Ross Colton</t>
        </is>
      </c>
      <c r="C34" s="8" t="inlineStr">
        <is>
          <t>COL</t>
        </is>
      </c>
      <c r="D34" s="8" t="inlineStr">
        <is>
          <t>C</t>
        </is>
      </c>
      <c r="E34" s="8" t="n">
        <v>11.8</v>
      </c>
      <c r="F34" s="8" t="inlineStr">
        <is>
          <t>2025-26</t>
        </is>
      </c>
      <c r="G34" s="19" t="inlineStr">
        <is>
          <t>3/6/2026 DAL vs. COL</t>
        </is>
      </c>
      <c r="H34" s="9">
        <f>COUNTIFS(Tracking!E:E,A34,Tracking!D:D,C34,Tracking!C:C,"5v5")</f>
        <v/>
      </c>
      <c r="I34" s="9">
        <f>COUNTIFS(Tracking!E:E,A34,Tracking!D:D,C34,Tracking!N:N,"y",Tracking!C:C,"5v5")</f>
        <v/>
      </c>
      <c r="J34" s="9">
        <f>COUNTIFS(Tracking!E:E,A34,Tracking!D:D,C34,Tracking!M:M,"y",Tracking!C:C,"5v5")</f>
        <v/>
      </c>
      <c r="K34" s="9">
        <f>L34+M34+N34</f>
        <v/>
      </c>
      <c r="L34" s="9">
        <f>COUNTIFS(Tracking!G:G,A34,Tracking!D:D,C34,Tracking!C:C,"5v5")</f>
        <v/>
      </c>
      <c r="M34" s="9">
        <f>COUNTIFS(Tracking!H:H,A34,Tracking!D:D,C34,Tracking!C:C,"5v5")</f>
        <v/>
      </c>
      <c r="N34" s="9">
        <f>COUNTIFS(Tracking!I:I,A34,Tracking!D:D,C34,Tracking!C:C,"5v5")</f>
        <v/>
      </c>
      <c r="O34" s="9">
        <f>COUNTIFS(Tracking!G:G,A34,Tracking!D:D,C34,Tracking!C:C,"5v5",Tracking!M:M,"y")</f>
        <v/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/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/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/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/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/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/>
      </c>
      <c r="V34" s="9">
        <f>COUNTIFS(Tracking!E:E,A34,Tracking!D:D,C34,Tracking!C:C,"5v5",Tracking!P:P,"r")</f>
        <v/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/>
      </c>
      <c r="X34" s="9">
        <f>COUNTIFS(Tracking!E:E,A34,Tracking!D:D,C34,Tracking!C:C,"5v5",Tracking!P:P,"f")</f>
        <v/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/>
      </c>
      <c r="Z34" s="9">
        <f>COUNTIFS(Tracking!E:E,A34,Tracking!D:D,C34,Tracking!C:C,"5v5",Tracking!P:P,"c")</f>
        <v/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/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/>
      </c>
      <c r="AC34" s="11">
        <f>COUNTIFS(Tracking!Z:Z,A34&amp;C34,Tracking!C:C,"5v5")-AE34</f>
        <v/>
      </c>
      <c r="AD34" s="11">
        <f>COUNTIFS(Tracking!Z:Z,A34&amp;C34,Tracking!C:C,"5v5",Tracking!Y:Y,"C")</f>
        <v/>
      </c>
      <c r="AE34" s="11">
        <f>COUNTIFS(Tracking!Z:Z,A34&amp;C34,Tracking!C:C,"5v5",Tracking!Y:Y,"F")</f>
        <v/>
      </c>
      <c r="AF34" s="11">
        <f>COUNTIFS(Tracking!Z:Z,A34&amp;C34,Tracking!C:C,"5v5",Tracking!Y:Y,"C",Tracking!AB:AB,"Y")</f>
        <v/>
      </c>
      <c r="AG34" s="11">
        <f>COUNTIFS(Tracking!AD:AD,A34&amp;C34,Tracking!C:C,"5v5")</f>
        <v/>
      </c>
      <c r="AH34" s="11">
        <f>COUNTIFS(Tracking!Z:Z,A34&amp;C34,Tracking!C:C,"5v5",Tracking!Y:Y,"C",Tracking!AE:AE,"Y")</f>
        <v/>
      </c>
      <c r="AI34" s="11">
        <f>COUNTIFS(Tracking!Z:Z,A34&amp;C34,Tracking!C:C,"5v5",Tracking!Y:Y,"D",Tracking!AE:AE,"Y")</f>
        <v/>
      </c>
      <c r="AJ34" s="11">
        <f>COUNTIFS(Tracking!AH:AH,A34&amp;C34)</f>
        <v/>
      </c>
      <c r="AK34" s="5">
        <f>COUNTIFS(Tracking!AI:AI,A34&amp;C34,Tracking!C:C,"5v5")+AL34</f>
        <v/>
      </c>
      <c r="AL34" s="5">
        <f>COUNTIFS(Tracking!AF:AF,A34&amp;C34,Tracking!C:C,"5v5")-AT34</f>
        <v/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/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/>
      </c>
      <c r="AO34" s="5">
        <f>COUNTIFS(Tracking!AF:AF,A34&amp;C34,Tracking!C:C,"5v5",Tracking!AG:AG,"CEX")+COUNTIFS(Tracking!AI:AI,A34&amp;C34,Tracking!C:C,"5v5",Tracking!AJ:AJ,"CEX")</f>
        <v/>
      </c>
      <c r="AP34" s="5">
        <f>COUNTIFS(Tracking!AF:AF,A34&amp;C34,Tracking!C:C,"5v5",Tracking!AG:AG,"PEX")</f>
        <v/>
      </c>
      <c r="AQ34" s="5">
        <f>COUNTIFS(Tracking!AF:AF,A34&amp;C34,Tracking!C:C,"5v5",Tracking!AG:AG,"CLE")+COUNTIFS(Tracking!AI:AI,A34&amp;C34,Tracking!C:C,"5v5",Tracking!AJ:AJ,"CLE")</f>
        <v/>
      </c>
      <c r="AR34" s="5">
        <f>COUNTIFS(Tracking!AF:AF,A34&amp;C34,Tracking!C:C,"5v5",Tracking!AG:AG,"MEX")</f>
        <v/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/>
      </c>
      <c r="AT34" s="5">
        <f>COUNTIFS(Tracking!AF:AF,A34&amp;C34,Tracking!C:C,"5v5",Tracking!AG:AG,"BOT")+COUNTIFS(Tracking!AF:AF,A34&amp;C34,Tracking!C:C,"5v5",Tracking!AG:AG,"FEX")</f>
        <v/>
      </c>
      <c r="AU34" s="5">
        <f>COUNTIFS(Tracking!AF:AF,A34&amp;C34,Tracking!C:C,"5v5",Tracking!AG:AG,"EXC")</f>
        <v/>
      </c>
      <c r="AV34" s="5">
        <f>COUNTIFS(Tracking!AF:AF,A34&amp;C34,Tracking!C:C,"5v5",Tracking!AG:AG,"FEX")+COUNTIFS(Tracking!AI:AI,A34&amp;C34,Tracking!C:C,"5v5",Tracking!AJ:AJ,"FEX")</f>
        <v/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/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/>
      </c>
      <c r="AY34" s="1">
        <f>COUNTIFS(Tracking!AA:AA,A34&amp;C34,Tracking!C:C,"5v5")</f>
        <v/>
      </c>
      <c r="AZ34" s="1">
        <f>COUNTIFS(Tracking!AA:AA,A34&amp;C34,Tracking!C:C,"5v5",Tracking!Y:Y,"C")</f>
        <v/>
      </c>
      <c r="BA34" s="1">
        <f>COUNTIFS(Tracking!AA:AA,A34&amp;C34,Tracking!C:C,"5v5",Tracking!Y:Y,"F")</f>
        <v/>
      </c>
      <c r="BB34" s="1">
        <f>COUNTIFS(Tracking!AA:AA,A34&amp;C34,Tracking!C:C,"5v5",Tracking!AB:AB,"Y")</f>
        <v/>
      </c>
      <c r="BC34" s="1">
        <f>COUNTIFS(Tracking!AA:AA,A34&amp;C34,Tracking!C:C,"5v5",Tracking!Y:Y,"C",Tracking!AE:AE,"Y")</f>
        <v/>
      </c>
      <c r="BD34" s="1">
        <f>COUNTIFS(Tracking!AA:AA,A34&amp;C34,Tracking!C:C,"5v5",Tracking!Y:Y,"D",Tracking!AE:AE,"Y")</f>
        <v/>
      </c>
      <c r="BE34" s="10">
        <f>COUNTIFS(Tracking!Z:Z,A34&amp;C34,Tracking!C:C,"5v4")</f>
        <v/>
      </c>
      <c r="BF34" s="10">
        <f>COUNTIFS(Tracking!Z:Z,A34&amp;C34,Tracking!C:C,"5v4",Tracking!Y:Y,"C")</f>
        <v/>
      </c>
      <c r="BG34" s="10">
        <f>COUNTIFS(Tracking!Z:Z,A34&amp;C34,Tracking!C:C,"5v4",Tracking!AB:AB,"Y")</f>
        <v/>
      </c>
      <c r="BH34" s="10">
        <f>COUNTIFS(Tracking!Z:Z,A34&amp;C34,Tracking!C:C,"4v5")</f>
        <v/>
      </c>
      <c r="BI34" s="10">
        <f>COUNTIFS(Tracking!AA:AA,A34&amp;C34,Tracking!C:C,"5v4",Tracking!Y:Y,"D")+COUNTIFS(Tracking!AA:AA,A34&amp;C34,Tracking!C:C,"5v4",Tracking!Y:Y,"F")</f>
        <v/>
      </c>
      <c r="BJ34" s="10">
        <f>COUNTIFS(Tracking!E:E,A34,Tracking!D:D,C34,Tracking!C:C,"5v4")</f>
        <v/>
      </c>
      <c r="BK34" s="10">
        <f>COUNTIFS(Tracking!G:G,A34,Tracking!D:D,C34,Tracking!C:C,"5v4")+COUNTIFS(Tracking!H:H,A34,Tracking!D:D,C34,Tracking!C:C,"5v4")+COUNTIFS(Tracking!I:I,A34,Tracking!D:D,C34,Tracking!C:C,"5v4")</f>
        <v/>
      </c>
      <c r="BL34" s="10">
        <f>COUNTIFS(Tracking!G:G,A34,Tracking!D:D,C34,Tracking!C:C,"5v4")</f>
        <v/>
      </c>
      <c r="BM34" s="10">
        <f>COUNTIFS(Tracking!E:E,A34,Tracking!D:D,C34,Tracking!C:C,"5v4",Tracking!M:M,"Y")</f>
        <v/>
      </c>
      <c r="BN34" s="10">
        <f>COUNTIFS(Tracking!G:G,A34,Tracking!D:D,C34,Tracking!C:C,"5v4",Tracking!M:M,"Y")</f>
        <v/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/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/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/>
      </c>
      <c r="BR34" s="12">
        <f>COUNTIFS(Tracking!E:E,A34,Tracking!D:D,C34,Tracking!C:C,"5v5",Tracking!F:F,"o")</f>
        <v/>
      </c>
      <c r="BS34" s="12">
        <f>COUNTIFS(Tracking!E:E,A34,Tracking!D:D,C34,Tracking!C:C,"5v5",Tracking!F:F,"r")</f>
        <v/>
      </c>
      <c r="BT34" s="12">
        <f>COUNTIFS(Tracking!E:E,A34,Tracking!D:D,C34,Tracking!C:C,"5v5",Tracking!F:F,"t")</f>
        <v/>
      </c>
      <c r="BU34" s="12">
        <f>COUNTIFS(Tracking!G:G,A34,Tracking!D:D,C34,Tracking!C:C,"5v5",Tracking!F:F,"o")</f>
        <v/>
      </c>
      <c r="BV34" s="12">
        <f>COUNTIFS(Tracking!E:E,A33,Tracking!D:D,C34,Tracking!C:C,"5v5",Tracking!F:F,"r")</f>
        <v/>
      </c>
      <c r="BW34" s="12">
        <f>COUNTIFS(Tracking!G:G,A34,Tracking!D:D,C34,Tracking!C:C,"5v5",Tracking!F:F,"T")</f>
        <v/>
      </c>
      <c r="BX34" s="12">
        <f>COUNTIFS(Tracking!E:E,A34,Tracking!D:D,C34,Tracking!C:C,"5v5",Tracking!Q:Q,"OZ")</f>
        <v/>
      </c>
      <c r="BY34" s="12">
        <f>COUNTIFS(Tracking!E:E,A34,Tracking!D:D,C34,Tracking!C:C,"5v5",Tracking!Q:Q,"nZ")</f>
        <v/>
      </c>
      <c r="BZ34" s="12">
        <f>COUNTIFS(Tracking!E:E,A34,Tracking!D:D,C34,Tracking!C:C,"5v5",Tracking!Q:Q,"dZ")</f>
        <v/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/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/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/>
      </c>
      <c r="CD34" s="12">
        <f>COUNTIFS(Tracking!E:E,A34,Tracking!D:D,C34,Tracking!C:C,"5v5",Tracking!R:R,"dz exit")</f>
        <v/>
      </c>
      <c r="CE34" s="12">
        <f>COUNTIFS(Tracking!E:E,A34,Tracking!D:D,C34,Tracking!C:C,"5v5",Tracking!R:R,"dz counter")</f>
        <v/>
      </c>
      <c r="CF34" s="12">
        <f>COUNTIFS(Tracking!E:E,A34,Tracking!D:D,C34,Tracking!C:C,"5v5",Tracking!R:R,"nz turnover")</f>
        <v/>
      </c>
      <c r="CG34" s="12">
        <f>COUNTIFS(Tracking!E:E,A34,Tracking!D:D,C34,Tracking!C:C,"5v5",Tracking!R:R,"nz regroup")</f>
        <v/>
      </c>
      <c r="CH34" s="12">
        <f>COUNTIFS(Tracking!E:E,A34,Tracking!D:D,C34,Tracking!C:C,"5v5",Tracking!R:R,"nz reload")</f>
        <v/>
      </c>
      <c r="CI34" s="12">
        <f>COUNTIFS(Tracking!E:E,A34,Tracking!D:D,C34,Tracking!C:C,"5v5",Tracking!R:R,"controlled breakout")</f>
        <v/>
      </c>
      <c r="CJ34" s="2">
        <f>CK34+CL34+CM34+CN34+CO34+CP34</f>
        <v/>
      </c>
      <c r="CK34" s="2">
        <f>(0.075*H34)+(0.07*L34)+(0.055*M34)+(0.055*N34)+(0.095*J34)+(0.09*O34)+(0.05*P34)+(0.05*R34)+(0.05*S34)+(0.05*AB34)</f>
        <v/>
      </c>
      <c r="CL34" s="2">
        <f>(0.045*AD34)-(0.045*AE34)+(0.055*AH34)+(0.035*AI34)</f>
        <v/>
      </c>
      <c r="CM34" s="2">
        <f>(0.015*(AY34-AZ34))+(0.035*BA34)-(0.015*BB34)-(0.025*BC34)+(0.015*(AY34-(BD34+BC34)))</f>
        <v/>
      </c>
      <c r="CN34" s="2">
        <f>(0.035*AN34)+(0.025*AS34)-(0.035*AT34)-(0.035*AV34)</f>
        <v/>
      </c>
      <c r="CO34" s="2">
        <f>(0.015*AJ34)+(0.045*AG34)</f>
        <v/>
      </c>
      <c r="CP34" s="2">
        <f>(0.055*BM34)+(0.055*BN34)+(0.035*BO34)+(0.035*BQ34)+(0.055*BH34)+(0.035*BI34)+(0.035*BG34)</f>
        <v/>
      </c>
      <c r="CQ34" s="2">
        <f>CK34+CL34+CM34+CN34+CO34</f>
        <v/>
      </c>
    </row>
    <row r="35">
      <c r="A35" s="8" t="n">
        <v>70</v>
      </c>
      <c r="B35" s="8" t="inlineStr">
        <is>
          <t>Sam Malinski</t>
        </is>
      </c>
      <c r="C35" s="8" t="inlineStr">
        <is>
          <t>COL</t>
        </is>
      </c>
      <c r="D35" s="8" t="inlineStr">
        <is>
          <t>D</t>
        </is>
      </c>
      <c r="E35" s="8" t="n">
        <v>15.066666666667</v>
      </c>
      <c r="F35" s="8" t="inlineStr">
        <is>
          <t>2025-26</t>
        </is>
      </c>
      <c r="G35" s="19" t="inlineStr">
        <is>
          <t>3/6/2026 DAL vs. COL</t>
        </is>
      </c>
      <c r="H35" s="9">
        <f>COUNTIFS(Tracking!E:E,A35,Tracking!D:D,C35,Tracking!C:C,"5v5")</f>
        <v/>
      </c>
      <c r="I35" s="9">
        <f>COUNTIFS(Tracking!E:E,A35,Tracking!D:D,C35,Tracking!N:N,"y",Tracking!C:C,"5v5")</f>
        <v/>
      </c>
      <c r="J35" s="9">
        <f>COUNTIFS(Tracking!E:E,A35,Tracking!D:D,C35,Tracking!M:M,"y",Tracking!C:C,"5v5")</f>
        <v/>
      </c>
      <c r="K35" s="9">
        <f>L35+M35+N35</f>
        <v/>
      </c>
      <c r="L35" s="9">
        <f>COUNTIFS(Tracking!G:G,A35,Tracking!D:D,C35,Tracking!C:C,"5v5")</f>
        <v/>
      </c>
      <c r="M35" s="9">
        <f>COUNTIFS(Tracking!H:H,A35,Tracking!D:D,C35,Tracking!C:C,"5v5")</f>
        <v/>
      </c>
      <c r="N35" s="9">
        <f>COUNTIFS(Tracking!I:I,A35,Tracking!D:D,C35,Tracking!C:C,"5v5")</f>
        <v/>
      </c>
      <c r="O35" s="9">
        <f>COUNTIFS(Tracking!G:G,A35,Tracking!D:D,C35,Tracking!C:C,"5v5",Tracking!M:M,"y")</f>
        <v/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/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/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/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/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/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/>
      </c>
      <c r="V35" s="9">
        <f>COUNTIFS(Tracking!E:E,A35,Tracking!D:D,C35,Tracking!C:C,"5v5",Tracking!P:P,"r")</f>
        <v/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/>
      </c>
      <c r="X35" s="9">
        <f>COUNTIFS(Tracking!E:E,A35,Tracking!D:D,C35,Tracking!C:C,"5v5",Tracking!P:P,"f")</f>
        <v/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/>
      </c>
      <c r="Z35" s="9">
        <f>COUNTIFS(Tracking!E:E,A35,Tracking!D:D,C35,Tracking!C:C,"5v5",Tracking!P:P,"c")</f>
        <v/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/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/>
      </c>
      <c r="AC35" s="11">
        <f>COUNTIFS(Tracking!Z:Z,A35&amp;C35,Tracking!C:C,"5v5")-AE35</f>
        <v/>
      </c>
      <c r="AD35" s="11">
        <f>COUNTIFS(Tracking!Z:Z,A35&amp;C35,Tracking!C:C,"5v5",Tracking!Y:Y,"C")</f>
        <v/>
      </c>
      <c r="AE35" s="11">
        <f>COUNTIFS(Tracking!Z:Z,A35&amp;C35,Tracking!C:C,"5v5",Tracking!Y:Y,"F")</f>
        <v/>
      </c>
      <c r="AF35" s="11">
        <f>COUNTIFS(Tracking!Z:Z,A35&amp;C35,Tracking!C:C,"5v5",Tracking!Y:Y,"C",Tracking!AB:AB,"Y")</f>
        <v/>
      </c>
      <c r="AG35" s="11">
        <f>COUNTIFS(Tracking!AD:AD,A35&amp;C35,Tracking!C:C,"5v5")</f>
        <v/>
      </c>
      <c r="AH35" s="11">
        <f>COUNTIFS(Tracking!Z:Z,A35&amp;C35,Tracking!C:C,"5v5",Tracking!Y:Y,"C",Tracking!AE:AE,"Y")</f>
        <v/>
      </c>
      <c r="AI35" s="11">
        <f>COUNTIFS(Tracking!Z:Z,A35&amp;C35,Tracking!C:C,"5v5",Tracking!Y:Y,"D",Tracking!AE:AE,"Y")</f>
        <v/>
      </c>
      <c r="AJ35" s="11">
        <f>COUNTIFS(Tracking!AH:AH,A35&amp;C35)</f>
        <v/>
      </c>
      <c r="AK35" s="5">
        <f>COUNTIFS(Tracking!AI:AI,A35&amp;C35,Tracking!C:C,"5v5")+AL35</f>
        <v/>
      </c>
      <c r="AL35" s="5">
        <f>COUNTIFS(Tracking!AF:AF,A35&amp;C35,Tracking!C:C,"5v5")-AT35</f>
        <v/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/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/>
      </c>
      <c r="AO35" s="5">
        <f>COUNTIFS(Tracking!AF:AF,A35&amp;C35,Tracking!C:C,"5v5",Tracking!AG:AG,"CEX")+COUNTIFS(Tracking!AI:AI,A35&amp;C35,Tracking!C:C,"5v5",Tracking!AJ:AJ,"CEX")</f>
        <v/>
      </c>
      <c r="AP35" s="5">
        <f>COUNTIFS(Tracking!AF:AF,A35&amp;C35,Tracking!C:C,"5v5",Tracking!AG:AG,"PEX")</f>
        <v/>
      </c>
      <c r="AQ35" s="5">
        <f>COUNTIFS(Tracking!AF:AF,A35&amp;C35,Tracking!C:C,"5v5",Tracking!AG:AG,"CLE")+COUNTIFS(Tracking!AI:AI,A35&amp;C35,Tracking!C:C,"5v5",Tracking!AJ:AJ,"CLE")</f>
        <v/>
      </c>
      <c r="AR35" s="5">
        <f>COUNTIFS(Tracking!AF:AF,A35&amp;C35,Tracking!C:C,"5v5",Tracking!AG:AG,"MEX")</f>
        <v/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/>
      </c>
      <c r="AT35" s="5">
        <f>COUNTIFS(Tracking!AF:AF,A35&amp;C35,Tracking!C:C,"5v5",Tracking!AG:AG,"BOT")+COUNTIFS(Tracking!AF:AF,A35&amp;C35,Tracking!C:C,"5v5",Tracking!AG:AG,"FEX")</f>
        <v/>
      </c>
      <c r="AU35" s="5">
        <f>COUNTIFS(Tracking!AF:AF,A35&amp;C35,Tracking!C:C,"5v5",Tracking!AG:AG,"EXC")</f>
        <v/>
      </c>
      <c r="AV35" s="5">
        <f>COUNTIFS(Tracking!AF:AF,A35&amp;C35,Tracking!C:C,"5v5",Tracking!AG:AG,"FEX")+COUNTIFS(Tracking!AI:AI,A35&amp;C35,Tracking!C:C,"5v5",Tracking!AJ:AJ,"FEX")</f>
        <v/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/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/>
      </c>
      <c r="AY35" s="1">
        <f>COUNTIFS(Tracking!AA:AA,A35&amp;C35,Tracking!C:C,"5v5")</f>
        <v/>
      </c>
      <c r="AZ35" s="1">
        <f>COUNTIFS(Tracking!AA:AA,A35&amp;C35,Tracking!C:C,"5v5",Tracking!Y:Y,"C")</f>
        <v/>
      </c>
      <c r="BA35" s="1">
        <f>COUNTIFS(Tracking!AA:AA,A35&amp;C35,Tracking!C:C,"5v5",Tracking!Y:Y,"F")</f>
        <v/>
      </c>
      <c r="BB35" s="1">
        <f>COUNTIFS(Tracking!AA:AA,A35&amp;C35,Tracking!C:C,"5v5",Tracking!AB:AB,"Y")</f>
        <v/>
      </c>
      <c r="BC35" s="1">
        <f>COUNTIFS(Tracking!AA:AA,A35&amp;C35,Tracking!C:C,"5v5",Tracking!Y:Y,"C",Tracking!AE:AE,"Y")</f>
        <v/>
      </c>
      <c r="BD35" s="1">
        <f>COUNTIFS(Tracking!AA:AA,A35&amp;C35,Tracking!C:C,"5v5",Tracking!Y:Y,"D",Tracking!AE:AE,"Y")</f>
        <v/>
      </c>
      <c r="BE35" s="10">
        <f>COUNTIFS(Tracking!Z:Z,A35&amp;C35,Tracking!C:C,"5v4")</f>
        <v/>
      </c>
      <c r="BF35" s="10">
        <f>COUNTIFS(Tracking!Z:Z,A35&amp;C35,Tracking!C:C,"5v4",Tracking!Y:Y,"C")</f>
        <v/>
      </c>
      <c r="BG35" s="10">
        <f>COUNTIFS(Tracking!Z:Z,A35&amp;C35,Tracking!C:C,"5v4",Tracking!AB:AB,"Y")</f>
        <v/>
      </c>
      <c r="BH35" s="10">
        <f>COUNTIFS(Tracking!Z:Z,A35&amp;C35,Tracking!C:C,"4v5")</f>
        <v/>
      </c>
      <c r="BI35" s="10">
        <f>COUNTIFS(Tracking!AA:AA,A35&amp;C35,Tracking!C:C,"5v4",Tracking!Y:Y,"D")+COUNTIFS(Tracking!AA:AA,A35&amp;C35,Tracking!C:C,"5v4",Tracking!Y:Y,"F")</f>
        <v/>
      </c>
      <c r="BJ35" s="10">
        <f>COUNTIFS(Tracking!E:E,A35,Tracking!D:D,C35,Tracking!C:C,"5v4")</f>
        <v/>
      </c>
      <c r="BK35" s="10">
        <f>COUNTIFS(Tracking!G:G,A35,Tracking!D:D,C35,Tracking!C:C,"5v4")+COUNTIFS(Tracking!H:H,A35,Tracking!D:D,C35,Tracking!C:C,"5v4")+COUNTIFS(Tracking!I:I,A35,Tracking!D:D,C35,Tracking!C:C,"5v4")</f>
        <v/>
      </c>
      <c r="BL35" s="10">
        <f>COUNTIFS(Tracking!G:G,A35,Tracking!D:D,C35,Tracking!C:C,"5v4")</f>
        <v/>
      </c>
      <c r="BM35" s="10">
        <f>COUNTIFS(Tracking!E:E,A35,Tracking!D:D,C35,Tracking!C:C,"5v4",Tracking!M:M,"Y")</f>
        <v/>
      </c>
      <c r="BN35" s="10">
        <f>COUNTIFS(Tracking!G:G,A35,Tracking!D:D,C35,Tracking!C:C,"5v4",Tracking!M:M,"Y")</f>
        <v/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/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/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/>
      </c>
      <c r="BR35" s="12">
        <f>COUNTIFS(Tracking!E:E,A35,Tracking!D:D,C35,Tracking!C:C,"5v5",Tracking!F:F,"o")</f>
        <v/>
      </c>
      <c r="BS35" s="12">
        <f>COUNTIFS(Tracking!E:E,A35,Tracking!D:D,C35,Tracking!C:C,"5v5",Tracking!F:F,"r")</f>
        <v/>
      </c>
      <c r="BT35" s="12">
        <f>COUNTIFS(Tracking!E:E,A35,Tracking!D:D,C35,Tracking!C:C,"5v5",Tracking!F:F,"t")</f>
        <v/>
      </c>
      <c r="BU35" s="12">
        <f>COUNTIFS(Tracking!G:G,A35,Tracking!D:D,C35,Tracking!C:C,"5v5",Tracking!F:F,"o")</f>
        <v/>
      </c>
      <c r="BV35" s="12">
        <f>COUNTIFS(Tracking!E:E,A34,Tracking!D:D,C35,Tracking!C:C,"5v5",Tracking!F:F,"r")</f>
        <v/>
      </c>
      <c r="BW35" s="12">
        <f>COUNTIFS(Tracking!G:G,A35,Tracking!D:D,C35,Tracking!C:C,"5v5",Tracking!F:F,"T")</f>
        <v/>
      </c>
      <c r="BX35" s="12">
        <f>COUNTIFS(Tracking!E:E,A35,Tracking!D:D,C35,Tracking!C:C,"5v5",Tracking!Q:Q,"OZ")</f>
        <v/>
      </c>
      <c r="BY35" s="12">
        <f>COUNTIFS(Tracking!E:E,A35,Tracking!D:D,C35,Tracking!C:C,"5v5",Tracking!Q:Q,"nZ")</f>
        <v/>
      </c>
      <c r="BZ35" s="12">
        <f>COUNTIFS(Tracking!E:E,A35,Tracking!D:D,C35,Tracking!C:C,"5v5",Tracking!Q:Q,"dZ")</f>
        <v/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/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/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/>
      </c>
      <c r="CD35" s="12">
        <f>COUNTIFS(Tracking!E:E,A35,Tracking!D:D,C35,Tracking!C:C,"5v5",Tracking!R:R,"dz exit")</f>
        <v/>
      </c>
      <c r="CE35" s="12">
        <f>COUNTIFS(Tracking!E:E,A35,Tracking!D:D,C35,Tracking!C:C,"5v5",Tracking!R:R,"dz counter")</f>
        <v/>
      </c>
      <c r="CF35" s="12">
        <f>COUNTIFS(Tracking!E:E,A35,Tracking!D:D,C35,Tracking!C:C,"5v5",Tracking!R:R,"nz turnover")</f>
        <v/>
      </c>
      <c r="CG35" s="12">
        <f>COUNTIFS(Tracking!E:E,A35,Tracking!D:D,C35,Tracking!C:C,"5v5",Tracking!R:R,"nz regroup")</f>
        <v/>
      </c>
      <c r="CH35" s="12">
        <f>COUNTIFS(Tracking!E:E,A35,Tracking!D:D,C35,Tracking!C:C,"5v5",Tracking!R:R,"nz reload")</f>
        <v/>
      </c>
      <c r="CI35" s="12">
        <f>COUNTIFS(Tracking!E:E,A35,Tracking!D:D,C35,Tracking!C:C,"5v5",Tracking!R:R,"controlled breakout")</f>
        <v/>
      </c>
      <c r="CJ35" s="2">
        <f>CK35+CL35+CM35+CN35+CO35+CP35</f>
        <v/>
      </c>
      <c r="CK35" s="2">
        <f>(0.075*H35)+(0.07*L35)+(0.055*M35)+(0.055*N35)+(0.095*J35)+(0.09*O35)+(0.05*P35)+(0.05*R35)+(0.05*S35)+(0.05*AB35)</f>
        <v/>
      </c>
      <c r="CL35" s="2">
        <f>(0.045*AD35)-(0.045*AE35)+(0.055*AH35)+(0.035*AI35)</f>
        <v/>
      </c>
      <c r="CM35" s="2">
        <f>(0.015*(AY35-AZ35))+(0.035*BA35)-(0.015*BB35)-(0.025*BC35)+(0.015*(AY35-(BD35+BC35)))</f>
        <v/>
      </c>
      <c r="CN35" s="2">
        <f>(0.035*AN35)+(0.025*AS35)-(0.035*AT35)-(0.035*AV35)</f>
        <v/>
      </c>
      <c r="CO35" s="2">
        <f>(0.015*AJ35)+(0.045*AG35)</f>
        <v/>
      </c>
      <c r="CP35" s="2">
        <f>(0.055*BM35)+(0.055*BN35)+(0.035*BO35)+(0.035*BQ35)+(0.055*BH35)+(0.035*BI35)+(0.035*BG35)</f>
        <v/>
      </c>
      <c r="CQ35" s="2">
        <f>CK35+CL35+CM35+CN35+CO35</f>
        <v/>
      </c>
    </row>
    <row r="36">
      <c r="A36" s="8" t="n">
        <v>13</v>
      </c>
      <c r="B36" s="8" t="inlineStr">
        <is>
          <t>Valeri Nichushkin</t>
        </is>
      </c>
      <c r="C36" s="8" t="inlineStr">
        <is>
          <t>COL</t>
        </is>
      </c>
      <c r="D36" s="8" t="inlineStr">
        <is>
          <t>R</t>
        </is>
      </c>
      <c r="E36" s="8" t="n">
        <v>11.85</v>
      </c>
      <c r="F36" s="8" t="inlineStr">
        <is>
          <t>2025-26</t>
        </is>
      </c>
      <c r="G36" s="19" t="inlineStr">
        <is>
          <t>3/6/2026 DAL vs. COL</t>
        </is>
      </c>
      <c r="H36" s="9">
        <f>COUNTIFS(Tracking!E:E,A36,Tracking!D:D,C36,Tracking!C:C,"5v5")</f>
        <v/>
      </c>
      <c r="I36" s="9">
        <f>COUNTIFS(Tracking!E:E,A36,Tracking!D:D,C36,Tracking!N:N,"y",Tracking!C:C,"5v5")</f>
        <v/>
      </c>
      <c r="J36" s="9">
        <f>COUNTIFS(Tracking!E:E,A36,Tracking!D:D,C36,Tracking!M:M,"y",Tracking!C:C,"5v5")</f>
        <v/>
      </c>
      <c r="K36" s="9">
        <f>L36+M36+N36</f>
        <v/>
      </c>
      <c r="L36" s="9">
        <f>COUNTIFS(Tracking!G:G,A36,Tracking!D:D,C36,Tracking!C:C,"5v5")</f>
        <v/>
      </c>
      <c r="M36" s="9">
        <f>COUNTIFS(Tracking!H:H,A36,Tracking!D:D,C36,Tracking!C:C,"5v5")</f>
        <v/>
      </c>
      <c r="N36" s="9">
        <f>COUNTIFS(Tracking!I:I,A36,Tracking!D:D,C36,Tracking!C:C,"5v5")</f>
        <v/>
      </c>
      <c r="O36" s="9">
        <f>COUNTIFS(Tracking!G:G,A36,Tracking!D:D,C36,Tracking!C:C,"5v5",Tracking!M:M,"y")</f>
        <v/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/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/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/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/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/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/>
      </c>
      <c r="V36" s="9">
        <f>COUNTIFS(Tracking!E:E,A36,Tracking!D:D,C36,Tracking!C:C,"5v5",Tracking!P:P,"r")</f>
        <v/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/>
      </c>
      <c r="X36" s="9">
        <f>COUNTIFS(Tracking!E:E,A36,Tracking!D:D,C36,Tracking!C:C,"5v5",Tracking!P:P,"f")</f>
        <v/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/>
      </c>
      <c r="Z36" s="9">
        <f>COUNTIFS(Tracking!E:E,A36,Tracking!D:D,C36,Tracking!C:C,"5v5",Tracking!P:P,"c")</f>
        <v/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/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/>
      </c>
      <c r="AC36" s="11">
        <f>COUNTIFS(Tracking!Z:Z,A36&amp;C36,Tracking!C:C,"5v5")-AE36</f>
        <v/>
      </c>
      <c r="AD36" s="11">
        <f>COUNTIFS(Tracking!Z:Z,A36&amp;C36,Tracking!C:C,"5v5",Tracking!Y:Y,"C")</f>
        <v/>
      </c>
      <c r="AE36" s="11">
        <f>COUNTIFS(Tracking!Z:Z,A36&amp;C36,Tracking!C:C,"5v5",Tracking!Y:Y,"F")</f>
        <v/>
      </c>
      <c r="AF36" s="11">
        <f>COUNTIFS(Tracking!Z:Z,A36&amp;C36,Tracking!C:C,"5v5",Tracking!Y:Y,"C",Tracking!AB:AB,"Y")</f>
        <v/>
      </c>
      <c r="AG36" s="11">
        <f>COUNTIFS(Tracking!AD:AD,A36&amp;C36,Tracking!C:C,"5v5")</f>
        <v/>
      </c>
      <c r="AH36" s="11">
        <f>COUNTIFS(Tracking!Z:Z,A36&amp;C36,Tracking!C:C,"5v5",Tracking!Y:Y,"C",Tracking!AE:AE,"Y")</f>
        <v/>
      </c>
      <c r="AI36" s="11">
        <f>COUNTIFS(Tracking!Z:Z,A36&amp;C36,Tracking!C:C,"5v5",Tracking!Y:Y,"D",Tracking!AE:AE,"Y")</f>
        <v/>
      </c>
      <c r="AJ36" s="11">
        <f>COUNTIFS(Tracking!AH:AH,A36&amp;C36)</f>
        <v/>
      </c>
      <c r="AK36" s="5">
        <f>COUNTIFS(Tracking!AI:AI,A36&amp;C36,Tracking!C:C,"5v5")+AL36</f>
        <v/>
      </c>
      <c r="AL36" s="5">
        <f>COUNTIFS(Tracking!AF:AF,A36&amp;C36,Tracking!C:C,"5v5")-AT36</f>
        <v/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/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/>
      </c>
      <c r="AO36" s="5">
        <f>COUNTIFS(Tracking!AF:AF,A36&amp;C36,Tracking!C:C,"5v5",Tracking!AG:AG,"CEX")+COUNTIFS(Tracking!AI:AI,A36&amp;C36,Tracking!C:C,"5v5",Tracking!AJ:AJ,"CEX")</f>
        <v/>
      </c>
      <c r="AP36" s="5">
        <f>COUNTIFS(Tracking!AF:AF,A36&amp;C36,Tracking!C:C,"5v5",Tracking!AG:AG,"PEX")</f>
        <v/>
      </c>
      <c r="AQ36" s="5">
        <f>COUNTIFS(Tracking!AF:AF,A36&amp;C36,Tracking!C:C,"5v5",Tracking!AG:AG,"CLE")+COUNTIFS(Tracking!AI:AI,A36&amp;C36,Tracking!C:C,"5v5",Tracking!AJ:AJ,"CLE")</f>
        <v/>
      </c>
      <c r="AR36" s="5">
        <f>COUNTIFS(Tracking!AF:AF,A36&amp;C36,Tracking!C:C,"5v5",Tracking!AG:AG,"MEX")</f>
        <v/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/>
      </c>
      <c r="AT36" s="5">
        <f>COUNTIFS(Tracking!AF:AF,A36&amp;C36,Tracking!C:C,"5v5",Tracking!AG:AG,"BOT")+COUNTIFS(Tracking!AF:AF,A36&amp;C36,Tracking!C:C,"5v5",Tracking!AG:AG,"FEX")</f>
        <v/>
      </c>
      <c r="AU36" s="5">
        <f>COUNTIFS(Tracking!AF:AF,A36&amp;C36,Tracking!C:C,"5v5",Tracking!AG:AG,"EXC")</f>
        <v/>
      </c>
      <c r="AV36" s="5">
        <f>COUNTIFS(Tracking!AF:AF,A36&amp;C36,Tracking!C:C,"5v5",Tracking!AG:AG,"FEX")+COUNTIFS(Tracking!AI:AI,A36&amp;C36,Tracking!C:C,"5v5",Tracking!AJ:AJ,"FEX")</f>
        <v/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/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/>
      </c>
      <c r="AY36" s="1">
        <f>COUNTIFS(Tracking!AA:AA,A36&amp;C36,Tracking!C:C,"5v5")</f>
        <v/>
      </c>
      <c r="AZ36" s="1">
        <f>COUNTIFS(Tracking!AA:AA,A36&amp;C36,Tracking!C:C,"5v5",Tracking!Y:Y,"C")</f>
        <v/>
      </c>
      <c r="BA36" s="1">
        <f>COUNTIFS(Tracking!AA:AA,A36&amp;C36,Tracking!C:C,"5v5",Tracking!Y:Y,"F")</f>
        <v/>
      </c>
      <c r="BB36" s="1">
        <f>COUNTIFS(Tracking!AA:AA,A36&amp;C36,Tracking!C:C,"5v5",Tracking!AB:AB,"Y")</f>
        <v/>
      </c>
      <c r="BC36" s="1">
        <f>COUNTIFS(Tracking!AA:AA,A36&amp;C36,Tracking!C:C,"5v5",Tracking!Y:Y,"C",Tracking!AE:AE,"Y")</f>
        <v/>
      </c>
      <c r="BD36" s="1">
        <f>COUNTIFS(Tracking!AA:AA,A36&amp;C36,Tracking!C:C,"5v5",Tracking!Y:Y,"D",Tracking!AE:AE,"Y")</f>
        <v/>
      </c>
      <c r="BE36" s="10">
        <f>COUNTIFS(Tracking!Z:Z,A36&amp;C36,Tracking!C:C,"5v4")</f>
        <v/>
      </c>
      <c r="BF36" s="10">
        <f>COUNTIFS(Tracking!Z:Z,A36&amp;C36,Tracking!C:C,"5v4",Tracking!Y:Y,"C")</f>
        <v/>
      </c>
      <c r="BG36" s="10">
        <f>COUNTIFS(Tracking!Z:Z,A36&amp;C36,Tracking!C:C,"5v4",Tracking!AB:AB,"Y")</f>
        <v/>
      </c>
      <c r="BH36" s="10">
        <f>COUNTIFS(Tracking!Z:Z,A36&amp;C36,Tracking!C:C,"4v5")</f>
        <v/>
      </c>
      <c r="BI36" s="10">
        <f>COUNTIFS(Tracking!AA:AA,A36&amp;C36,Tracking!C:C,"5v4",Tracking!Y:Y,"D")+COUNTIFS(Tracking!AA:AA,A36&amp;C36,Tracking!C:C,"5v4",Tracking!Y:Y,"F")</f>
        <v/>
      </c>
      <c r="BJ36" s="10">
        <f>COUNTIFS(Tracking!E:E,A36,Tracking!D:D,C36,Tracking!C:C,"5v4")</f>
        <v/>
      </c>
      <c r="BK36" s="10">
        <f>COUNTIFS(Tracking!G:G,A36,Tracking!D:D,C36,Tracking!C:C,"5v4")+COUNTIFS(Tracking!H:H,A36,Tracking!D:D,C36,Tracking!C:C,"5v4")+COUNTIFS(Tracking!I:I,A36,Tracking!D:D,C36,Tracking!C:C,"5v4")</f>
        <v/>
      </c>
      <c r="BL36" s="10">
        <f>COUNTIFS(Tracking!G:G,A36,Tracking!D:D,C36,Tracking!C:C,"5v4")</f>
        <v/>
      </c>
      <c r="BM36" s="10">
        <f>COUNTIFS(Tracking!E:E,A36,Tracking!D:D,C36,Tracking!C:C,"5v4",Tracking!M:M,"Y")</f>
        <v/>
      </c>
      <c r="BN36" s="10">
        <f>COUNTIFS(Tracking!G:G,A36,Tracking!D:D,C36,Tracking!C:C,"5v4",Tracking!M:M,"Y")</f>
        <v/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/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/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/>
      </c>
      <c r="BR36" s="12">
        <f>COUNTIFS(Tracking!E:E,A36,Tracking!D:D,C36,Tracking!C:C,"5v5",Tracking!F:F,"o")</f>
        <v/>
      </c>
      <c r="BS36" s="12">
        <f>COUNTIFS(Tracking!E:E,A36,Tracking!D:D,C36,Tracking!C:C,"5v5",Tracking!F:F,"r")</f>
        <v/>
      </c>
      <c r="BT36" s="12">
        <f>COUNTIFS(Tracking!E:E,A36,Tracking!D:D,C36,Tracking!C:C,"5v5",Tracking!F:F,"t")</f>
        <v/>
      </c>
      <c r="BU36" s="12">
        <f>COUNTIFS(Tracking!G:G,A36,Tracking!D:D,C36,Tracking!C:C,"5v5",Tracking!F:F,"o")</f>
        <v/>
      </c>
      <c r="BV36" s="12">
        <f>COUNTIFS(Tracking!E:E,A35,Tracking!D:D,C36,Tracking!C:C,"5v5",Tracking!F:F,"r")</f>
        <v/>
      </c>
      <c r="BW36" s="12">
        <f>COUNTIFS(Tracking!G:G,A36,Tracking!D:D,C36,Tracking!C:C,"5v5",Tracking!F:F,"T")</f>
        <v/>
      </c>
      <c r="BX36" s="12">
        <f>COUNTIFS(Tracking!E:E,A36,Tracking!D:D,C36,Tracking!C:C,"5v5",Tracking!Q:Q,"OZ")</f>
        <v/>
      </c>
      <c r="BY36" s="12">
        <f>COUNTIFS(Tracking!E:E,A36,Tracking!D:D,C36,Tracking!C:C,"5v5",Tracking!Q:Q,"nZ")</f>
        <v/>
      </c>
      <c r="BZ36" s="12">
        <f>COUNTIFS(Tracking!E:E,A36,Tracking!D:D,C36,Tracking!C:C,"5v5",Tracking!Q:Q,"dZ")</f>
        <v/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/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/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/>
      </c>
      <c r="CD36" s="12">
        <f>COUNTIFS(Tracking!E:E,A36,Tracking!D:D,C36,Tracking!C:C,"5v5",Tracking!R:R,"dz exit")</f>
        <v/>
      </c>
      <c r="CE36" s="12">
        <f>COUNTIFS(Tracking!E:E,A36,Tracking!D:D,C36,Tracking!C:C,"5v5",Tracking!R:R,"dz counter")</f>
        <v/>
      </c>
      <c r="CF36" s="12">
        <f>COUNTIFS(Tracking!E:E,A36,Tracking!D:D,C36,Tracking!C:C,"5v5",Tracking!R:R,"nz turnover")</f>
        <v/>
      </c>
      <c r="CG36" s="12">
        <f>COUNTIFS(Tracking!E:E,A36,Tracking!D:D,C36,Tracking!C:C,"5v5",Tracking!R:R,"nz regroup")</f>
        <v/>
      </c>
      <c r="CH36" s="12">
        <f>COUNTIFS(Tracking!E:E,A36,Tracking!D:D,C36,Tracking!C:C,"5v5",Tracking!R:R,"nz reload")</f>
        <v/>
      </c>
      <c r="CI36" s="12">
        <f>COUNTIFS(Tracking!E:E,A36,Tracking!D:D,C36,Tracking!C:C,"5v5",Tracking!R:R,"controlled breakout")</f>
        <v/>
      </c>
      <c r="CJ36" s="2">
        <f>CK36+CL36+CM36+CN36+CO36+CP36</f>
        <v/>
      </c>
      <c r="CK36" s="2">
        <f>(0.075*H36)+(0.07*L36)+(0.055*M36)+(0.055*N36)+(0.095*J36)+(0.09*O36)+(0.05*P36)+(0.05*R36)+(0.05*S36)+(0.05*AB36)</f>
        <v/>
      </c>
      <c r="CL36" s="2">
        <f>(0.045*AD36)-(0.045*AE36)+(0.055*AH36)+(0.035*AI36)</f>
        <v/>
      </c>
      <c r="CM36" s="2">
        <f>(0.015*(AY36-AZ36))+(0.035*BA36)-(0.015*BB36)-(0.025*BC36)+(0.015*(AY36-(BD36+BC36)))</f>
        <v/>
      </c>
      <c r="CN36" s="2">
        <f>(0.035*AN36)+(0.025*AS36)-(0.035*AT36)-(0.035*AV36)</f>
        <v/>
      </c>
      <c r="CO36" s="2">
        <f>(0.015*AJ36)+(0.045*AG36)</f>
        <v/>
      </c>
      <c r="CP36" s="2">
        <f>(0.055*BM36)+(0.055*BN36)+(0.035*BO36)+(0.035*BQ36)+(0.055*BH36)+(0.035*BI36)+(0.035*BG36)</f>
        <v/>
      </c>
      <c r="CQ36" s="2">
        <f>CK36+CL36+CM36+CN36+CO36</f>
        <v/>
      </c>
    </row>
    <row r="37">
      <c r="A37" s="8" t="n">
        <v>93</v>
      </c>
      <c r="B37" s="8" t="inlineStr">
        <is>
          <t>Zakhar Bardakov</t>
        </is>
      </c>
      <c r="C37" s="8" t="inlineStr">
        <is>
          <t>COL</t>
        </is>
      </c>
      <c r="D37" s="8" t="inlineStr">
        <is>
          <t>C</t>
        </is>
      </c>
      <c r="E37" s="8" t="n">
        <v>6.15</v>
      </c>
      <c r="F37" s="8" t="inlineStr">
        <is>
          <t>2025-26</t>
        </is>
      </c>
      <c r="G37" s="19" t="inlineStr">
        <is>
          <t>3/6/2026 DAL vs. COL</t>
        </is>
      </c>
      <c r="H37" s="9">
        <f>COUNTIFS(Tracking!E:E,A37,Tracking!D:D,C37,Tracking!C:C,"5v5")</f>
        <v/>
      </c>
      <c r="I37" s="9">
        <f>COUNTIFS(Tracking!E:E,A37,Tracking!D:D,C37,Tracking!N:N,"y",Tracking!C:C,"5v5")</f>
        <v/>
      </c>
      <c r="J37" s="9">
        <f>COUNTIFS(Tracking!E:E,A37,Tracking!D:D,C37,Tracking!M:M,"y",Tracking!C:C,"5v5")</f>
        <v/>
      </c>
      <c r="K37" s="9">
        <f>L37+M37+N37</f>
        <v/>
      </c>
      <c r="L37" s="9">
        <f>COUNTIFS(Tracking!G:G,A37,Tracking!D:D,C37,Tracking!C:C,"5v5")</f>
        <v/>
      </c>
      <c r="M37" s="9">
        <f>COUNTIFS(Tracking!H:H,A37,Tracking!D:D,C37,Tracking!C:C,"5v5")</f>
        <v/>
      </c>
      <c r="N37" s="9">
        <f>COUNTIFS(Tracking!I:I,A37,Tracking!D:D,C37,Tracking!C:C,"5v5")</f>
        <v/>
      </c>
      <c r="O37" s="9">
        <f>COUNTIFS(Tracking!G:G,A37,Tracking!D:D,C37,Tracking!C:C,"5v5",Tracking!M:M,"y")</f>
        <v/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/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/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/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/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/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/>
      </c>
      <c r="V37" s="9">
        <f>COUNTIFS(Tracking!E:E,A37,Tracking!D:D,C37,Tracking!C:C,"5v5",Tracking!P:P,"r")</f>
        <v/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/>
      </c>
      <c r="X37" s="9">
        <f>COUNTIFS(Tracking!E:E,A37,Tracking!D:D,C37,Tracking!C:C,"5v5",Tracking!P:P,"f")</f>
        <v/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/>
      </c>
      <c r="Z37" s="9">
        <f>COUNTIFS(Tracking!E:E,A37,Tracking!D:D,C37,Tracking!C:C,"5v5",Tracking!P:P,"c")</f>
        <v/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/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/>
      </c>
      <c r="AC37" s="11">
        <f>COUNTIFS(Tracking!Z:Z,A37&amp;C37,Tracking!C:C,"5v5")-AE37</f>
        <v/>
      </c>
      <c r="AD37" s="11">
        <f>COUNTIFS(Tracking!Z:Z,A37&amp;C37,Tracking!C:C,"5v5",Tracking!Y:Y,"C")</f>
        <v/>
      </c>
      <c r="AE37" s="11">
        <f>COUNTIFS(Tracking!Z:Z,A37&amp;C37,Tracking!C:C,"5v5",Tracking!Y:Y,"F")</f>
        <v/>
      </c>
      <c r="AF37" s="11">
        <f>COUNTIFS(Tracking!Z:Z,A37&amp;C37,Tracking!C:C,"5v5",Tracking!Y:Y,"C",Tracking!AB:AB,"Y")</f>
        <v/>
      </c>
      <c r="AG37" s="11">
        <f>COUNTIFS(Tracking!AD:AD,A37&amp;C37,Tracking!C:C,"5v5")</f>
        <v/>
      </c>
      <c r="AH37" s="11">
        <f>COUNTIFS(Tracking!Z:Z,A37&amp;C37,Tracking!C:C,"5v5",Tracking!Y:Y,"C",Tracking!AE:AE,"Y")</f>
        <v/>
      </c>
      <c r="AI37" s="11">
        <f>COUNTIFS(Tracking!Z:Z,A37&amp;C37,Tracking!C:C,"5v5",Tracking!Y:Y,"D",Tracking!AE:AE,"Y")</f>
        <v/>
      </c>
      <c r="AJ37" s="11">
        <f>COUNTIFS(Tracking!AH:AH,A37&amp;C37)</f>
        <v/>
      </c>
      <c r="AK37" s="5">
        <f>COUNTIFS(Tracking!AI:AI,A37&amp;C37,Tracking!C:C,"5v5")+AL37</f>
        <v/>
      </c>
      <c r="AL37" s="5">
        <f>COUNTIFS(Tracking!AF:AF,A37&amp;C37,Tracking!C:C,"5v5")-AT37</f>
        <v/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/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/>
      </c>
      <c r="AO37" s="5">
        <f>COUNTIFS(Tracking!AF:AF,A37&amp;C37,Tracking!C:C,"5v5",Tracking!AG:AG,"CEX")+COUNTIFS(Tracking!AI:AI,A37&amp;C37,Tracking!C:C,"5v5",Tracking!AJ:AJ,"CEX")</f>
        <v/>
      </c>
      <c r="AP37" s="5">
        <f>COUNTIFS(Tracking!AF:AF,A37&amp;C37,Tracking!C:C,"5v5",Tracking!AG:AG,"PEX")</f>
        <v/>
      </c>
      <c r="AQ37" s="5">
        <f>COUNTIFS(Tracking!AF:AF,A37&amp;C37,Tracking!C:C,"5v5",Tracking!AG:AG,"CLE")+COUNTIFS(Tracking!AI:AI,A37&amp;C37,Tracking!C:C,"5v5",Tracking!AJ:AJ,"CLE")</f>
        <v/>
      </c>
      <c r="AR37" s="5">
        <f>COUNTIFS(Tracking!AF:AF,A37&amp;C37,Tracking!C:C,"5v5",Tracking!AG:AG,"MEX")</f>
        <v/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/>
      </c>
      <c r="AT37" s="5">
        <f>COUNTIFS(Tracking!AF:AF,A37&amp;C37,Tracking!C:C,"5v5",Tracking!AG:AG,"BOT")+COUNTIFS(Tracking!AF:AF,A37&amp;C37,Tracking!C:C,"5v5",Tracking!AG:AG,"FEX")</f>
        <v/>
      </c>
      <c r="AU37" s="5">
        <f>COUNTIFS(Tracking!AF:AF,A37&amp;C37,Tracking!C:C,"5v5",Tracking!AG:AG,"EXC")</f>
        <v/>
      </c>
      <c r="AV37" s="5">
        <f>COUNTIFS(Tracking!AF:AF,A37&amp;C37,Tracking!C:C,"5v5",Tracking!AG:AG,"FEX")+COUNTIFS(Tracking!AI:AI,A37&amp;C37,Tracking!C:C,"5v5",Tracking!AJ:AJ,"FEX")</f>
        <v/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/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/>
      </c>
      <c r="AY37" s="1">
        <f>COUNTIFS(Tracking!AA:AA,A37&amp;C37,Tracking!C:C,"5v5")</f>
        <v/>
      </c>
      <c r="AZ37" s="1">
        <f>COUNTIFS(Tracking!AA:AA,A37&amp;C37,Tracking!C:C,"5v5",Tracking!Y:Y,"C")</f>
        <v/>
      </c>
      <c r="BA37" s="1">
        <f>COUNTIFS(Tracking!AA:AA,A37&amp;C37,Tracking!C:C,"5v5",Tracking!Y:Y,"F")</f>
        <v/>
      </c>
      <c r="BB37" s="1">
        <f>COUNTIFS(Tracking!AA:AA,A37&amp;C37,Tracking!C:C,"5v5",Tracking!AB:AB,"Y")</f>
        <v/>
      </c>
      <c r="BC37" s="1">
        <f>COUNTIFS(Tracking!AA:AA,A37&amp;C37,Tracking!C:C,"5v5",Tracking!Y:Y,"C",Tracking!AE:AE,"Y")</f>
        <v/>
      </c>
      <c r="BD37" s="1">
        <f>COUNTIFS(Tracking!AA:AA,A37&amp;C37,Tracking!C:C,"5v5",Tracking!Y:Y,"D",Tracking!AE:AE,"Y")</f>
        <v/>
      </c>
      <c r="BE37" s="10">
        <f>COUNTIFS(Tracking!Z:Z,A37&amp;C37,Tracking!C:C,"5v4")</f>
        <v/>
      </c>
      <c r="BF37" s="10">
        <f>COUNTIFS(Tracking!Z:Z,A37&amp;C37,Tracking!C:C,"5v4",Tracking!Y:Y,"C")</f>
        <v/>
      </c>
      <c r="BG37" s="10">
        <f>COUNTIFS(Tracking!Z:Z,A37&amp;C37,Tracking!C:C,"5v4",Tracking!AB:AB,"Y")</f>
        <v/>
      </c>
      <c r="BH37" s="10">
        <f>COUNTIFS(Tracking!Z:Z,A37&amp;C37,Tracking!C:C,"4v5")</f>
        <v/>
      </c>
      <c r="BI37" s="10">
        <f>COUNTIFS(Tracking!AA:AA,A37&amp;C37,Tracking!C:C,"5v4",Tracking!Y:Y,"D")+COUNTIFS(Tracking!AA:AA,A37&amp;C37,Tracking!C:C,"5v4",Tracking!Y:Y,"F")</f>
        <v/>
      </c>
      <c r="BJ37" s="10">
        <f>COUNTIFS(Tracking!E:E,A37,Tracking!D:D,C37,Tracking!C:C,"5v4")</f>
        <v/>
      </c>
      <c r="BK37" s="10">
        <f>COUNTIFS(Tracking!G:G,A37,Tracking!D:D,C37,Tracking!C:C,"5v4")+COUNTIFS(Tracking!H:H,A37,Tracking!D:D,C37,Tracking!C:C,"5v4")+COUNTIFS(Tracking!I:I,A37,Tracking!D:D,C37,Tracking!C:C,"5v4")</f>
        <v/>
      </c>
      <c r="BL37" s="10">
        <f>COUNTIFS(Tracking!G:G,A37,Tracking!D:D,C37,Tracking!C:C,"5v4")</f>
        <v/>
      </c>
      <c r="BM37" s="10">
        <f>COUNTIFS(Tracking!E:E,A37,Tracking!D:D,C37,Tracking!C:C,"5v4",Tracking!M:M,"Y")</f>
        <v/>
      </c>
      <c r="BN37" s="10">
        <f>COUNTIFS(Tracking!G:G,A37,Tracking!D:D,C37,Tracking!C:C,"5v4",Tracking!M:M,"Y")</f>
        <v/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/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/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/>
      </c>
      <c r="BR37" s="12">
        <f>COUNTIFS(Tracking!E:E,A37,Tracking!D:D,C37,Tracking!C:C,"5v5",Tracking!F:F,"o")</f>
        <v/>
      </c>
      <c r="BS37" s="12">
        <f>COUNTIFS(Tracking!E:E,A37,Tracking!D:D,C37,Tracking!C:C,"5v5",Tracking!F:F,"r")</f>
        <v/>
      </c>
      <c r="BT37" s="12">
        <f>COUNTIFS(Tracking!E:E,A37,Tracking!D:D,C37,Tracking!C:C,"5v5",Tracking!F:F,"t")</f>
        <v/>
      </c>
      <c r="BU37" s="12">
        <f>COUNTIFS(Tracking!G:G,A37,Tracking!D:D,C37,Tracking!C:C,"5v5",Tracking!F:F,"o")</f>
        <v/>
      </c>
      <c r="BV37" s="12">
        <f>COUNTIFS(Tracking!E:E,A36,Tracking!D:D,C37,Tracking!C:C,"5v5",Tracking!F:F,"r")</f>
        <v/>
      </c>
      <c r="BW37" s="12">
        <f>COUNTIFS(Tracking!G:G,A37,Tracking!D:D,C37,Tracking!C:C,"5v5",Tracking!F:F,"T")</f>
        <v/>
      </c>
      <c r="BX37" s="12">
        <f>COUNTIFS(Tracking!E:E,A37,Tracking!D:D,C37,Tracking!C:C,"5v5",Tracking!Q:Q,"OZ")</f>
        <v/>
      </c>
      <c r="BY37" s="12">
        <f>COUNTIFS(Tracking!E:E,A37,Tracking!D:D,C37,Tracking!C:C,"5v5",Tracking!Q:Q,"nZ")</f>
        <v/>
      </c>
      <c r="BZ37" s="12">
        <f>COUNTIFS(Tracking!E:E,A37,Tracking!D:D,C37,Tracking!C:C,"5v5",Tracking!Q:Q,"dZ")</f>
        <v/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/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/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/>
      </c>
      <c r="CD37" s="12">
        <f>COUNTIFS(Tracking!E:E,A37,Tracking!D:D,C37,Tracking!C:C,"5v5",Tracking!R:R,"dz exit")</f>
        <v/>
      </c>
      <c r="CE37" s="12">
        <f>COUNTIFS(Tracking!E:E,A37,Tracking!D:D,C37,Tracking!C:C,"5v5",Tracking!R:R,"dz counter")</f>
        <v/>
      </c>
      <c r="CF37" s="12">
        <f>COUNTIFS(Tracking!E:E,A37,Tracking!D:D,C37,Tracking!C:C,"5v5",Tracking!R:R,"nz turnover")</f>
        <v/>
      </c>
      <c r="CG37" s="12">
        <f>COUNTIFS(Tracking!E:E,A37,Tracking!D:D,C37,Tracking!C:C,"5v5",Tracking!R:R,"nz regroup")</f>
        <v/>
      </c>
      <c r="CH37" s="12">
        <f>COUNTIFS(Tracking!E:E,A37,Tracking!D:D,C37,Tracking!C:C,"5v5",Tracking!R:R,"nz reload")</f>
        <v/>
      </c>
      <c r="CI37" s="12">
        <f>COUNTIFS(Tracking!E:E,A37,Tracking!D:D,C37,Tracking!C:C,"5v5",Tracking!R:R,"controlled breakout")</f>
        <v/>
      </c>
      <c r="CJ37" s="2">
        <f>CK37+CL37+CM37+CN37+CO37+CP37</f>
        <v/>
      </c>
      <c r="CK37" s="2">
        <f>(0.075*H37)+(0.07*L37)+(0.055*M37)+(0.055*N37)+(0.095*J37)+(0.09*O37)+(0.05*P37)+(0.05*R37)+(0.05*S37)+(0.05*AB37)</f>
        <v/>
      </c>
      <c r="CL37" s="2">
        <f>(0.045*AD37)-(0.045*AE37)+(0.055*AH37)+(0.035*AI37)</f>
        <v/>
      </c>
      <c r="CM37" s="2">
        <f>(0.015*(AY37-AZ37))+(0.035*BA37)-(0.015*BB37)-(0.025*BC37)+(0.015*(AY37-(BD37+BC37)))</f>
        <v/>
      </c>
      <c r="CN37" s="2">
        <f>(0.035*AN37)+(0.025*AS37)-(0.035*AT37)-(0.035*AV37)</f>
        <v/>
      </c>
      <c r="CO37" s="2">
        <f>(0.015*AJ37)+(0.045*AG37)</f>
        <v/>
      </c>
      <c r="CP37" s="2">
        <f>(0.055*BM37)+(0.055*BN37)+(0.035*BO37)+(0.035*BQ37)+(0.055*BH37)+(0.035*BI37)+(0.035*BG37)</f>
        <v/>
      </c>
      <c r="CQ37" s="2">
        <f>CK37+CL37+CM37+CN37+CO37</f>
        <v/>
      </c>
    </row>
    <row r="38">
      <c r="A38" s="8" t="n">
        <v>39</v>
      </c>
      <c r="B38" s="8" t="inlineStr">
        <is>
          <t>Mackenzie Blackwood</t>
        </is>
      </c>
      <c r="C38" s="8" t="inlineStr">
        <is>
          <t>COL</t>
        </is>
      </c>
      <c r="D38" s="8" t="inlineStr">
        <is>
          <t>G</t>
        </is>
      </c>
      <c r="E38" s="8" t="n">
        <v>17.25</v>
      </c>
      <c r="F38" s="8" t="inlineStr">
        <is>
          <t>2025-26</t>
        </is>
      </c>
      <c r="G38" s="19" t="inlineStr">
        <is>
          <t>3/6/2026 DAL vs. COL</t>
        </is>
      </c>
      <c r="AK38" s="5">
        <f>COUNTIFS(Tracking!AI:AI,A38&amp;C38,Tracking!C:C,"5v5")+AL38</f>
        <v/>
      </c>
      <c r="AL38" s="5">
        <f>COUNTIFS(Tracking!AF:AF,A38&amp;C38,Tracking!C:C,"5v5")-AT38</f>
        <v/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/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/>
      </c>
      <c r="AO38" s="5">
        <f>COUNTIFS(Tracking!AF:AF,A38&amp;C38,Tracking!C:C,"5v5",Tracking!AG:AG,"CEX")+COUNTIFS(Tracking!AI:AI,A38&amp;C38,Tracking!C:C,"5v5",Tracking!AJ:AJ,"CEX")</f>
        <v/>
      </c>
      <c r="AP38" s="5">
        <f>COUNTIFS(Tracking!AF:AF,A38&amp;C38,Tracking!C:C,"5v5",Tracking!AG:AG,"PEX")</f>
        <v/>
      </c>
      <c r="AQ38" s="5">
        <f>COUNTIFS(Tracking!AF:AF,A38&amp;C38,Tracking!C:C,"5v5",Tracking!AG:AG,"CLE")+COUNTIFS(Tracking!AI:AI,A38&amp;C38,Tracking!C:C,"5v5",Tracking!AJ:AJ,"CLE")</f>
        <v/>
      </c>
      <c r="AR38" s="5">
        <f>COUNTIFS(Tracking!AF:AF,A38&amp;C38,Tracking!C:C,"5v5",Tracking!AG:AG,"MEX")</f>
        <v/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/>
      </c>
      <c r="AT38" s="5">
        <f>COUNTIFS(Tracking!AF:AF,A38&amp;C38,Tracking!C:C,"5v5",Tracking!AG:AG,"BOT")+COUNTIFS(Tracking!AF:AF,A38&amp;C38,Tracking!C:C,"5v5",Tracking!AG:AG,"FEX")</f>
        <v/>
      </c>
      <c r="AU38" s="5">
        <f>COUNTIFS(Tracking!AF:AF,A38&amp;C38,Tracking!C:C,"5v5",Tracking!AG:AG,"EXC")</f>
        <v/>
      </c>
      <c r="AV38" s="5">
        <f>COUNTIFS(Tracking!AF:AF,A38&amp;C38,Tracking!C:C,"5v5",Tracking!AG:AG,"FEX")+COUNTIFS(Tracking!AI:AI,A38&amp;C38,Tracking!C:C,"5v5",Tracking!AJ:AJ,"FEX")</f>
        <v/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/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/>
      </c>
      <c r="CD38" s="12">
        <f>COUNTIFS(Tracking!E:E,A38,Tracking!D:D,C38,Tracking!C:C,"5v5",Tracking!R:R,"dz exit")</f>
        <v/>
      </c>
      <c r="CE38" s="12">
        <f>COUNTIFS(Tracking!E:E,A38,Tracking!D:D,C38,Tracking!C:C,"5v5",Tracking!R:R,"dz counter")</f>
        <v/>
      </c>
      <c r="CF38" s="12">
        <f>COUNTIFS(Tracking!E:E,A38,Tracking!D:D,C38,Tracking!C:C,"5v5",Tracking!R:R,"nz turnover")</f>
        <v/>
      </c>
      <c r="CG38" s="12">
        <f>COUNTIFS(Tracking!E:E,A38,Tracking!D:D,C38,Tracking!C:C,"5v5",Tracking!R:R,"nz regroup")</f>
        <v/>
      </c>
      <c r="CH38" s="12">
        <f>COUNTIFS(Tracking!E:E,A38,Tracking!D:D,C38,Tracking!C:C,"5v5",Tracking!R:R,"nz reload")</f>
        <v/>
      </c>
      <c r="CI38" s="12">
        <f>COUNTIFS(Tracking!E:E,A38,Tracking!D:D,C38,Tracking!C:C,"5v5",Tracking!R:R,"controlled breakout")</f>
        <v/>
      </c>
    </row>
    <row r="39">
      <c r="A39" s="8" t="n">
        <v>41</v>
      </c>
      <c r="B39" s="8" t="inlineStr">
        <is>
          <t>Scott Wedgewood</t>
        </is>
      </c>
      <c r="C39" s="8" t="inlineStr">
        <is>
          <t>DAL</t>
        </is>
      </c>
      <c r="D39" s="8" t="inlineStr">
        <is>
          <t>G</t>
        </is>
      </c>
      <c r="E39" s="8" t="n">
        <v>26.0167</v>
      </c>
      <c r="F39" s="8" t="inlineStr">
        <is>
          <t>2025-26</t>
        </is>
      </c>
      <c r="G39" s="19" t="inlineStr">
        <is>
          <t>3/6/2026 DAL vs. COL</t>
        </is>
      </c>
      <c r="AK39" s="5">
        <f>COUNTIFS(Tracking!AI:AI,A39&amp;C39,Tracking!C:C,"5v5")+AL39</f>
        <v/>
      </c>
      <c r="AL39" s="5">
        <f>COUNTIFS(Tracking!AF:AF,A39&amp;C39,Tracking!C:C,"5v5")-AT39</f>
        <v/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/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/>
      </c>
      <c r="AO39" s="5">
        <f>COUNTIFS(Tracking!AF:AF,A39&amp;C39,Tracking!C:C,"5v5",Tracking!AG:AG,"CEX")+COUNTIFS(Tracking!AI:AI,A39&amp;C39,Tracking!C:C,"5v5",Tracking!AJ:AJ,"CEX")</f>
        <v/>
      </c>
      <c r="AP39" s="5">
        <f>COUNTIFS(Tracking!AF:AF,A39&amp;C39,Tracking!C:C,"5v5",Tracking!AG:AG,"PEX")</f>
        <v/>
      </c>
      <c r="AQ39" s="5">
        <f>COUNTIFS(Tracking!AF:AF,A39&amp;C39,Tracking!C:C,"5v5",Tracking!AG:AG,"CLE")+COUNTIFS(Tracking!AI:AI,A39&amp;C39,Tracking!C:C,"5v5",Tracking!AJ:AJ,"CLE")</f>
        <v/>
      </c>
      <c r="AR39" s="5">
        <f>COUNTIFS(Tracking!AF:AF,A39&amp;C39,Tracking!C:C,"5v5",Tracking!AG:AG,"MEX")</f>
        <v/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/>
      </c>
      <c r="AT39" s="5">
        <f>COUNTIFS(Tracking!AF:AF,A39&amp;C39,Tracking!C:C,"5v5",Tracking!AG:AG,"BOT")+COUNTIFS(Tracking!AF:AF,A39&amp;C39,Tracking!C:C,"5v5",Tracking!AG:AG,"FEX")</f>
        <v/>
      </c>
      <c r="AU39" s="5">
        <f>COUNTIFS(Tracking!AF:AF,A39&amp;C39,Tracking!C:C,"5v5",Tracking!AG:AG,"EXC")</f>
        <v/>
      </c>
      <c r="AV39" s="5">
        <f>COUNTIFS(Tracking!AF:AF,A39&amp;C39,Tracking!C:C,"5v5",Tracking!AG:AG,"FEX")+COUNTIFS(Tracking!AI:AI,A39&amp;C39,Tracking!C:C,"5v5",Tracking!AJ:AJ,"FEX")</f>
        <v/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/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/>
      </c>
      <c r="CD39" s="12">
        <f>COUNTIFS(Tracking!E:E,A39,Tracking!D:D,C39,Tracking!C:C,"5v5",Tracking!R:R,"dz exit")</f>
        <v/>
      </c>
      <c r="CE39" s="12">
        <f>COUNTIFS(Tracking!E:E,A39,Tracking!D:D,C39,Tracking!C:C,"5v5",Tracking!R:R,"dz counter")</f>
        <v/>
      </c>
      <c r="CF39" s="12">
        <f>COUNTIFS(Tracking!E:E,A39,Tracking!D:D,C39,Tracking!C:C,"5v5",Tracking!R:R,"nz turnover")</f>
        <v/>
      </c>
      <c r="CG39" s="12">
        <f>COUNTIFS(Tracking!E:E,A39,Tracking!D:D,C39,Tracking!C:C,"5v5",Tracking!R:R,"nz regroup")</f>
        <v/>
      </c>
      <c r="CH39" s="12">
        <f>COUNTIFS(Tracking!E:E,A39,Tracking!D:D,C39,Tracking!C:C,"5v5",Tracking!R:R,"nz reload")</f>
        <v/>
      </c>
      <c r="CI39" s="12">
        <f>COUNTIFS(Tracking!E:E,A39,Tracking!D:D,C39,Tracking!C:C,"5v5",Tracking!R:R,"controlled breakout")</f>
        <v/>
      </c>
    </row>
    <row r="40">
      <c r="A40" s="8" t="n">
        <v>29</v>
      </c>
      <c r="B40" s="8" t="inlineStr">
        <is>
          <t>Jake Oettinger</t>
        </is>
      </c>
      <c r="C40" s="8" t="inlineStr">
        <is>
          <t>DAL</t>
        </is>
      </c>
      <c r="D40" s="8" t="inlineStr">
        <is>
          <t>G</t>
        </is>
      </c>
      <c r="E40" s="8" t="n">
        <v>43.2667</v>
      </c>
      <c r="F40" s="8" t="inlineStr">
        <is>
          <t>2025-26</t>
        </is>
      </c>
      <c r="G40" s="19" t="inlineStr">
        <is>
          <t>3/6/2026 DAL vs. COL</t>
        </is>
      </c>
      <c r="AK40" s="5">
        <f>COUNTIFS(Tracking!AI:AI,A40&amp;C40,Tracking!C:C,"5v5")+AL40</f>
        <v/>
      </c>
      <c r="AL40" s="5">
        <f>COUNTIFS(Tracking!AF:AF,A40&amp;C40,Tracking!C:C,"5v5")-AT40</f>
        <v/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/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/>
      </c>
      <c r="AO40" s="5">
        <f>COUNTIFS(Tracking!AF:AF,A40&amp;C40,Tracking!C:C,"5v5",Tracking!AG:AG,"CEX")+COUNTIFS(Tracking!AI:AI,A40&amp;C40,Tracking!C:C,"5v5",Tracking!AJ:AJ,"CEX")</f>
        <v/>
      </c>
      <c r="AP40" s="5">
        <f>COUNTIFS(Tracking!AF:AF,A40&amp;C40,Tracking!C:C,"5v5",Tracking!AG:AG,"PEX")</f>
        <v/>
      </c>
      <c r="AQ40" s="5">
        <f>COUNTIFS(Tracking!AF:AF,A40&amp;C40,Tracking!C:C,"5v5",Tracking!AG:AG,"CLE")+COUNTIFS(Tracking!AI:AI,A40&amp;C40,Tracking!C:C,"5v5",Tracking!AJ:AJ,"CLE")</f>
        <v/>
      </c>
      <c r="AR40" s="5">
        <f>COUNTIFS(Tracking!AF:AF,A40&amp;C40,Tracking!C:C,"5v5",Tracking!AG:AG,"MEX")</f>
        <v/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/>
      </c>
      <c r="AT40" s="5">
        <f>COUNTIFS(Tracking!AF:AF,A40&amp;C40,Tracking!C:C,"5v5",Tracking!AG:AG,"BOT")+COUNTIFS(Tracking!AF:AF,A40&amp;C40,Tracking!C:C,"5v5",Tracking!AG:AG,"FEX")</f>
        <v/>
      </c>
      <c r="AU40" s="5">
        <f>COUNTIFS(Tracking!AF:AF,A40&amp;C40,Tracking!C:C,"5v5",Tracking!AG:AG,"EXC")</f>
        <v/>
      </c>
      <c r="AV40" s="5">
        <f>COUNTIFS(Tracking!AF:AF,A40&amp;C40,Tracking!C:C,"5v5",Tracking!AG:AG,"FEX")+COUNTIFS(Tracking!AI:AI,A40&amp;C40,Tracking!C:C,"5v5",Tracking!AJ:AJ,"FEX")</f>
        <v/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/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/>
      </c>
    </row>
    <row r="41">
      <c r="E41" s="8" t="n"/>
      <c r="F41" s="8" t="n"/>
      <c r="G41" s="8" t="n"/>
    </row>
    <row r="42">
      <c r="E42" s="8" t="n"/>
      <c r="F42" s="8" t="n"/>
      <c r="G42" s="8" t="n"/>
    </row>
    <row r="43">
      <c r="E43" s="8" t="n"/>
      <c r="F43" s="8" t="n"/>
      <c r="G43" s="8" t="n"/>
    </row>
    <row r="44">
      <c r="E44" s="8" t="n"/>
      <c r="F44" s="8" t="n"/>
      <c r="G44" s="8" t="n"/>
    </row>
    <row r="45">
      <c r="E45" s="8" t="n"/>
      <c r="F45" s="8" t="n"/>
      <c r="G45" s="8" t="n"/>
    </row>
    <row r="46">
      <c r="E46" s="8" t="n"/>
      <c r="F46" s="8" t="n"/>
      <c r="G46" s="8" t="n"/>
    </row>
    <row r="47">
      <c r="E47" s="8" t="n"/>
      <c r="F47" s="8" t="n"/>
      <c r="G47" s="8" t="n"/>
    </row>
    <row r="48">
      <c r="E48" s="8" t="n"/>
      <c r="F48" s="8" t="n"/>
      <c r="G48" s="8" t="n"/>
    </row>
    <row r="49">
      <c r="E49" s="8" t="n"/>
      <c r="F49" s="8" t="n"/>
      <c r="G49" s="8" t="n"/>
    </row>
    <row r="50">
      <c r="E50" s="8" t="n"/>
      <c r="F50" s="8" t="n"/>
      <c r="G50" s="8" t="n"/>
    </row>
    <row r="51">
      <c r="E51" s="8" t="n"/>
      <c r="F51" s="8" t="n"/>
      <c r="G51" s="8" t="n"/>
    </row>
    <row r="52">
      <c r="E52" s="8" t="n"/>
      <c r="F52" s="8" t="n"/>
      <c r="G52" s="8" t="n"/>
    </row>
    <row r="53">
      <c r="E53" s="8" t="n"/>
      <c r="F53" s="8" t="n"/>
      <c r="G53" s="8" t="n"/>
    </row>
    <row r="54">
      <c r="E54" s="8" t="n"/>
      <c r="F54" s="8" t="n"/>
      <c r="G54" s="8" t="n"/>
    </row>
    <row r="55">
      <c r="E55" s="8" t="n"/>
      <c r="F55" s="8" t="n"/>
      <c r="G55" s="8" t="n"/>
    </row>
    <row r="56">
      <c r="E56" s="8" t="n"/>
      <c r="F56" s="8" t="n"/>
      <c r="G56" s="8" t="n"/>
    </row>
    <row r="57">
      <c r="E57" s="8" t="n"/>
      <c r="F57" s="8" t="n"/>
      <c r="G57" s="8" t="n"/>
    </row>
    <row r="58">
      <c r="E58" s="8" t="n"/>
      <c r="F58" s="8" t="n"/>
      <c r="G58" s="8" t="n"/>
    </row>
    <row r="59">
      <c r="E59" s="8" t="n"/>
      <c r="F59" s="8" t="n"/>
      <c r="G59" s="8" t="n"/>
    </row>
    <row r="60">
      <c r="E60" s="8" t="n"/>
      <c r="F60" s="8" t="n"/>
      <c r="G60" s="8" t="n"/>
    </row>
    <row r="61">
      <c r="E61" s="8" t="n"/>
      <c r="F61" s="8" t="n"/>
      <c r="G61" s="8" t="n"/>
    </row>
    <row r="62">
      <c r="E62" s="8" t="n"/>
      <c r="F62" s="8" t="n"/>
      <c r="G62" s="8" t="n"/>
    </row>
    <row r="63">
      <c r="E63" s="8" t="n"/>
      <c r="F63" s="8" t="n"/>
      <c r="G63" s="8" t="n"/>
    </row>
    <row r="64">
      <c r="E64" s="8" t="n"/>
      <c r="F64" s="8" t="n"/>
      <c r="G64" s="8" t="n"/>
    </row>
    <row r="65">
      <c r="E65" s="8" t="n"/>
      <c r="F65" s="8" t="n"/>
      <c r="G65" s="8" t="n"/>
    </row>
    <row r="66">
      <c r="E66" s="8" t="n"/>
      <c r="F66" s="8" t="n"/>
      <c r="G66" s="8" t="n"/>
    </row>
    <row r="67">
      <c r="E67" s="8" t="n"/>
      <c r="F67" s="8" t="n"/>
      <c r="G67" s="8" t="n"/>
    </row>
    <row r="68">
      <c r="E68" s="8" t="n"/>
      <c r="F68" s="8" t="n"/>
      <c r="G68" s="8" t="n"/>
    </row>
    <row r="69">
      <c r="E69" s="8" t="n"/>
      <c r="F69" s="8" t="n"/>
      <c r="G69" s="8" t="n"/>
    </row>
    <row r="70">
      <c r="E70" s="8" t="n"/>
      <c r="F70" s="8" t="n"/>
      <c r="G70" s="8" t="n"/>
    </row>
    <row r="71">
      <c r="E71" s="8" t="n"/>
      <c r="F71" s="8" t="n"/>
      <c r="G71" s="8" t="n"/>
    </row>
    <row r="72">
      <c r="E72" s="8" t="n"/>
      <c r="F72" s="8" t="n"/>
      <c r="G72" s="8" t="n"/>
    </row>
    <row r="73">
      <c r="E73" s="8" t="n"/>
      <c r="F73" s="8" t="n"/>
      <c r="G73" s="8" t="n"/>
    </row>
    <row r="74">
      <c r="BF74" s="10">
        <f>COUNTIFS(Tracking!Z:Z,A74&amp;C74,Tracking!C:C,"5v4",Tracking!Y:Y,"C")</f>
        <v/>
      </c>
      <c r="BG74" s="10">
        <f>COUNTIFS(Tracking!Z:Z,A74&amp;C74,Tracking!C:C,"5v4",Tracking!AB:AB,"Y")</f>
        <v/>
      </c>
      <c r="BH74" s="10">
        <f>COUNTIFS(Tracking!Z:Z,A74&amp;C74,Tracking!C:C,"4v5")</f>
        <v/>
      </c>
      <c r="BI74" s="10">
        <f>COUNTIFS(Tracking!AA:AA,A74&amp;C74,Tracking!C:C,"5v4",Tracking!Y:Y,"D")+COUNTIFS(Tracking!AA:AA,A74&amp;C74,Tracking!C:C,"5v4",Tracking!Y:Y,"F")</f>
        <v/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/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/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/>
      </c>
    </row>
    <row r="75">
      <c r="BF75" s="10">
        <f>COUNTIFS(Tracking!Z:Z,A75&amp;C75,Tracking!C:C,"5v4",Tracking!Y:Y,"C")</f>
        <v/>
      </c>
      <c r="BG75" s="10">
        <f>COUNTIFS(Tracking!Z:Z,A75&amp;C75,Tracking!C:C,"5v4",Tracking!AB:AB,"Y")</f>
        <v/>
      </c>
      <c r="BH75" s="10">
        <f>COUNTIFS(Tracking!Z:Z,A75&amp;C75,Tracking!C:C,"4v5")</f>
        <v/>
      </c>
      <c r="BI75" s="10">
        <f>COUNTIFS(Tracking!AA:AA,A75&amp;C75,Tracking!C:C,"5v4",Tracking!Y:Y,"D")+COUNTIFS(Tracking!AA:AA,A75&amp;C75,Tracking!C:C,"5v4",Tracking!Y:Y,"F")</f>
        <v/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/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/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/>
      </c>
    </row>
    <row r="76">
      <c r="BF76" s="10">
        <f>COUNTIFS(Tracking!Z:Z,A76&amp;C76,Tracking!C:C,"5v4",Tracking!Y:Y,"C")</f>
        <v/>
      </c>
      <c r="BG76" s="10">
        <f>COUNTIFS(Tracking!Z:Z,A76&amp;C76,Tracking!C:C,"5v4",Tracking!AB:AB,"Y")</f>
        <v/>
      </c>
      <c r="BH76" s="10">
        <f>COUNTIFS(Tracking!Z:Z,A76&amp;C76,Tracking!C:C,"4v5")</f>
        <v/>
      </c>
      <c r="BI76" s="10">
        <f>COUNTIFS(Tracking!AA:AA,A76&amp;C76,Tracking!C:C,"5v4",Tracking!Y:Y,"D")+COUNTIFS(Tracking!AA:AA,A76&amp;C76,Tracking!C:C,"5v4",Tracking!Y:Y,"F")</f>
        <v/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/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/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/>
      </c>
    </row>
    <row r="77">
      <c r="BF77" s="10">
        <f>COUNTIFS(Tracking!Z:Z,A77&amp;C77,Tracking!C:C,"5v4",Tracking!Y:Y,"C")</f>
        <v/>
      </c>
      <c r="BG77" s="10">
        <f>COUNTIFS(Tracking!Z:Z,A77&amp;C77,Tracking!C:C,"5v4",Tracking!AB:AB,"Y")</f>
        <v/>
      </c>
      <c r="BH77" s="10">
        <f>COUNTIFS(Tracking!Z:Z,A77&amp;C77,Tracking!C:C,"4v5")</f>
        <v/>
      </c>
      <c r="BI77" s="10">
        <f>COUNTIFS(Tracking!AA:AA,A77&amp;C77,Tracking!C:C,"5v4",Tracking!Y:Y,"D")+COUNTIFS(Tracking!AA:AA,A77&amp;C77,Tracking!C:C,"5v4",Tracking!Y:Y,"F")</f>
        <v/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/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/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/>
      </c>
    </row>
    <row r="78">
      <c r="BF78" s="10">
        <f>COUNTIFS(Tracking!Z:Z,A78&amp;C78,Tracking!C:C,"5v4",Tracking!Y:Y,"C")</f>
        <v/>
      </c>
      <c r="BG78" s="10">
        <f>COUNTIFS(Tracking!Z:Z,A78&amp;C78,Tracking!C:C,"5v4",Tracking!AB:AB,"Y")</f>
        <v/>
      </c>
      <c r="BH78" s="10">
        <f>COUNTIFS(Tracking!Z:Z,A78&amp;C78,Tracking!C:C,"4v5")</f>
        <v/>
      </c>
      <c r="BI78" s="10">
        <f>COUNTIFS(Tracking!AA:AA,A78&amp;C78,Tracking!C:C,"5v4",Tracking!Y:Y,"D")+COUNTIFS(Tracking!AA:AA,A78&amp;C78,Tracking!C:C,"5v4",Tracking!Y:Y,"F")</f>
        <v/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/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/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/>
      </c>
    </row>
    <row r="79">
      <c r="BF79" s="10">
        <f>COUNTIFS(Tracking!Z:Z,A79&amp;C79,Tracking!C:C,"5v4",Tracking!Y:Y,"C")</f>
        <v/>
      </c>
      <c r="BG79" s="10">
        <f>COUNTIFS(Tracking!Z:Z,A79&amp;C79,Tracking!C:C,"5v4",Tracking!AB:AB,"Y")</f>
        <v/>
      </c>
      <c r="BH79" s="10">
        <f>COUNTIFS(Tracking!Z:Z,A79&amp;C79,Tracking!C:C,"4v5")</f>
        <v/>
      </c>
      <c r="BI79" s="10">
        <f>COUNTIFS(Tracking!AA:AA,A79&amp;C79,Tracking!C:C,"5v4",Tracking!Y:Y,"D")+COUNTIFS(Tracking!AA:AA,A79&amp;C79,Tracking!C:C,"5v4",Tracking!Y:Y,"F")</f>
        <v/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/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/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/>
      </c>
    </row>
    <row r="80">
      <c r="BF80" s="10">
        <f>COUNTIFS(Tracking!Z:Z,A80&amp;C80,Tracking!C:C,"5v4",Tracking!Y:Y,"C")</f>
        <v/>
      </c>
      <c r="BG80" s="10">
        <f>COUNTIFS(Tracking!Z:Z,A80&amp;C80,Tracking!C:C,"5v4",Tracking!AB:AB,"Y")</f>
        <v/>
      </c>
      <c r="BH80" s="10">
        <f>COUNTIFS(Tracking!Z:Z,A80&amp;C80,Tracking!C:C,"4v5")</f>
        <v/>
      </c>
      <c r="BI80" s="10">
        <f>COUNTIFS(Tracking!AA:AA,A80&amp;C80,Tracking!C:C,"5v4",Tracking!Y:Y,"D")+COUNTIFS(Tracking!AA:AA,A80&amp;C80,Tracking!C:C,"5v4",Tracking!Y:Y,"F")</f>
        <v/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/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/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/>
      </c>
    </row>
    <row r="81">
      <c r="BF81" s="10">
        <f>COUNTIFS(Tracking!Z:Z,A81&amp;C81,Tracking!C:C,"5v4",Tracking!Y:Y,"C")</f>
        <v/>
      </c>
      <c r="BG81" s="10">
        <f>COUNTIFS(Tracking!Z:Z,A81&amp;C81,Tracking!C:C,"5v4",Tracking!AB:AB,"Y")</f>
        <v/>
      </c>
      <c r="BH81" s="10">
        <f>COUNTIFS(Tracking!Z:Z,A81&amp;C81,Tracking!C:C,"4v5")</f>
        <v/>
      </c>
      <c r="BI81" s="10">
        <f>COUNTIFS(Tracking!AA:AA,A81&amp;C81,Tracking!C:C,"5v4",Tracking!Y:Y,"D")+COUNTIFS(Tracking!AA:AA,A81&amp;C81,Tracking!C:C,"5v4",Tracking!Y:Y,"F")</f>
        <v/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/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/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/>
      </c>
    </row>
    <row r="82">
      <c r="BF82" s="10">
        <f>COUNTIFS(Tracking!Z:Z,A82&amp;C82,Tracking!C:C,"5v4",Tracking!Y:Y,"C")</f>
        <v/>
      </c>
      <c r="BG82" s="10">
        <f>COUNTIFS(Tracking!Z:Z,A82&amp;C82,Tracking!C:C,"5v4",Tracking!AB:AB,"Y")</f>
        <v/>
      </c>
      <c r="BH82" s="10">
        <f>COUNTIFS(Tracking!Z:Z,A82&amp;C82,Tracking!C:C,"4v5")</f>
        <v/>
      </c>
      <c r="BI82" s="10">
        <f>COUNTIFS(Tracking!AA:AA,A82&amp;C82,Tracking!C:C,"5v4",Tracking!Y:Y,"D")+COUNTIFS(Tracking!AA:AA,A82&amp;C82,Tracking!C:C,"5v4",Tracking!Y:Y,"F")</f>
        <v/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/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/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/>
      </c>
    </row>
    <row r="83">
      <c r="BF83" s="10">
        <f>COUNTIFS(Tracking!Z:Z,A83&amp;C83,Tracking!C:C,"5v4",Tracking!Y:Y,"C")</f>
        <v/>
      </c>
      <c r="BG83" s="10">
        <f>COUNTIFS(Tracking!Z:Z,A83&amp;C83,Tracking!C:C,"5v4",Tracking!AB:AB,"Y")</f>
        <v/>
      </c>
      <c r="BH83" s="10">
        <f>COUNTIFS(Tracking!Z:Z,A83&amp;C83,Tracking!C:C,"4v5")</f>
        <v/>
      </c>
      <c r="BI83" s="10">
        <f>COUNTIFS(Tracking!AA:AA,A83&amp;C83,Tracking!C:C,"5v4",Tracking!Y:Y,"D")+COUNTIFS(Tracking!AA:AA,A83&amp;C83,Tracking!C:C,"5v4",Tracking!Y:Y,"F")</f>
        <v/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/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/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/>
      </c>
    </row>
    <row r="84">
      <c r="BF84" s="10">
        <f>COUNTIFS(Tracking!Z:Z,A84&amp;C84,Tracking!C:C,"5v4",Tracking!Y:Y,"C")</f>
        <v/>
      </c>
      <c r="BG84" s="10">
        <f>COUNTIFS(Tracking!Z:Z,A84&amp;C84,Tracking!C:C,"5v4",Tracking!AB:AB,"Y")</f>
        <v/>
      </c>
      <c r="BH84" s="10">
        <f>COUNTIFS(Tracking!Z:Z,A84&amp;C84,Tracking!C:C,"4v5")</f>
        <v/>
      </c>
      <c r="BI84" s="10">
        <f>COUNTIFS(Tracking!AA:AA,A84&amp;C84,Tracking!C:C,"5v4",Tracking!Y:Y,"D")+COUNTIFS(Tracking!AA:AA,A84&amp;C84,Tracking!C:C,"5v4",Tracking!Y:Y,"F")</f>
        <v/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/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/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/>
      </c>
    </row>
    <row r="85">
      <c r="BF85" s="10">
        <f>COUNTIFS(Tracking!Z:Z,A85&amp;C85,Tracking!C:C,"5v4",Tracking!Y:Y,"C")</f>
        <v/>
      </c>
      <c r="BG85" s="10">
        <f>COUNTIFS(Tracking!Z:Z,A85&amp;C85,Tracking!C:C,"5v4",Tracking!AB:AB,"Y")</f>
        <v/>
      </c>
      <c r="BH85" s="10">
        <f>COUNTIFS(Tracking!Z:Z,A85&amp;C85,Tracking!C:C,"4v5")</f>
        <v/>
      </c>
      <c r="BI85" s="10">
        <f>COUNTIFS(Tracking!AA:AA,A85&amp;C85,Tracking!C:C,"5v4",Tracking!Y:Y,"D")+COUNTIFS(Tracking!AA:AA,A85&amp;C85,Tracking!C:C,"5v4",Tracking!Y:Y,"F")</f>
        <v/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/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/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/>
      </c>
    </row>
    <row r="86">
      <c r="BF86" s="10">
        <f>COUNTIFS(Tracking!Z:Z,A86&amp;C86,Tracking!C:C,"5v4",Tracking!Y:Y,"C")</f>
        <v/>
      </c>
      <c r="BG86" s="10">
        <f>COUNTIFS(Tracking!Z:Z,A86&amp;C86,Tracking!C:C,"5v4",Tracking!AB:AB,"Y")</f>
        <v/>
      </c>
      <c r="BH86" s="10">
        <f>COUNTIFS(Tracking!Z:Z,A86&amp;C86,Tracking!C:C,"4v5")</f>
        <v/>
      </c>
      <c r="BI86" s="10">
        <f>COUNTIFS(Tracking!AA:AA,A86&amp;C86,Tracking!C:C,"5v4",Tracking!Y:Y,"D")+COUNTIFS(Tracking!AA:AA,A86&amp;C86,Tracking!C:C,"5v4",Tracking!Y:Y,"F")</f>
        <v/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/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/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/>
      </c>
    </row>
    <row r="87">
      <c r="BF87" s="10">
        <f>COUNTIFS(Tracking!Z:Z,A87&amp;C87,Tracking!C:C,"5v4",Tracking!Y:Y,"C")</f>
        <v/>
      </c>
      <c r="BG87" s="10">
        <f>COUNTIFS(Tracking!Z:Z,A87&amp;C87,Tracking!C:C,"5v4",Tracking!AB:AB,"Y")</f>
        <v/>
      </c>
      <c r="BH87" s="10">
        <f>COUNTIFS(Tracking!Z:Z,A87&amp;C87,Tracking!C:C,"4v5")</f>
        <v/>
      </c>
      <c r="BI87" s="10">
        <f>COUNTIFS(Tracking!AA:AA,A87&amp;C87,Tracking!C:C,"5v4",Tracking!Y:Y,"D")+COUNTIFS(Tracking!AA:AA,A87&amp;C87,Tracking!C:C,"5v4",Tracking!Y:Y,"F")</f>
        <v/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/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/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/>
      </c>
    </row>
    <row r="88">
      <c r="BF88" s="10">
        <f>COUNTIFS(Tracking!Z:Z,A88&amp;C88,Tracking!C:C,"5v4",Tracking!Y:Y,"C")</f>
        <v/>
      </c>
      <c r="BG88" s="10">
        <f>COUNTIFS(Tracking!Z:Z,A88&amp;C88,Tracking!C:C,"5v4",Tracking!AB:AB,"Y")</f>
        <v/>
      </c>
      <c r="BH88" s="10">
        <f>COUNTIFS(Tracking!Z:Z,A88&amp;C88,Tracking!C:C,"4v5")</f>
        <v/>
      </c>
      <c r="BI88" s="10">
        <f>COUNTIFS(Tracking!AA:AA,A88&amp;C88,Tracking!C:C,"5v4",Tracking!Y:Y,"D")+COUNTIFS(Tracking!AA:AA,A88&amp;C88,Tracking!C:C,"5v4",Tracking!Y:Y,"F")</f>
        <v/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/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/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/>
      </c>
    </row>
    <row r="89">
      <c r="BF89" s="10">
        <f>COUNTIFS(Tracking!Z:Z,A89&amp;C89,Tracking!C:C,"5v4",Tracking!Y:Y,"C")</f>
        <v/>
      </c>
      <c r="BG89" s="10">
        <f>COUNTIFS(Tracking!Z:Z,A89&amp;C89,Tracking!C:C,"5v4",Tracking!AB:AB,"Y")</f>
        <v/>
      </c>
      <c r="BH89" s="10">
        <f>COUNTIFS(Tracking!Z:Z,A89&amp;C89,Tracking!C:C,"4v5")</f>
        <v/>
      </c>
      <c r="BI89" s="10">
        <f>COUNTIFS(Tracking!AA:AA,A89&amp;C89,Tracking!C:C,"5v4",Tracking!Y:Y,"D")+COUNTIFS(Tracking!AA:AA,A89&amp;C89,Tracking!C:C,"5v4",Tracking!Y:Y,"F")</f>
        <v/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/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/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/>
      </c>
    </row>
    <row r="90">
      <c r="BF90" s="10">
        <f>COUNTIFS(Tracking!Z:Z,A90&amp;C90,Tracking!C:C,"5v4",Tracking!Y:Y,"C")</f>
        <v/>
      </c>
      <c r="BG90" s="10">
        <f>COUNTIFS(Tracking!Z:Z,A90&amp;C90,Tracking!C:C,"5v4",Tracking!AB:AB,"Y")</f>
        <v/>
      </c>
      <c r="BH90" s="10">
        <f>COUNTIFS(Tracking!Z:Z,A90&amp;C90,Tracking!C:C,"4v5")</f>
        <v/>
      </c>
      <c r="BI90" s="10">
        <f>COUNTIFS(Tracking!AA:AA,A90&amp;C90,Tracking!C:C,"5v4",Tracking!Y:Y,"D")+COUNTIFS(Tracking!AA:AA,A90&amp;C90,Tracking!C:C,"5v4",Tracking!Y:Y,"F")</f>
        <v/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/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/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/>
      </c>
    </row>
    <row r="91">
      <c r="BF91" s="10">
        <f>COUNTIFS(Tracking!Z:Z,A91&amp;C91,Tracking!C:C,"5v4",Tracking!Y:Y,"C")</f>
        <v/>
      </c>
      <c r="BG91" s="10">
        <f>COUNTIFS(Tracking!Z:Z,A91&amp;C91,Tracking!C:C,"5v4",Tracking!AB:AB,"Y")</f>
        <v/>
      </c>
      <c r="BH91" s="10">
        <f>COUNTIFS(Tracking!Z:Z,A91&amp;C91,Tracking!C:C,"4v5")</f>
        <v/>
      </c>
      <c r="BI91" s="10">
        <f>COUNTIFS(Tracking!AA:AA,A91&amp;C91,Tracking!C:C,"5v4",Tracking!Y:Y,"D")+COUNTIFS(Tracking!AA:AA,A91&amp;C91,Tracking!C:C,"5v4",Tracking!Y:Y,"F")</f>
        <v/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/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/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/>
      </c>
    </row>
    <row r="92">
      <c r="BF92" s="10">
        <f>COUNTIFS(Tracking!Z:Z,A92&amp;C92,Tracking!C:C,"5v4",Tracking!Y:Y,"C")</f>
        <v/>
      </c>
      <c r="BG92" s="10">
        <f>COUNTIFS(Tracking!Z:Z,A92&amp;C92,Tracking!C:C,"5v4",Tracking!AB:AB,"Y")</f>
        <v/>
      </c>
      <c r="BH92" s="10">
        <f>COUNTIFS(Tracking!Z:Z,A92&amp;C92,Tracking!C:C,"4v5")</f>
        <v/>
      </c>
      <c r="BI92" s="10">
        <f>COUNTIFS(Tracking!AA:AA,A92&amp;C92,Tracking!C:C,"5v4",Tracking!Y:Y,"D")+COUNTIFS(Tracking!AA:AA,A92&amp;C92,Tracking!C:C,"5v4",Tracking!Y:Y,"F")</f>
        <v/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/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/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/>
      </c>
    </row>
    <row r="93">
      <c r="BF93" s="10">
        <f>COUNTIFS(Tracking!Z:Z,A93&amp;C93,Tracking!C:C,"5v4",Tracking!Y:Y,"C")</f>
        <v/>
      </c>
      <c r="BG93" s="10">
        <f>COUNTIFS(Tracking!Z:Z,A93&amp;C93,Tracking!C:C,"5v4",Tracking!AB:AB,"Y")</f>
        <v/>
      </c>
      <c r="BH93" s="10">
        <f>COUNTIFS(Tracking!Z:Z,A93&amp;C93,Tracking!C:C,"4v5")</f>
        <v/>
      </c>
      <c r="BI93" s="10">
        <f>COUNTIFS(Tracking!AA:AA,A93&amp;C93,Tracking!C:C,"5v4",Tracking!Y:Y,"D")+COUNTIFS(Tracking!AA:AA,A93&amp;C93,Tracking!C:C,"5v4",Tracking!Y:Y,"F")</f>
        <v/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/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/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/>
      </c>
    </row>
    <row r="94">
      <c r="BF94" s="10">
        <f>COUNTIFS(Tracking!Z:Z,A94&amp;C94,Tracking!C:C,"5v4",Tracking!Y:Y,"C")</f>
        <v/>
      </c>
      <c r="BG94" s="10">
        <f>COUNTIFS(Tracking!Z:Z,A94&amp;C94,Tracking!C:C,"5v4",Tracking!AB:AB,"Y")</f>
        <v/>
      </c>
      <c r="BH94" s="10">
        <f>COUNTIFS(Tracking!Z:Z,A94&amp;C94,Tracking!C:C,"4v5")</f>
        <v/>
      </c>
      <c r="BI94" s="10">
        <f>COUNTIFS(Tracking!AA:AA,A94&amp;C94,Tracking!C:C,"5v4",Tracking!Y:Y,"D")+COUNTIFS(Tracking!AA:AA,A94&amp;C94,Tracking!C:C,"5v4",Tracking!Y:Y,"F")</f>
        <v/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/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/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/>
      </c>
    </row>
    <row r="95">
      <c r="BF95" s="10">
        <f>COUNTIFS(Tracking!Z:Z,A95&amp;C95,Tracking!C:C,"5v4",Tracking!Y:Y,"C")</f>
        <v/>
      </c>
      <c r="BG95" s="10">
        <f>COUNTIFS(Tracking!Z:Z,A95&amp;C95,Tracking!C:C,"5v4",Tracking!AB:AB,"Y")</f>
        <v/>
      </c>
      <c r="BH95" s="10">
        <f>COUNTIFS(Tracking!Z:Z,A95&amp;C95,Tracking!C:C,"4v5")</f>
        <v/>
      </c>
      <c r="BI95" s="10">
        <f>COUNTIFS(Tracking!AA:AA,A95&amp;C95,Tracking!C:C,"5v4",Tracking!Y:Y,"D")+COUNTIFS(Tracking!AA:AA,A95&amp;C95,Tracking!C:C,"5v4",Tracking!Y:Y,"F")</f>
        <v/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/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/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/>
      </c>
    </row>
    <row r="96">
      <c r="BF96" s="10">
        <f>COUNTIFS(Tracking!Z:Z,A96&amp;C96,Tracking!C:C,"5v4",Tracking!Y:Y,"C")</f>
        <v/>
      </c>
      <c r="BG96" s="10">
        <f>COUNTIFS(Tracking!Z:Z,A96&amp;C96,Tracking!C:C,"5v4",Tracking!AB:AB,"Y")</f>
        <v/>
      </c>
      <c r="BH96" s="10">
        <f>COUNTIFS(Tracking!Z:Z,A96&amp;C96,Tracking!C:C,"4v5")</f>
        <v/>
      </c>
      <c r="BI96" s="10">
        <f>COUNTIFS(Tracking!AA:AA,A96&amp;C96,Tracking!C:C,"5v4",Tracking!Y:Y,"D")+COUNTIFS(Tracking!AA:AA,A96&amp;C96,Tracking!C:C,"5v4",Tracking!Y:Y,"F")</f>
        <v/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/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/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/>
      </c>
    </row>
    <row r="97">
      <c r="BF97" s="10">
        <f>COUNTIFS(Tracking!Z:Z,A97&amp;C97,Tracking!C:C,"5v4",Tracking!Y:Y,"C")</f>
        <v/>
      </c>
      <c r="BG97" s="10">
        <f>COUNTIFS(Tracking!Z:Z,A97&amp;C97,Tracking!C:C,"5v4",Tracking!AB:AB,"Y")</f>
        <v/>
      </c>
      <c r="BH97" s="10">
        <f>COUNTIFS(Tracking!Z:Z,A97&amp;C97,Tracking!C:C,"4v5")</f>
        <v/>
      </c>
      <c r="BI97" s="10">
        <f>COUNTIFS(Tracking!AA:AA,A97&amp;C97,Tracking!C:C,"5v4",Tracking!Y:Y,"D")+COUNTIFS(Tracking!AA:AA,A97&amp;C97,Tracking!C:C,"5v4",Tracking!Y:Y,"F")</f>
        <v/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/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/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/>
      </c>
    </row>
    <row r="98">
      <c r="BF98" s="10">
        <f>COUNTIFS(Tracking!Z:Z,A98&amp;C98,Tracking!C:C,"5v4",Tracking!Y:Y,"C")</f>
        <v/>
      </c>
      <c r="BG98" s="10">
        <f>COUNTIFS(Tracking!Z:Z,A98&amp;C98,Tracking!C:C,"5v4",Tracking!AB:AB,"Y")</f>
        <v/>
      </c>
      <c r="BH98" s="10">
        <f>COUNTIFS(Tracking!Z:Z,A98&amp;C98,Tracking!C:C,"4v5")</f>
        <v/>
      </c>
      <c r="BI98" s="10">
        <f>COUNTIFS(Tracking!AA:AA,A98&amp;C98,Tracking!C:C,"5v4",Tracking!Y:Y,"D")+COUNTIFS(Tracking!AA:AA,A98&amp;C98,Tracking!C:C,"5v4",Tracking!Y:Y,"F")</f>
        <v/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/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/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/>
      </c>
    </row>
    <row r="99">
      <c r="BF99" s="10">
        <f>COUNTIFS(Tracking!Z:Z,A99&amp;C99,Tracking!C:C,"5v4",Tracking!Y:Y,"C")</f>
        <v/>
      </c>
      <c r="BG99" s="10">
        <f>COUNTIFS(Tracking!Z:Z,A99&amp;C99,Tracking!C:C,"5v4",Tracking!AB:AB,"Y")</f>
        <v/>
      </c>
      <c r="BH99" s="10">
        <f>COUNTIFS(Tracking!Z:Z,A99&amp;C99,Tracking!C:C,"4v5")</f>
        <v/>
      </c>
      <c r="BI99" s="10">
        <f>COUNTIFS(Tracking!AA:AA,A99&amp;C99,Tracking!C:C,"5v4",Tracking!Y:Y,"D")+COUNTIFS(Tracking!AA:AA,A99&amp;C99,Tracking!C:C,"5v4",Tracking!Y:Y,"F")</f>
        <v/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/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/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/>
      </c>
    </row>
    <row r="100">
      <c r="BF100" s="10">
        <f>COUNTIFS(Tracking!Z:Z,A100&amp;C100,Tracking!C:C,"5v4",Tracking!Y:Y,"C")</f>
        <v/>
      </c>
      <c r="BG100" s="10">
        <f>COUNTIFS(Tracking!Z:Z,A100&amp;C100,Tracking!C:C,"5v4",Tracking!AB:AB,"Y")</f>
        <v/>
      </c>
      <c r="BH100" s="10">
        <f>COUNTIFS(Tracking!Z:Z,A100&amp;C100,Tracking!C:C,"4v5")</f>
        <v/>
      </c>
      <c r="BI100" s="10">
        <f>COUNTIFS(Tracking!AA:AA,A100&amp;C100,Tracking!C:C,"5v4",Tracking!Y:Y,"D")+COUNTIFS(Tracking!AA:AA,A100&amp;C100,Tracking!C:C,"5v4",Tracking!Y:Y,"F")</f>
        <v/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/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/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/>
      </c>
    </row>
    <row r="101">
      <c r="BF101" s="10">
        <f>COUNTIFS(Tracking!Z:Z,A101&amp;C101,Tracking!C:C,"5v4",Tracking!Y:Y,"C")</f>
        <v/>
      </c>
      <c r="BG101" s="10">
        <f>COUNTIFS(Tracking!Z:Z,A101&amp;C101,Tracking!C:C,"5v4",Tracking!AB:AB,"Y")</f>
        <v/>
      </c>
      <c r="BH101" s="10">
        <f>COUNTIFS(Tracking!Z:Z,A101&amp;C101,Tracking!C:C,"4v5")</f>
        <v/>
      </c>
      <c r="BI101" s="10">
        <f>COUNTIFS(Tracking!AA:AA,A101&amp;C101,Tracking!C:C,"5v4",Tracking!Y:Y,"D")+COUNTIFS(Tracking!AA:AA,A101&amp;C101,Tracking!C:C,"5v4",Tracking!Y:Y,"F")</f>
        <v/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/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/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/>
      </c>
    </row>
    <row r="102">
      <c r="BF102" s="10">
        <f>COUNTIFS(Tracking!Z:Z,A102&amp;C102,Tracking!C:C,"5v4",Tracking!Y:Y,"C")</f>
        <v/>
      </c>
      <c r="BG102" s="10">
        <f>COUNTIFS(Tracking!Z:Z,A102&amp;C102,Tracking!C:C,"5v4",Tracking!AB:AB,"Y")</f>
        <v/>
      </c>
      <c r="BH102" s="10">
        <f>COUNTIFS(Tracking!Z:Z,A102&amp;C102,Tracking!C:C,"4v5")</f>
        <v/>
      </c>
      <c r="BI102" s="10">
        <f>COUNTIFS(Tracking!AA:AA,A102&amp;C102,Tracking!C:C,"5v4",Tracking!Y:Y,"D")+COUNTIFS(Tracking!AA:AA,A102&amp;C102,Tracking!C:C,"5v4",Tracking!Y:Y,"F")</f>
        <v/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/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/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/>
      </c>
    </row>
    <row r="103">
      <c r="BF103" s="10">
        <f>COUNTIFS(Tracking!Z:Z,A103&amp;C103,Tracking!C:C,"5v4",Tracking!Y:Y,"C")</f>
        <v/>
      </c>
      <c r="BG103" s="10">
        <f>COUNTIFS(Tracking!Z:Z,A103&amp;C103,Tracking!C:C,"5v4",Tracking!AB:AB,"Y")</f>
        <v/>
      </c>
      <c r="BH103" s="10">
        <f>COUNTIFS(Tracking!Z:Z,A103&amp;C103,Tracking!C:C,"4v5")</f>
        <v/>
      </c>
      <c r="BI103" s="10">
        <f>COUNTIFS(Tracking!AA:AA,A103&amp;C103,Tracking!C:C,"5v4",Tracking!Y:Y,"D")+COUNTIFS(Tracking!AA:AA,A103&amp;C103,Tracking!C:C,"5v4",Tracking!Y:Y,"F")</f>
        <v/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/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/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/>
      </c>
    </row>
    <row r="104">
      <c r="BF104" s="10">
        <f>COUNTIFS(Tracking!Z:Z,A104&amp;C104,Tracking!C:C,"5v4",Tracking!Y:Y,"C")</f>
        <v/>
      </c>
      <c r="BG104" s="10">
        <f>COUNTIFS(Tracking!Z:Z,A104&amp;C104,Tracking!C:C,"5v4",Tracking!AB:AB,"Y")</f>
        <v/>
      </c>
      <c r="BH104" s="10">
        <f>COUNTIFS(Tracking!Z:Z,A104&amp;C104,Tracking!C:C,"4v5")</f>
        <v/>
      </c>
      <c r="BI104" s="10">
        <f>COUNTIFS(Tracking!AA:AA,A104&amp;C104,Tracking!C:C,"5v4",Tracking!Y:Y,"D")+COUNTIFS(Tracking!AA:AA,A104&amp;C104,Tracking!C:C,"5v4",Tracking!Y:Y,"F")</f>
        <v/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/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/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/>
      </c>
    </row>
    <row r="105">
      <c r="BF105" s="10">
        <f>COUNTIFS(Tracking!Z:Z,A105&amp;C105,Tracking!C:C,"5v4",Tracking!Y:Y,"C")</f>
        <v/>
      </c>
      <c r="BG105" s="10">
        <f>COUNTIFS(Tracking!Z:Z,A105&amp;C105,Tracking!C:C,"5v4",Tracking!AB:AB,"Y")</f>
        <v/>
      </c>
      <c r="BH105" s="10">
        <f>COUNTIFS(Tracking!Z:Z,A105&amp;C105,Tracking!C:C,"4v5")</f>
        <v/>
      </c>
      <c r="BI105" s="10">
        <f>COUNTIFS(Tracking!AA:AA,A105&amp;C105,Tracking!C:C,"5v4",Tracking!Y:Y,"D")+COUNTIFS(Tracking!AA:AA,A105&amp;C105,Tracking!C:C,"5v4",Tracking!Y:Y,"F")</f>
        <v/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/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/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/>
      </c>
    </row>
    <row r="106">
      <c r="BF106" s="10">
        <f>COUNTIFS(Tracking!Z:Z,A106&amp;C106,Tracking!C:C,"5v4",Tracking!Y:Y,"C")</f>
        <v/>
      </c>
      <c r="BG106" s="10">
        <f>COUNTIFS(Tracking!Z:Z,A106&amp;C106,Tracking!C:C,"5v4",Tracking!AB:AB,"Y")</f>
        <v/>
      </c>
      <c r="BH106" s="10">
        <f>COUNTIFS(Tracking!Z:Z,A106&amp;C106,Tracking!C:C,"4v5")</f>
        <v/>
      </c>
      <c r="BI106" s="10">
        <f>COUNTIFS(Tracking!AA:AA,A106&amp;C106,Tracking!C:C,"5v4",Tracking!Y:Y,"D")+COUNTIFS(Tracking!AA:AA,A106&amp;C106,Tracking!C:C,"5v4",Tracking!Y:Y,"F")</f>
        <v/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/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/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/>
      </c>
    </row>
    <row r="107">
      <c r="BF107" s="10">
        <f>COUNTIFS(Tracking!Z:Z,A107&amp;C107,Tracking!C:C,"5v4",Tracking!Y:Y,"C")</f>
        <v/>
      </c>
      <c r="BG107" s="10">
        <f>COUNTIFS(Tracking!Z:Z,A107&amp;C107,Tracking!C:C,"5v4",Tracking!AB:AB,"Y")</f>
        <v/>
      </c>
      <c r="BH107" s="10">
        <f>COUNTIFS(Tracking!Z:Z,A107&amp;C107,Tracking!C:C,"4v5")</f>
        <v/>
      </c>
      <c r="BI107" s="10">
        <f>COUNTIFS(Tracking!AA:AA,A107&amp;C107,Tracking!C:C,"5v4",Tracking!Y:Y,"D")+COUNTIFS(Tracking!AA:AA,A107&amp;C107,Tracking!C:C,"5v4",Tracking!Y:Y,"F")</f>
        <v/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/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/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/>
      </c>
    </row>
    <row r="108">
      <c r="BF108" s="10">
        <f>COUNTIFS(Tracking!Z:Z,A108&amp;C108,Tracking!C:C,"5v4",Tracking!Y:Y,"C")</f>
        <v/>
      </c>
      <c r="BG108" s="10">
        <f>COUNTIFS(Tracking!Z:Z,A108&amp;C108,Tracking!C:C,"5v4",Tracking!AB:AB,"Y")</f>
        <v/>
      </c>
      <c r="BH108" s="10">
        <f>COUNTIFS(Tracking!Z:Z,A108&amp;C108,Tracking!C:C,"4v5")</f>
        <v/>
      </c>
      <c r="BI108" s="10">
        <f>COUNTIFS(Tracking!AA:AA,A108&amp;C108,Tracking!C:C,"5v4",Tracking!Y:Y,"D")+COUNTIFS(Tracking!AA:AA,A108&amp;C108,Tracking!C:C,"5v4",Tracking!Y:Y,"F")</f>
        <v/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/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/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/>
      </c>
    </row>
    <row r="109">
      <c r="BF109" s="10">
        <f>COUNTIFS(Tracking!Z:Z,A109&amp;C109,Tracking!C:C,"5v4",Tracking!Y:Y,"C")</f>
        <v/>
      </c>
      <c r="BG109" s="10">
        <f>COUNTIFS(Tracking!Z:Z,A109&amp;C109,Tracking!C:C,"5v4",Tracking!AB:AB,"Y")</f>
        <v/>
      </c>
      <c r="BH109" s="10">
        <f>COUNTIFS(Tracking!Z:Z,A109&amp;C109,Tracking!C:C,"4v5")</f>
        <v/>
      </c>
      <c r="BI109" s="10">
        <f>COUNTIFS(Tracking!AA:AA,A109&amp;C109,Tracking!C:C,"5v4",Tracking!Y:Y,"D")+COUNTIFS(Tracking!AA:AA,A109&amp;C109,Tracking!C:C,"5v4",Tracking!Y:Y,"F")</f>
        <v/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/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/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/>
      </c>
    </row>
  </sheetData>
  <autoFilter ref="A1:DV37">
    <sortState ref="A2:DV37">
      <sortCondition ref="AW1:AW37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Corey Sznajder</dc:creator>
  <dcterms:created xsi:type="dcterms:W3CDTF">2021-01-12T21:39:44Z</dcterms:created>
  <dcterms:modified xsi:type="dcterms:W3CDTF">2026-05-06T18:16:18Z</dcterms:modified>
  <cp:lastModifiedBy>Corey Sznajder</cp:lastModifiedBy>
</cp:coreProperties>
</file>