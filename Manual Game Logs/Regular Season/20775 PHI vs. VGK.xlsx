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3AC71A1A-2C47-4F86-9CBA-B8027CE2EFB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K14" i="2"/>
  <c r="CK3" i="2"/>
  <c r="CK28" i="2"/>
  <c r="CK25" i="2"/>
  <c r="CK11" i="2"/>
  <c r="CK37" i="2"/>
  <c r="CP7" i="2"/>
  <c r="CK7" i="2"/>
  <c r="CK6" i="2"/>
  <c r="CK27" i="2"/>
  <c r="CK24" i="2"/>
  <c r="CK2" i="2"/>
  <c r="CP11" i="2"/>
  <c r="CK34" i="2"/>
  <c r="CP3" i="2"/>
  <c r="CK16" i="2"/>
  <c r="CP10" i="2"/>
  <c r="CK21" i="2"/>
  <c r="CK19" i="2"/>
  <c r="CK36" i="2"/>
  <c r="CK33" i="2"/>
  <c r="CK30" i="2"/>
  <c r="CK20" i="2"/>
  <c r="CK22" i="2"/>
  <c r="CK13" i="2"/>
  <c r="CK10" i="2"/>
  <c r="CK31" i="2"/>
  <c r="CK5" i="2"/>
  <c r="CK26" i="2"/>
  <c r="CP8" i="2"/>
  <c r="CP9" i="2"/>
  <c r="CK23" i="2"/>
  <c r="CK18" i="2"/>
  <c r="CK8" i="2"/>
  <c r="CP5" i="2"/>
  <c r="CK35" i="2"/>
  <c r="CK32" i="2"/>
  <c r="CK29" i="2"/>
  <c r="CP4" i="2"/>
  <c r="CK12" i="2"/>
  <c r="CK9" i="2"/>
  <c r="CK15" i="2"/>
  <c r="CP12" i="2"/>
  <c r="CK4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<sst xmlns="http://schemas.openxmlformats.org/spreadsheetml/2006/main" count="2146" uniqueCount="274">
  <si>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</si>
  <si>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</si>
  <si>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</si>
  <si>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</si>
  <si>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</si>
  <si>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</si>
  <si>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</si>
  <si>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</si>
  <si>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</si>
  <si>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</si>
  <si>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</si>
  <si>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</si>
  <si>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</si>
  <si>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</si>
  <si>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</si>
  <si>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</si>
  <si>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</si>
  <si>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</si>
  <si>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</si>
  <si>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</si>
  <si>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</si>
  <si>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</si>
  <si>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</si>
  <si>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</si>
  <si>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</si>
  <si>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</si>
  <si>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</si>
  <si>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</si>
  <si>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</si>
  <si>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</si>
  <si>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</si>
  <si>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</si>
  <si>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</si>
  <si>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</si>
  <si>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</si>
  <si>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</si>
  <si>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</si>
  <si>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</si>
  <si>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</si>
  <si>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</si>
  <si>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</si>
  <si>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</si>
  <si>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</si>
  <si>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</si>
  <si>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</si>
  <si>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</si>
  <si>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</si>
  <si>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</si>
  <si>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</si>
  <si>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</si>
  <si>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</si>
  <si>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</si>
  <si>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</si>
  <si>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</si>
  <si>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</si>
  <si>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</si>
  <si>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</si>
  <si>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</si>
  <si>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</si>
  <si>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</si>
  <si>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</si>
  <si>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</si>
  <si>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</si>
  <si>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</si>
  <si>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</si>
  <si>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</si>
  <si>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</si>
  <si>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</si>
  <si>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</si>
  <si>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</si>
  <si>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</si>
  <si>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</si>
  <si>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</si>
  <si>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</si>
  <si>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</si>
  <si>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</si>
  <si>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</si>
  <si>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</si>
  <si>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</si>
  <si>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</si>
  <si>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</si>
  <si>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</si>
  <si>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</si>
  <si>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</si>
  <si>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</si>
  <si>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</si>
  <si>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</si>
  <si>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</si>
  <si>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</si>
  <si>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</si>
  <si>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</si>
  <si>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</si>
  <si>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</si>
  <si>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</si>
  <si>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</si>
  <si>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</si>
  <si>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</si>
  <si>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</si>
  <si>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</si>
  <si>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</si>
  <si>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</si>
  <si>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</si>
  <si>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</si>
  <si>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</si>
  <si>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</si>
  <si>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</si>
  <si>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</si>
  <si>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</si>
  <si>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</si>
  <si>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</si>
  <si>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</si>
  <si>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</si>
  <si>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</si>
  <si>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</si>
  <si>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</si>
  <si>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</si>
  <si>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</si>
  <si>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</si>
  <si>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</si>
  <si>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</si>
  <si>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</si>
  <si>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</si>
  <si>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</si>
  <si>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</si>
  <si>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</si>
  <si>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</si>
  <si>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</si>
  <si>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</si>
  <si>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</si>
  <si>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</si>
  <si>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</si>
  <si>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VAN</t>
  </si>
  <si>
    <t>w</t>
  </si>
  <si>
    <t>y</t>
  </si>
  <si>
    <t>f</t>
  </si>
  <si>
    <t>oz</t>
  </si>
  <si>
    <t>VGK</t>
  </si>
  <si>
    <t>W</t>
  </si>
  <si>
    <t>Y</t>
  </si>
  <si>
    <t>oc</t>
  </si>
  <si>
    <t>ol</t>
  </si>
  <si>
    <t>or</t>
  </si>
  <si>
    <t>r</t>
  </si>
  <si>
    <t>nz</t>
  </si>
  <si>
    <t>nz recovery</t>
  </si>
  <si>
    <t>PHI</t>
  </si>
  <si>
    <t>dz</t>
  </si>
  <si>
    <t>dz counter</t>
  </si>
  <si>
    <t>1 on 0</t>
  </si>
  <si>
    <t>oelpl</t>
  </si>
  <si>
    <t>dz exit</t>
  </si>
  <si>
    <t>dl</t>
  </si>
  <si>
    <t>5v4</t>
  </si>
  <si>
    <t>O</t>
  </si>
  <si>
    <t>oelc</t>
  </si>
  <si>
    <t>opl</t>
  </si>
  <si>
    <t>t</t>
  </si>
  <si>
    <t>s</t>
  </si>
  <si>
    <t>T</t>
  </si>
  <si>
    <t>opr</t>
  </si>
  <si>
    <t>oz faceoff</t>
  </si>
  <si>
    <t>c</t>
  </si>
  <si>
    <t>nc</t>
  </si>
  <si>
    <t>nz turnover</t>
  </si>
  <si>
    <t>controlled breakout</t>
  </si>
  <si>
    <t>a</t>
  </si>
  <si>
    <t>nz regroup</t>
  </si>
  <si>
    <t>b</t>
  </si>
  <si>
    <t>nl</t>
  </si>
  <si>
    <t>dsr</t>
  </si>
  <si>
    <t>S</t>
  </si>
  <si>
    <t>o</t>
  </si>
  <si>
    <t>nr</t>
  </si>
  <si>
    <t>dr</t>
  </si>
  <si>
    <t>4v5</t>
  </si>
  <si>
    <t>R</t>
  </si>
  <si>
    <t>orrr</t>
  </si>
  <si>
    <t>orrl</t>
  </si>
  <si>
    <t>6PHI</t>
  </si>
  <si>
    <t>EXC</t>
  </si>
  <si>
    <t>N</t>
  </si>
  <si>
    <t>74PHI</t>
  </si>
  <si>
    <t>CLE</t>
  </si>
  <si>
    <t>D</t>
  </si>
  <si>
    <t>61VGK</t>
  </si>
  <si>
    <t>9VGK</t>
  </si>
  <si>
    <t>19VGK</t>
  </si>
  <si>
    <t>C</t>
  </si>
  <si>
    <t>33PHI</t>
  </si>
  <si>
    <t>24PHI</t>
  </si>
  <si>
    <t>FEX</t>
  </si>
  <si>
    <t>17VGK</t>
  </si>
  <si>
    <t>10PHI</t>
  </si>
  <si>
    <t>47PHI</t>
  </si>
  <si>
    <t>88VGK</t>
  </si>
  <si>
    <t>L</t>
  </si>
  <si>
    <t>93VGK</t>
  </si>
  <si>
    <t>PEX</t>
  </si>
  <si>
    <t>91PHI</t>
  </si>
  <si>
    <t>33VGK</t>
  </si>
  <si>
    <t>MEX</t>
  </si>
  <si>
    <t>26VGK</t>
  </si>
  <si>
    <t>6VGK</t>
  </si>
  <si>
    <t>55VGK</t>
  </si>
  <si>
    <t>48VGK</t>
  </si>
  <si>
    <t>11PHI</t>
  </si>
  <si>
    <t>49VGK</t>
  </si>
  <si>
    <t>39PHI</t>
  </si>
  <si>
    <t>CEX</t>
  </si>
  <si>
    <t>5VGK</t>
  </si>
  <si>
    <t>27VGK</t>
  </si>
  <si>
    <t>9PHI</t>
  </si>
  <si>
    <t>16VGK</t>
  </si>
  <si>
    <t>52PHI</t>
  </si>
  <si>
    <t>14PHI</t>
  </si>
  <si>
    <t>46PHI</t>
  </si>
  <si>
    <t>28VGK</t>
  </si>
  <si>
    <t>22PHI</t>
  </si>
  <si>
    <t>23VGK</t>
  </si>
  <si>
    <t>27PHI</t>
  </si>
  <si>
    <t>15VGK</t>
  </si>
  <si>
    <t>X</t>
  </si>
  <si>
    <t>25PHI</t>
  </si>
  <si>
    <t>F</t>
  </si>
  <si>
    <t>36PHI</t>
  </si>
  <si>
    <t>19PHI</t>
  </si>
  <si>
    <t>42VGK</t>
  </si>
  <si>
    <t>BOT</t>
  </si>
  <si>
    <t>8PHI</t>
  </si>
  <si>
    <t>n</t>
  </si>
  <si>
    <t>28PHI</t>
  </si>
  <si>
    <t>36VGK</t>
  </si>
  <si>
    <t>\</t>
  </si>
  <si>
    <t>Alexander Holtz</t>
  </si>
  <si>
    <t>Ben Hutton</t>
  </si>
  <si>
    <t>Braeden Bowman</t>
  </si>
  <si>
    <t>Cole Reinhardt</t>
  </si>
  <si>
    <t>Ivan Barbashev</t>
  </si>
  <si>
    <t>Jack Eichel</t>
  </si>
  <si>
    <t>Jaycob Megna</t>
  </si>
  <si>
    <t>Jeremy Lauzon</t>
  </si>
  <si>
    <t>Kaedan Korczak</t>
  </si>
  <si>
    <t>Keegan Kolesar</t>
  </si>
  <si>
    <t>Mark Stone</t>
  </si>
  <si>
    <t>Mitch Marner</t>
  </si>
  <si>
    <t>Noah Hanifin</t>
  </si>
  <si>
    <t>Pavel Dorofeyev</t>
  </si>
  <si>
    <t>Reilly Smith</t>
  </si>
  <si>
    <t>Shea Theodore</t>
  </si>
  <si>
    <t>Tanner Laczynski</t>
  </si>
  <si>
    <t>Tomas Hertl</t>
  </si>
  <si>
    <t>Bobby Brink</t>
  </si>
  <si>
    <t>Cam York</t>
  </si>
  <si>
    <t>Carl Grundstrom</t>
  </si>
  <si>
    <t>Christian Dvorak</t>
  </si>
  <si>
    <t>Denver Barkey</t>
  </si>
  <si>
    <t>Emil Andrae</t>
  </si>
  <si>
    <t>Garnet Hathaway</t>
  </si>
  <si>
    <t>Jamie Drysdale</t>
  </si>
  <si>
    <t>Lane Pederson</t>
  </si>
  <si>
    <t>Matvei Michkov</t>
  </si>
  <si>
    <t>Nick Seeler</t>
  </si>
  <si>
    <t>Noah Cates</t>
  </si>
  <si>
    <t>Noah Juulsen</t>
  </si>
  <si>
    <t>Owen Tippett</t>
  </si>
  <si>
    <t>Sean Couturier</t>
  </si>
  <si>
    <t>Travis Konecny</t>
  </si>
  <si>
    <t>Travis Sanheim</t>
  </si>
  <si>
    <t>Trevor Zegras</t>
  </si>
  <si>
    <t>Samuel Ersson</t>
  </si>
  <si>
    <t>G</t>
  </si>
  <si>
    <t>Adin Hill</t>
  </si>
  <si>
    <t>2025-26</t>
  </si>
  <si>
    <t>1/19/2026 VGK vs.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</si>
</sst>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20"/>
  <sheetViews>
    <sheetView zoomScale="70" zoomScaleNormal="70" workbookViewId="0">
      <pane xSplit="3" ySplit="1" topLeftCell="Q154" activePane="bottomRight" state="frozen"/>
      <selection pane="topRight" activeCell="D1" sqref="D1"/>
      <selection pane="bottomLeft" activeCell="A2" sqref="A2"/>
      <selection pane="bottomRight" activeCell="A2" sqref="A2:XFD21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0.8208333333333333</v>
      </c>
      <c r="C2" s="21" t="s">
        <v>130</v>
      </c>
      <c r="D2" s="1" t="s">
        <v>131</v>
      </c>
      <c r="E2" s="1">
        <v>15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33</v>
      </c>
      <c r="W2" s="1">
        <v>20775</v>
      </c>
      <c r="X2" s="1">
        <v>45953</v>
      </c>
      <c r="AK2" s="7"/>
      <c r="AL2" s="7"/>
    </row>
    <row r="3" spans="1:40" x14ac:dyDescent="0.35">
      <c r="A3" s="2">
        <v>1</v>
      </c>
      <c r="B3" s="15">
        <v>0.76180555555555551</v>
      </c>
      <c r="C3" s="21" t="s">
        <v>130</v>
      </c>
      <c r="D3" s="1" t="s">
        <v>136</v>
      </c>
      <c r="E3" s="1">
        <v>16</v>
      </c>
      <c r="F3" s="1" t="s">
        <v>137</v>
      </c>
      <c r="N3" s="1" t="s">
        <v>138</v>
      </c>
      <c r="P3" s="1" t="s">
        <v>134</v>
      </c>
      <c r="Q3" s="1" t="s">
        <v>135</v>
      </c>
      <c r="U3" s="1">
        <v>0</v>
      </c>
      <c r="V3" s="1">
        <v>33</v>
      </c>
      <c r="W3" s="1">
        <v>20775</v>
      </c>
      <c r="X3" s="1">
        <v>46041</v>
      </c>
      <c r="AK3" s="7"/>
      <c r="AL3" s="7"/>
    </row>
    <row r="4" spans="1:40" x14ac:dyDescent="0.35">
      <c r="A4" s="7">
        <v>1</v>
      </c>
      <c r="B4" s="15">
        <v>0.7416666666666667</v>
      </c>
      <c r="C4" s="21" t="s">
        <v>130</v>
      </c>
      <c r="D4" s="1" t="s">
        <v>136</v>
      </c>
      <c r="E4" s="1">
        <v>88</v>
      </c>
      <c r="F4" s="1" t="s">
        <v>132</v>
      </c>
      <c r="G4" s="1">
        <v>93</v>
      </c>
      <c r="J4" s="1" t="s">
        <v>139</v>
      </c>
      <c r="N4" s="1" t="s">
        <v>133</v>
      </c>
      <c r="P4" s="1" t="s">
        <v>134</v>
      </c>
      <c r="Q4" s="1" t="s">
        <v>135</v>
      </c>
      <c r="U4" s="1">
        <v>0</v>
      </c>
      <c r="V4" s="1">
        <v>33</v>
      </c>
      <c r="W4" s="1">
        <v>20775</v>
      </c>
      <c r="X4" s="1">
        <v>45953</v>
      </c>
      <c r="AK4" s="7"/>
      <c r="AL4" s="7"/>
    </row>
    <row r="5" spans="1:40" x14ac:dyDescent="0.35">
      <c r="A5" s="7">
        <v>1</v>
      </c>
      <c r="B5" s="14">
        <v>0.7055555555555556</v>
      </c>
      <c r="C5" s="21" t="s">
        <v>130</v>
      </c>
      <c r="D5" s="1" t="s">
        <v>136</v>
      </c>
      <c r="E5" s="1">
        <v>26</v>
      </c>
      <c r="F5" s="1" t="s">
        <v>132</v>
      </c>
      <c r="G5" s="1">
        <v>23</v>
      </c>
      <c r="H5" s="1">
        <v>26</v>
      </c>
      <c r="J5" s="1" t="s">
        <v>140</v>
      </c>
      <c r="K5" s="1" t="s">
        <v>141</v>
      </c>
      <c r="M5" s="1" t="s">
        <v>133</v>
      </c>
      <c r="N5" s="1" t="s">
        <v>133</v>
      </c>
      <c r="P5" s="1" t="s">
        <v>142</v>
      </c>
      <c r="Q5" s="1" t="s">
        <v>143</v>
      </c>
      <c r="R5" s="1" t="s">
        <v>144</v>
      </c>
      <c r="U5" s="1">
        <v>0</v>
      </c>
      <c r="V5" s="1">
        <v>33</v>
      </c>
      <c r="W5" s="1">
        <v>20775</v>
      </c>
      <c r="X5" s="1">
        <v>45953</v>
      </c>
      <c r="AK5" s="7"/>
      <c r="AL5" s="7"/>
    </row>
    <row r="6" spans="1:40" x14ac:dyDescent="0.35">
      <c r="A6" s="2">
        <v>1</v>
      </c>
      <c r="B6" s="15">
        <v>0.67638888888888893</v>
      </c>
      <c r="C6" s="21" t="s">
        <v>130</v>
      </c>
      <c r="D6" s="1" t="s">
        <v>145</v>
      </c>
      <c r="E6" s="1">
        <v>11</v>
      </c>
      <c r="F6" s="1" t="s">
        <v>132</v>
      </c>
      <c r="M6" s="1" t="s">
        <v>133</v>
      </c>
      <c r="N6" s="1" t="s">
        <v>133</v>
      </c>
      <c r="P6" s="1" t="s">
        <v>142</v>
      </c>
      <c r="Q6" s="1" t="s">
        <v>146</v>
      </c>
      <c r="R6" s="1" t="s">
        <v>147</v>
      </c>
      <c r="S6" s="1" t="s">
        <v>148</v>
      </c>
      <c r="T6" s="1" t="s">
        <v>133</v>
      </c>
      <c r="U6" s="1">
        <v>0</v>
      </c>
      <c r="V6" s="1">
        <v>33</v>
      </c>
      <c r="W6" s="1">
        <v>20775</v>
      </c>
      <c r="X6" s="1">
        <v>45953</v>
      </c>
      <c r="AK6" s="7"/>
      <c r="AL6" s="7"/>
    </row>
    <row r="7" spans="1:40" x14ac:dyDescent="0.35">
      <c r="A7" s="2">
        <v>1</v>
      </c>
      <c r="B7" s="15">
        <v>0.6645833333333333</v>
      </c>
      <c r="C7" s="21" t="s">
        <v>130</v>
      </c>
      <c r="D7" s="1" t="s">
        <v>136</v>
      </c>
      <c r="E7" s="1">
        <v>5</v>
      </c>
      <c r="F7" s="1" t="s">
        <v>137</v>
      </c>
      <c r="G7" s="1">
        <v>49</v>
      </c>
      <c r="H7" s="1">
        <v>61</v>
      </c>
      <c r="J7" s="1" t="s">
        <v>149</v>
      </c>
      <c r="K7" s="1" t="s">
        <v>141</v>
      </c>
      <c r="N7" s="1" t="s">
        <v>138</v>
      </c>
      <c r="O7" s="1" t="s">
        <v>138</v>
      </c>
      <c r="P7" s="1" t="s">
        <v>134</v>
      </c>
      <c r="Q7" s="1" t="s">
        <v>135</v>
      </c>
      <c r="U7" s="1">
        <v>-1</v>
      </c>
      <c r="V7" s="1">
        <v>33</v>
      </c>
      <c r="W7" s="1">
        <v>20775</v>
      </c>
      <c r="X7" s="1">
        <v>45953</v>
      </c>
      <c r="AK7" s="7"/>
      <c r="AL7" s="7"/>
    </row>
    <row r="8" spans="1:40" x14ac:dyDescent="0.35">
      <c r="A8" s="7">
        <v>1</v>
      </c>
      <c r="B8" s="15">
        <v>0.65763888888888888</v>
      </c>
      <c r="C8" s="21" t="s">
        <v>130</v>
      </c>
      <c r="D8" s="1" t="s">
        <v>145</v>
      </c>
      <c r="E8" s="1">
        <v>39</v>
      </c>
      <c r="F8" s="1" t="s">
        <v>132</v>
      </c>
      <c r="N8" s="1" t="s">
        <v>133</v>
      </c>
      <c r="P8" s="1" t="s">
        <v>142</v>
      </c>
      <c r="Q8" s="1" t="s">
        <v>146</v>
      </c>
      <c r="R8" s="1" t="s">
        <v>147</v>
      </c>
      <c r="U8" s="1">
        <v>-1</v>
      </c>
      <c r="V8" s="1">
        <v>33</v>
      </c>
      <c r="W8" s="1">
        <v>20775</v>
      </c>
      <c r="X8" s="1">
        <v>45953</v>
      </c>
      <c r="AK8" s="7"/>
      <c r="AL8" s="7"/>
    </row>
    <row r="9" spans="1:40" x14ac:dyDescent="0.35">
      <c r="A9" s="2">
        <v>1</v>
      </c>
      <c r="B9" s="15">
        <v>0.64861111111111114</v>
      </c>
      <c r="C9" s="21" t="s">
        <v>130</v>
      </c>
      <c r="D9" s="1" t="s">
        <v>136</v>
      </c>
      <c r="E9" s="1">
        <v>5</v>
      </c>
      <c r="F9" s="1" t="s">
        <v>132</v>
      </c>
      <c r="P9" s="1" t="s">
        <v>134</v>
      </c>
      <c r="Q9" s="1" t="s">
        <v>135</v>
      </c>
      <c r="U9" s="1">
        <v>-1</v>
      </c>
      <c r="V9" s="1">
        <v>33</v>
      </c>
      <c r="W9" s="1">
        <v>20775</v>
      </c>
      <c r="X9" s="1">
        <v>45953</v>
      </c>
      <c r="AK9" s="7"/>
      <c r="AL9" s="7"/>
    </row>
    <row r="10" spans="1:40" x14ac:dyDescent="0.35">
      <c r="A10" s="2">
        <v>1</v>
      </c>
      <c r="B10" s="15">
        <v>0.63611111111111107</v>
      </c>
      <c r="C10" s="21" t="s">
        <v>130</v>
      </c>
      <c r="D10" s="1" t="s">
        <v>136</v>
      </c>
      <c r="E10" s="1">
        <v>49</v>
      </c>
      <c r="F10" s="1" t="s">
        <v>132</v>
      </c>
      <c r="G10" s="1">
        <v>61</v>
      </c>
      <c r="H10" s="1">
        <v>9</v>
      </c>
      <c r="J10" s="1" t="s">
        <v>141</v>
      </c>
      <c r="K10" s="1" t="s">
        <v>141</v>
      </c>
      <c r="N10" s="1" t="s">
        <v>133</v>
      </c>
      <c r="P10" s="1" t="s">
        <v>142</v>
      </c>
      <c r="Q10" s="1" t="s">
        <v>146</v>
      </c>
      <c r="R10" s="1" t="s">
        <v>150</v>
      </c>
      <c r="U10" s="1">
        <v>-1</v>
      </c>
      <c r="V10" s="1">
        <v>33</v>
      </c>
      <c r="W10" s="1">
        <v>20775</v>
      </c>
      <c r="X10" s="1">
        <v>45953</v>
      </c>
      <c r="AK10" s="7"/>
      <c r="AL10" s="7"/>
    </row>
    <row r="11" spans="1:40" x14ac:dyDescent="0.35">
      <c r="A11" s="2">
        <v>1</v>
      </c>
      <c r="B11" s="15">
        <v>0.59722222222222221</v>
      </c>
      <c r="C11" s="21" t="s">
        <v>130</v>
      </c>
      <c r="D11" s="1" t="s">
        <v>136</v>
      </c>
      <c r="E11" s="1">
        <v>16</v>
      </c>
      <c r="F11" s="1" t="s">
        <v>132</v>
      </c>
      <c r="P11" s="1" t="s">
        <v>134</v>
      </c>
      <c r="Q11" s="1" t="s">
        <v>135</v>
      </c>
      <c r="U11" s="1">
        <v>-1</v>
      </c>
      <c r="V11" s="1">
        <v>33</v>
      </c>
      <c r="W11" s="1">
        <v>20775</v>
      </c>
      <c r="X11" s="1">
        <v>45953</v>
      </c>
      <c r="AK11" s="7"/>
      <c r="AL11" s="7"/>
    </row>
    <row r="12" spans="1:40" x14ac:dyDescent="0.35">
      <c r="A12" s="2">
        <v>1</v>
      </c>
      <c r="B12" s="15">
        <v>0.51180555555555551</v>
      </c>
      <c r="C12" s="21" t="s">
        <v>130</v>
      </c>
      <c r="D12" s="1" t="s">
        <v>145</v>
      </c>
      <c r="E12" s="1">
        <v>27</v>
      </c>
      <c r="F12" s="1" t="s">
        <v>132</v>
      </c>
      <c r="G12" s="1">
        <v>10</v>
      </c>
      <c r="H12" s="1">
        <v>27</v>
      </c>
      <c r="J12" s="1" t="s">
        <v>139</v>
      </c>
      <c r="K12" s="1" t="s">
        <v>151</v>
      </c>
      <c r="N12" s="1" t="s">
        <v>133</v>
      </c>
      <c r="P12" s="1" t="s">
        <v>142</v>
      </c>
      <c r="Q12" s="1" t="s">
        <v>146</v>
      </c>
      <c r="R12" s="1" t="s">
        <v>150</v>
      </c>
      <c r="U12" s="1">
        <v>-1</v>
      </c>
      <c r="V12" s="1">
        <v>33</v>
      </c>
      <c r="W12" s="1">
        <v>20775</v>
      </c>
      <c r="X12" s="1">
        <v>45953</v>
      </c>
      <c r="AK12" s="7"/>
      <c r="AL12" s="7"/>
    </row>
    <row r="13" spans="1:40" x14ac:dyDescent="0.35">
      <c r="A13" s="7">
        <v>1</v>
      </c>
      <c r="B13" s="15">
        <v>0.49791666666666667</v>
      </c>
      <c r="C13" s="21" t="s">
        <v>130</v>
      </c>
      <c r="D13" s="1" t="s">
        <v>136</v>
      </c>
      <c r="E13" s="1">
        <v>15</v>
      </c>
      <c r="F13" s="1" t="s">
        <v>132</v>
      </c>
      <c r="G13" s="1">
        <v>42</v>
      </c>
      <c r="J13" s="1" t="s">
        <v>141</v>
      </c>
      <c r="M13" s="1" t="s">
        <v>133</v>
      </c>
      <c r="P13" s="1" t="s">
        <v>134</v>
      </c>
      <c r="Q13" s="1" t="s">
        <v>135</v>
      </c>
      <c r="U13" s="1">
        <v>-1</v>
      </c>
      <c r="V13" s="1">
        <v>33</v>
      </c>
      <c r="W13" s="1">
        <v>20775</v>
      </c>
      <c r="X13" s="1">
        <v>45953</v>
      </c>
      <c r="AK13" s="7"/>
      <c r="AL13" s="7"/>
    </row>
    <row r="14" spans="1:40" x14ac:dyDescent="0.35">
      <c r="A14" s="2">
        <v>1</v>
      </c>
      <c r="B14" s="15">
        <v>0.33333333333333331</v>
      </c>
      <c r="C14" s="21" t="s">
        <v>152</v>
      </c>
      <c r="D14" s="1" t="s">
        <v>136</v>
      </c>
      <c r="E14" s="1">
        <v>48</v>
      </c>
      <c r="F14" s="1" t="s">
        <v>153</v>
      </c>
      <c r="G14" s="1">
        <v>61</v>
      </c>
      <c r="H14" s="1">
        <v>9</v>
      </c>
      <c r="I14" s="1">
        <v>93</v>
      </c>
      <c r="J14" s="1" t="s">
        <v>154</v>
      </c>
      <c r="K14" s="1" t="s">
        <v>140</v>
      </c>
      <c r="L14" s="1" t="s">
        <v>139</v>
      </c>
      <c r="M14" s="1" t="s">
        <v>138</v>
      </c>
      <c r="N14" s="1" t="s">
        <v>138</v>
      </c>
      <c r="U14" s="1">
        <v>-1</v>
      </c>
      <c r="V14" s="1">
        <v>33</v>
      </c>
      <c r="W14" s="1">
        <v>20775</v>
      </c>
      <c r="X14" s="1">
        <v>45953</v>
      </c>
      <c r="AK14" s="7"/>
      <c r="AL14" s="7"/>
    </row>
    <row r="15" spans="1:40" x14ac:dyDescent="0.35">
      <c r="A15" s="2">
        <v>1</v>
      </c>
      <c r="B15" s="15">
        <v>0.29652777777777778</v>
      </c>
      <c r="C15" s="21" t="s">
        <v>152</v>
      </c>
      <c r="D15" s="1" t="s">
        <v>145</v>
      </c>
      <c r="E15" s="1">
        <v>10</v>
      </c>
      <c r="F15" s="1" t="s">
        <v>153</v>
      </c>
      <c r="G15" s="1">
        <v>9</v>
      </c>
      <c r="H15" s="1">
        <v>10</v>
      </c>
      <c r="J15" s="1" t="s">
        <v>139</v>
      </c>
      <c r="K15" s="1" t="s">
        <v>155</v>
      </c>
      <c r="U15" s="1">
        <v>-1</v>
      </c>
      <c r="V15" s="1">
        <v>33</v>
      </c>
      <c r="W15" s="1">
        <v>20775</v>
      </c>
      <c r="X15" s="1">
        <v>45953</v>
      </c>
      <c r="AK15" s="7"/>
      <c r="AL15" s="7"/>
    </row>
    <row r="16" spans="1:40" x14ac:dyDescent="0.35">
      <c r="A16" s="2">
        <v>1</v>
      </c>
      <c r="B16" s="15">
        <v>0.29444444444444445</v>
      </c>
      <c r="C16" s="21" t="s">
        <v>152</v>
      </c>
      <c r="D16" s="1" t="s">
        <v>145</v>
      </c>
      <c r="E16" s="1">
        <v>22</v>
      </c>
      <c r="F16" s="1" t="s">
        <v>156</v>
      </c>
      <c r="G16" s="1">
        <v>9</v>
      </c>
      <c r="J16" s="1" t="s">
        <v>157</v>
      </c>
      <c r="M16" s="1" t="s">
        <v>133</v>
      </c>
      <c r="N16" s="1" t="s">
        <v>133</v>
      </c>
      <c r="O16" s="1" t="s">
        <v>133</v>
      </c>
      <c r="U16" s="1">
        <v>-1</v>
      </c>
      <c r="V16" s="1">
        <v>33</v>
      </c>
      <c r="W16" s="1">
        <v>20775</v>
      </c>
      <c r="X16" s="1">
        <v>45953</v>
      </c>
      <c r="AK16" s="7"/>
      <c r="AL16" s="7"/>
    </row>
    <row r="17" spans="1:38" x14ac:dyDescent="0.35">
      <c r="A17" s="2">
        <v>1</v>
      </c>
      <c r="B17" s="15">
        <v>0.29375000000000001</v>
      </c>
      <c r="C17" s="21" t="s">
        <v>152</v>
      </c>
      <c r="D17" s="1" t="s">
        <v>145</v>
      </c>
      <c r="E17" s="1">
        <v>46</v>
      </c>
      <c r="F17" s="1" t="s">
        <v>142</v>
      </c>
      <c r="M17" s="1" t="s">
        <v>133</v>
      </c>
      <c r="N17" s="1" t="s">
        <v>133</v>
      </c>
      <c r="U17" s="1">
        <v>-1</v>
      </c>
      <c r="V17" s="1">
        <v>33</v>
      </c>
      <c r="W17" s="1">
        <v>20775</v>
      </c>
      <c r="X17" s="1">
        <v>45953</v>
      </c>
      <c r="AK17" s="7"/>
      <c r="AL17" s="7"/>
    </row>
    <row r="18" spans="1:38" x14ac:dyDescent="0.35">
      <c r="A18" s="2">
        <v>1</v>
      </c>
      <c r="B18" s="15">
        <v>0.20347222222222222</v>
      </c>
      <c r="C18" s="21" t="s">
        <v>152</v>
      </c>
      <c r="D18" s="1" t="s">
        <v>136</v>
      </c>
      <c r="E18" s="1">
        <v>49</v>
      </c>
      <c r="F18" s="1" t="s">
        <v>158</v>
      </c>
      <c r="G18" s="1">
        <v>93</v>
      </c>
      <c r="H18" s="1">
        <v>9</v>
      </c>
      <c r="J18" s="1" t="s">
        <v>157</v>
      </c>
      <c r="K18" s="1" t="s">
        <v>155</v>
      </c>
      <c r="M18" s="1" t="s">
        <v>138</v>
      </c>
      <c r="N18" s="1" t="s">
        <v>138</v>
      </c>
      <c r="O18" s="1" t="s">
        <v>138</v>
      </c>
      <c r="U18" s="1">
        <v>-1</v>
      </c>
      <c r="V18" s="1">
        <v>33</v>
      </c>
      <c r="W18" s="1">
        <v>20775</v>
      </c>
      <c r="X18" s="1">
        <v>45953</v>
      </c>
      <c r="AK18" s="7"/>
      <c r="AL18" s="7"/>
    </row>
    <row r="19" spans="1:38" x14ac:dyDescent="0.35">
      <c r="A19" s="7">
        <v>1</v>
      </c>
      <c r="B19" s="15">
        <v>0.18194444444444444</v>
      </c>
      <c r="C19" s="21" t="s">
        <v>152</v>
      </c>
      <c r="D19" s="1" t="s">
        <v>136</v>
      </c>
      <c r="E19" s="1">
        <v>16</v>
      </c>
      <c r="F19" s="1" t="s">
        <v>137</v>
      </c>
      <c r="G19" s="1">
        <v>48</v>
      </c>
      <c r="H19" s="1">
        <v>93</v>
      </c>
      <c r="I19" s="1">
        <v>9</v>
      </c>
      <c r="J19" s="1" t="s">
        <v>139</v>
      </c>
      <c r="K19" s="1" t="s">
        <v>140</v>
      </c>
      <c r="L19" s="1" t="s">
        <v>155</v>
      </c>
      <c r="M19" s="1" t="s">
        <v>138</v>
      </c>
      <c r="N19" s="1" t="s">
        <v>138</v>
      </c>
      <c r="U19" s="1">
        <v>-1</v>
      </c>
      <c r="V19" s="1">
        <v>33</v>
      </c>
      <c r="W19" s="1">
        <v>20775</v>
      </c>
      <c r="X19" s="1">
        <v>45953</v>
      </c>
      <c r="AK19" s="7"/>
      <c r="AL19" s="7"/>
    </row>
    <row r="20" spans="1:38" x14ac:dyDescent="0.35">
      <c r="A20" s="2">
        <v>1</v>
      </c>
      <c r="B20" s="15">
        <v>0.15</v>
      </c>
      <c r="C20" s="21" t="s">
        <v>130</v>
      </c>
      <c r="D20" s="1" t="s">
        <v>136</v>
      </c>
      <c r="E20" s="1">
        <v>28</v>
      </c>
      <c r="F20" s="1" t="s">
        <v>137</v>
      </c>
      <c r="G20" s="1">
        <v>42</v>
      </c>
      <c r="J20" s="1" t="s">
        <v>141</v>
      </c>
      <c r="M20" s="1" t="s">
        <v>133</v>
      </c>
      <c r="N20" s="1" t="s">
        <v>133</v>
      </c>
      <c r="P20" s="1" t="s">
        <v>134</v>
      </c>
      <c r="Q20" s="1" t="s">
        <v>135</v>
      </c>
      <c r="U20" s="1">
        <v>-1</v>
      </c>
      <c r="V20" s="1">
        <v>33</v>
      </c>
      <c r="W20" s="1">
        <v>20775</v>
      </c>
      <c r="X20" s="1">
        <v>45953</v>
      </c>
      <c r="AK20" s="7"/>
      <c r="AL20" s="7"/>
    </row>
    <row r="21" spans="1:38" x14ac:dyDescent="0.35">
      <c r="A21" s="7">
        <v>2</v>
      </c>
      <c r="B21" s="15">
        <v>0.72222222222222221</v>
      </c>
      <c r="C21" s="21" t="s">
        <v>130</v>
      </c>
      <c r="D21" s="1" t="s">
        <v>145</v>
      </c>
      <c r="E21" s="1">
        <v>36</v>
      </c>
      <c r="F21" s="1" t="s">
        <v>132</v>
      </c>
      <c r="G21" s="1">
        <v>9</v>
      </c>
      <c r="H21" s="1">
        <v>46</v>
      </c>
      <c r="I21" s="1">
        <v>39</v>
      </c>
      <c r="J21" s="1" t="s">
        <v>141</v>
      </c>
      <c r="K21" s="1" t="s">
        <v>159</v>
      </c>
      <c r="L21" s="1" t="s">
        <v>154</v>
      </c>
      <c r="P21" s="1" t="s">
        <v>134</v>
      </c>
      <c r="Q21" s="1" t="s">
        <v>135</v>
      </c>
      <c r="U21" s="1">
        <v>-1</v>
      </c>
      <c r="V21" s="1">
        <v>33</v>
      </c>
      <c r="W21" s="1">
        <v>20775</v>
      </c>
      <c r="X21" s="1">
        <v>45953</v>
      </c>
      <c r="AK21" s="7"/>
      <c r="AL21" s="7"/>
    </row>
    <row r="22" spans="1:38" x14ac:dyDescent="0.35">
      <c r="A22" s="7">
        <v>2</v>
      </c>
      <c r="B22" s="15">
        <v>0.69236111111111109</v>
      </c>
      <c r="C22" s="21" t="s">
        <v>130</v>
      </c>
      <c r="D22" s="1" t="s">
        <v>145</v>
      </c>
      <c r="E22" s="1">
        <v>24</v>
      </c>
      <c r="F22" s="1" t="s">
        <v>137</v>
      </c>
      <c r="G22" s="1">
        <v>47</v>
      </c>
      <c r="J22" s="1" t="s">
        <v>141</v>
      </c>
      <c r="N22" s="1" t="s">
        <v>133</v>
      </c>
      <c r="O22" s="1" t="s">
        <v>133</v>
      </c>
      <c r="Q22" s="1" t="s">
        <v>135</v>
      </c>
      <c r="R22" s="1" t="s">
        <v>160</v>
      </c>
      <c r="U22" s="1">
        <v>-1</v>
      </c>
      <c r="V22" s="1">
        <v>33</v>
      </c>
      <c r="W22" s="1">
        <v>20775</v>
      </c>
      <c r="X22" s="1">
        <v>45953</v>
      </c>
      <c r="AK22" s="7"/>
      <c r="AL22" s="7"/>
    </row>
    <row r="23" spans="1:38" x14ac:dyDescent="0.35">
      <c r="A23" s="2">
        <v>2</v>
      </c>
      <c r="B23" s="15">
        <v>0.66111111111111109</v>
      </c>
      <c r="C23" s="21" t="s">
        <v>130</v>
      </c>
      <c r="D23" s="1" t="s">
        <v>145</v>
      </c>
      <c r="E23" s="1">
        <v>74</v>
      </c>
      <c r="F23" s="1" t="s">
        <v>132</v>
      </c>
      <c r="Q23" s="1" t="s">
        <v>135</v>
      </c>
      <c r="R23" s="1" t="s">
        <v>160</v>
      </c>
      <c r="U23" s="1">
        <v>-1</v>
      </c>
      <c r="V23" s="1">
        <v>33</v>
      </c>
      <c r="W23" s="1">
        <v>20775</v>
      </c>
      <c r="X23" s="1">
        <v>45953</v>
      </c>
      <c r="AK23" s="7"/>
      <c r="AL23" s="7"/>
    </row>
    <row r="24" spans="1:38" x14ac:dyDescent="0.35">
      <c r="A24" s="7">
        <v>2</v>
      </c>
      <c r="B24" s="15">
        <v>0.65</v>
      </c>
      <c r="C24" s="21" t="s">
        <v>130</v>
      </c>
      <c r="D24" s="1" t="s">
        <v>145</v>
      </c>
      <c r="E24" s="1">
        <v>74</v>
      </c>
      <c r="F24" s="1" t="s">
        <v>156</v>
      </c>
      <c r="G24" s="1">
        <v>8</v>
      </c>
      <c r="H24" s="1">
        <v>6</v>
      </c>
      <c r="J24" s="1" t="s">
        <v>140</v>
      </c>
      <c r="K24" s="1" t="s">
        <v>139</v>
      </c>
      <c r="M24" s="1" t="s">
        <v>133</v>
      </c>
      <c r="N24" s="1" t="s">
        <v>133</v>
      </c>
      <c r="P24" s="1" t="s">
        <v>161</v>
      </c>
      <c r="Q24" s="1" t="s">
        <v>135</v>
      </c>
      <c r="U24" s="1">
        <v>-1</v>
      </c>
      <c r="V24" s="1">
        <v>33</v>
      </c>
      <c r="W24" s="1">
        <v>20775</v>
      </c>
      <c r="X24" s="1">
        <v>45953</v>
      </c>
      <c r="AK24" s="7"/>
      <c r="AL24" s="7"/>
    </row>
    <row r="25" spans="1:38" x14ac:dyDescent="0.35">
      <c r="A25" s="2">
        <v>2</v>
      </c>
      <c r="B25" s="15">
        <v>0.55902777777777779</v>
      </c>
      <c r="C25" s="21" t="s">
        <v>130</v>
      </c>
      <c r="D25" s="1" t="s">
        <v>145</v>
      </c>
      <c r="E25" s="1">
        <v>24</v>
      </c>
      <c r="F25" s="1" t="s">
        <v>157</v>
      </c>
      <c r="G25" s="1">
        <v>25</v>
      </c>
      <c r="J25" s="1" t="s">
        <v>159</v>
      </c>
      <c r="P25" s="1" t="s">
        <v>134</v>
      </c>
      <c r="Q25" s="1" t="s">
        <v>135</v>
      </c>
      <c r="U25" s="1">
        <v>-1</v>
      </c>
      <c r="V25" s="1">
        <v>33</v>
      </c>
      <c r="W25" s="1">
        <v>20775</v>
      </c>
      <c r="X25" s="1">
        <v>45953</v>
      </c>
      <c r="AK25" s="7"/>
      <c r="AL25" s="7"/>
    </row>
    <row r="26" spans="1:38" x14ac:dyDescent="0.35">
      <c r="A26" s="7">
        <v>2</v>
      </c>
      <c r="B26" s="15">
        <v>0.53194444444444444</v>
      </c>
      <c r="C26" s="21" t="s">
        <v>130</v>
      </c>
      <c r="D26" s="1" t="s">
        <v>145</v>
      </c>
      <c r="E26" s="1">
        <v>10</v>
      </c>
      <c r="F26" s="1" t="s">
        <v>132</v>
      </c>
      <c r="G26" s="1">
        <v>36</v>
      </c>
      <c r="J26" s="1" t="s">
        <v>162</v>
      </c>
      <c r="N26" s="1" t="s">
        <v>133</v>
      </c>
      <c r="P26" s="1" t="s">
        <v>142</v>
      </c>
      <c r="Q26" s="1" t="s">
        <v>143</v>
      </c>
      <c r="R26" s="1" t="s">
        <v>163</v>
      </c>
      <c r="U26" s="1">
        <v>-1</v>
      </c>
      <c r="V26" s="1">
        <v>33</v>
      </c>
      <c r="W26" s="1">
        <v>20775</v>
      </c>
      <c r="X26" s="1">
        <v>45953</v>
      </c>
      <c r="AK26" s="7"/>
      <c r="AL26" s="7"/>
    </row>
    <row r="27" spans="1:38" x14ac:dyDescent="0.35">
      <c r="A27" s="2">
        <v>2</v>
      </c>
      <c r="B27" s="15">
        <v>0.47638888888888886</v>
      </c>
      <c r="C27" s="21" t="s">
        <v>130</v>
      </c>
      <c r="D27" s="1" t="s">
        <v>145</v>
      </c>
      <c r="E27" s="1">
        <v>74</v>
      </c>
      <c r="F27" s="1" t="s">
        <v>132</v>
      </c>
      <c r="M27" s="1" t="s">
        <v>133</v>
      </c>
      <c r="N27" s="1" t="s">
        <v>133</v>
      </c>
      <c r="P27" s="1" t="s">
        <v>142</v>
      </c>
      <c r="Q27" s="1" t="s">
        <v>146</v>
      </c>
      <c r="R27" s="1" t="s">
        <v>164</v>
      </c>
      <c r="U27" s="1">
        <v>-1</v>
      </c>
      <c r="V27" s="1">
        <v>33</v>
      </c>
      <c r="W27" s="1">
        <v>20775</v>
      </c>
      <c r="X27" s="1">
        <v>45953</v>
      </c>
      <c r="AK27" s="7"/>
      <c r="AL27" s="7"/>
    </row>
    <row r="28" spans="1:38" x14ac:dyDescent="0.35">
      <c r="A28" s="7">
        <v>2</v>
      </c>
      <c r="B28" s="14">
        <v>0.47222222222222221</v>
      </c>
      <c r="C28" s="21" t="s">
        <v>130</v>
      </c>
      <c r="D28" s="1" t="s">
        <v>145</v>
      </c>
      <c r="E28" s="1">
        <v>14</v>
      </c>
      <c r="F28" s="1" t="s">
        <v>165</v>
      </c>
      <c r="G28" s="1">
        <v>74</v>
      </c>
      <c r="J28" s="1" t="s">
        <v>141</v>
      </c>
      <c r="M28" s="1" t="s">
        <v>133</v>
      </c>
      <c r="N28" s="1" t="s">
        <v>133</v>
      </c>
      <c r="P28" s="1" t="s">
        <v>134</v>
      </c>
      <c r="Q28" s="1" t="s">
        <v>135</v>
      </c>
      <c r="U28" s="1">
        <v>-1</v>
      </c>
      <c r="V28" s="1">
        <v>33</v>
      </c>
      <c r="W28" s="1">
        <v>20775</v>
      </c>
      <c r="X28" s="1">
        <v>45953</v>
      </c>
      <c r="AK28" s="7"/>
      <c r="AL28" s="7"/>
    </row>
    <row r="29" spans="1:38" x14ac:dyDescent="0.35">
      <c r="A29" s="7">
        <v>2</v>
      </c>
      <c r="B29" s="14">
        <v>0.46875</v>
      </c>
      <c r="C29" s="21" t="s">
        <v>130</v>
      </c>
      <c r="D29" s="1" t="s">
        <v>145</v>
      </c>
      <c r="E29" s="1">
        <v>24</v>
      </c>
      <c r="F29" s="1" t="s">
        <v>132</v>
      </c>
      <c r="P29" s="1" t="s">
        <v>134</v>
      </c>
      <c r="Q29" s="1" t="s">
        <v>135</v>
      </c>
      <c r="U29" s="1">
        <v>-1</v>
      </c>
      <c r="V29" s="1">
        <v>33</v>
      </c>
      <c r="W29" s="1">
        <v>20775</v>
      </c>
      <c r="X29" s="1">
        <v>45953</v>
      </c>
      <c r="AK29" s="7"/>
      <c r="AL29" s="7"/>
    </row>
    <row r="30" spans="1:38" x14ac:dyDescent="0.35">
      <c r="A30" s="2">
        <v>2</v>
      </c>
      <c r="B30" s="15">
        <v>0.44583333333333336</v>
      </c>
      <c r="C30" s="21" t="s">
        <v>130</v>
      </c>
      <c r="D30" s="1" t="s">
        <v>145</v>
      </c>
      <c r="E30" s="1">
        <v>91</v>
      </c>
      <c r="F30" s="1" t="s">
        <v>132</v>
      </c>
      <c r="N30" s="1" t="s">
        <v>133</v>
      </c>
      <c r="O30" s="1" t="s">
        <v>133</v>
      </c>
      <c r="P30" s="1" t="s">
        <v>134</v>
      </c>
      <c r="Q30" s="1" t="s">
        <v>135</v>
      </c>
      <c r="U30" s="1">
        <v>-1</v>
      </c>
      <c r="V30" s="1">
        <v>33</v>
      </c>
      <c r="W30" s="1">
        <v>20775</v>
      </c>
      <c r="X30" s="1">
        <v>45953</v>
      </c>
      <c r="AK30" s="7"/>
      <c r="AL30" s="7"/>
    </row>
    <row r="31" spans="1:38" x14ac:dyDescent="0.35">
      <c r="A31" s="7">
        <v>2</v>
      </c>
      <c r="B31" s="14">
        <v>0.40277777777777779</v>
      </c>
      <c r="C31" s="21" t="s">
        <v>130</v>
      </c>
      <c r="D31" s="1" t="s">
        <v>136</v>
      </c>
      <c r="E31" s="1">
        <v>28</v>
      </c>
      <c r="F31" s="1" t="s">
        <v>132</v>
      </c>
      <c r="G31" s="1">
        <v>26</v>
      </c>
      <c r="H31" s="1">
        <v>15</v>
      </c>
      <c r="J31" s="1" t="s">
        <v>155</v>
      </c>
      <c r="K31" s="1" t="s">
        <v>151</v>
      </c>
      <c r="P31" s="1" t="s">
        <v>142</v>
      </c>
      <c r="Q31" s="1" t="s">
        <v>143</v>
      </c>
      <c r="R31" s="1" t="s">
        <v>166</v>
      </c>
      <c r="U31" s="1">
        <v>-1</v>
      </c>
      <c r="V31" s="1">
        <v>33</v>
      </c>
      <c r="W31" s="1">
        <v>20775</v>
      </c>
      <c r="X31" s="1">
        <v>45953</v>
      </c>
      <c r="AK31" s="7"/>
      <c r="AL31" s="7"/>
    </row>
    <row r="32" spans="1:38" x14ac:dyDescent="0.35">
      <c r="A32" s="2">
        <v>2</v>
      </c>
      <c r="B32" s="15">
        <v>0.36458333333333331</v>
      </c>
      <c r="C32" s="21" t="s">
        <v>130</v>
      </c>
      <c r="D32" s="1" t="s">
        <v>136</v>
      </c>
      <c r="E32" s="1">
        <v>5</v>
      </c>
      <c r="F32" s="1" t="s">
        <v>132</v>
      </c>
      <c r="G32" s="1">
        <v>93</v>
      </c>
      <c r="H32" s="1">
        <v>5</v>
      </c>
      <c r="J32" s="1" t="s">
        <v>139</v>
      </c>
      <c r="K32" s="1" t="s">
        <v>141</v>
      </c>
      <c r="M32" s="1" t="s">
        <v>133</v>
      </c>
      <c r="N32" s="1" t="s">
        <v>133</v>
      </c>
      <c r="P32" s="1" t="s">
        <v>142</v>
      </c>
      <c r="Q32" s="1" t="s">
        <v>143</v>
      </c>
      <c r="R32" s="1" t="s">
        <v>163</v>
      </c>
      <c r="U32" s="1">
        <v>-1</v>
      </c>
      <c r="V32" s="1">
        <v>33</v>
      </c>
      <c r="W32" s="1">
        <v>20775</v>
      </c>
      <c r="X32" s="1">
        <v>45953</v>
      </c>
      <c r="AK32" s="7"/>
      <c r="AL32" s="7"/>
    </row>
    <row r="33" spans="1:38" x14ac:dyDescent="0.35">
      <c r="A33" s="2">
        <v>2</v>
      </c>
      <c r="B33" s="15">
        <v>0.36388888888888887</v>
      </c>
      <c r="C33" s="21" t="s">
        <v>130</v>
      </c>
      <c r="D33" s="1" t="s">
        <v>136</v>
      </c>
      <c r="E33" s="1">
        <v>16</v>
      </c>
      <c r="F33" s="1" t="s">
        <v>142</v>
      </c>
      <c r="M33" s="1" t="s">
        <v>133</v>
      </c>
      <c r="N33" s="1" t="s">
        <v>133</v>
      </c>
      <c r="P33" s="1" t="s">
        <v>142</v>
      </c>
      <c r="Q33" s="1" t="s">
        <v>143</v>
      </c>
      <c r="R33" s="1" t="s">
        <v>163</v>
      </c>
      <c r="U33" s="1">
        <v>-1</v>
      </c>
      <c r="V33" s="1">
        <v>33</v>
      </c>
      <c r="W33" s="1">
        <v>20775</v>
      </c>
      <c r="X33" s="1">
        <v>45953</v>
      </c>
      <c r="AK33" s="7"/>
      <c r="AL33" s="7"/>
    </row>
    <row r="34" spans="1:38" x14ac:dyDescent="0.35">
      <c r="A34" s="7">
        <v>2</v>
      </c>
      <c r="B34" s="15">
        <v>0.34375</v>
      </c>
      <c r="C34" s="21" t="s">
        <v>130</v>
      </c>
      <c r="D34" s="1" t="s">
        <v>136</v>
      </c>
      <c r="E34" s="1">
        <v>19</v>
      </c>
      <c r="F34" s="1" t="s">
        <v>167</v>
      </c>
      <c r="G34" s="1">
        <v>93</v>
      </c>
      <c r="H34" s="1">
        <v>17</v>
      </c>
      <c r="J34" s="1" t="s">
        <v>162</v>
      </c>
      <c r="K34" s="1" t="s">
        <v>151</v>
      </c>
      <c r="M34" s="1" t="s">
        <v>133</v>
      </c>
      <c r="N34" s="1" t="s">
        <v>133</v>
      </c>
      <c r="P34" s="1" t="s">
        <v>142</v>
      </c>
      <c r="Q34" s="1" t="s">
        <v>146</v>
      </c>
      <c r="R34" s="1" t="s">
        <v>150</v>
      </c>
      <c r="U34" s="1">
        <v>-1</v>
      </c>
      <c r="V34" s="1">
        <v>33</v>
      </c>
      <c r="W34" s="1">
        <v>20775</v>
      </c>
      <c r="X34" s="1">
        <v>45953</v>
      </c>
      <c r="AK34" s="7"/>
      <c r="AL34" s="7"/>
    </row>
    <row r="35" spans="1:38" x14ac:dyDescent="0.35">
      <c r="A35" s="2">
        <v>2</v>
      </c>
      <c r="B35" s="15">
        <v>0.33194444444444443</v>
      </c>
      <c r="C35" s="21" t="s">
        <v>130</v>
      </c>
      <c r="D35" s="1" t="s">
        <v>145</v>
      </c>
      <c r="E35" s="1">
        <v>6</v>
      </c>
      <c r="F35" s="1" t="s">
        <v>132</v>
      </c>
      <c r="G35" s="1">
        <v>11</v>
      </c>
      <c r="H35" s="1">
        <v>22</v>
      </c>
      <c r="J35" s="1" t="s">
        <v>162</v>
      </c>
      <c r="K35" s="1" t="s">
        <v>151</v>
      </c>
      <c r="M35" s="1" t="s">
        <v>133</v>
      </c>
      <c r="N35" s="1" t="s">
        <v>133</v>
      </c>
      <c r="P35" s="1" t="s">
        <v>142</v>
      </c>
      <c r="Q35" s="1" t="s">
        <v>146</v>
      </c>
      <c r="R35" s="1" t="s">
        <v>150</v>
      </c>
      <c r="S35" s="1" t="s">
        <v>148</v>
      </c>
      <c r="U35" s="1">
        <v>-1</v>
      </c>
      <c r="V35" s="1">
        <v>33</v>
      </c>
      <c r="W35" s="1">
        <v>20775</v>
      </c>
      <c r="X35" s="1">
        <v>45953</v>
      </c>
      <c r="AK35" s="7"/>
      <c r="AL35" s="7"/>
    </row>
    <row r="36" spans="1:38" x14ac:dyDescent="0.35">
      <c r="A36" s="7">
        <v>2</v>
      </c>
      <c r="B36" s="15">
        <v>0.28541666666666665</v>
      </c>
      <c r="C36" s="21" t="s">
        <v>130</v>
      </c>
      <c r="D36" s="1" t="s">
        <v>145</v>
      </c>
      <c r="E36" s="1">
        <v>9</v>
      </c>
      <c r="F36" s="1" t="s">
        <v>137</v>
      </c>
      <c r="G36" s="1">
        <v>14</v>
      </c>
      <c r="H36" s="1">
        <v>36</v>
      </c>
      <c r="J36" s="1" t="s">
        <v>168</v>
      </c>
      <c r="K36" s="1" t="s">
        <v>151</v>
      </c>
      <c r="N36" s="1" t="s">
        <v>133</v>
      </c>
      <c r="P36" s="1" t="s">
        <v>142</v>
      </c>
      <c r="Q36" s="1" t="s">
        <v>146</v>
      </c>
      <c r="R36" s="1" t="s">
        <v>164</v>
      </c>
      <c r="U36" s="1">
        <v>-1</v>
      </c>
      <c r="V36" s="1">
        <v>33</v>
      </c>
      <c r="W36" s="1">
        <v>20775</v>
      </c>
      <c r="X36" s="1">
        <v>45953</v>
      </c>
      <c r="AK36" s="7"/>
      <c r="AL36" s="7"/>
    </row>
    <row r="37" spans="1:38" x14ac:dyDescent="0.35">
      <c r="A37" s="7">
        <v>2</v>
      </c>
      <c r="B37" s="15">
        <v>0.1986111111111111</v>
      </c>
      <c r="C37" s="21" t="s">
        <v>130</v>
      </c>
      <c r="D37" s="1" t="s">
        <v>136</v>
      </c>
      <c r="E37" s="1">
        <v>49</v>
      </c>
      <c r="F37" s="1" t="s">
        <v>156</v>
      </c>
      <c r="G37" s="1">
        <v>15</v>
      </c>
      <c r="H37" s="1">
        <v>9</v>
      </c>
      <c r="J37" s="1" t="s">
        <v>157</v>
      </c>
      <c r="K37" s="1" t="s">
        <v>155</v>
      </c>
      <c r="M37" s="1" t="s">
        <v>133</v>
      </c>
      <c r="N37" s="1" t="s">
        <v>133</v>
      </c>
      <c r="O37" s="1" t="s">
        <v>133</v>
      </c>
      <c r="P37" s="1" t="s">
        <v>134</v>
      </c>
      <c r="Q37" s="1" t="s">
        <v>135</v>
      </c>
      <c r="U37" s="1">
        <v>-1</v>
      </c>
      <c r="V37" s="1">
        <v>33</v>
      </c>
      <c r="W37" s="1">
        <v>20775</v>
      </c>
      <c r="X37" s="1">
        <v>45953</v>
      </c>
      <c r="AK37" s="7"/>
      <c r="AL37" s="7"/>
    </row>
    <row r="38" spans="1:38" x14ac:dyDescent="0.35">
      <c r="A38" s="7">
        <v>2</v>
      </c>
      <c r="B38" s="15">
        <v>0.19236111111111112</v>
      </c>
      <c r="C38" s="21" t="s">
        <v>130</v>
      </c>
      <c r="D38" s="1" t="s">
        <v>145</v>
      </c>
      <c r="E38" s="1">
        <v>10</v>
      </c>
      <c r="F38" s="1" t="s">
        <v>132</v>
      </c>
      <c r="G38" s="1">
        <v>36</v>
      </c>
      <c r="J38" s="1" t="s">
        <v>169</v>
      </c>
      <c r="M38" s="1" t="s">
        <v>133</v>
      </c>
      <c r="P38" s="1" t="s">
        <v>142</v>
      </c>
      <c r="Q38" s="1" t="s">
        <v>146</v>
      </c>
      <c r="R38" s="1" t="s">
        <v>150</v>
      </c>
      <c r="U38" s="1">
        <v>-1</v>
      </c>
      <c r="V38" s="1">
        <v>33</v>
      </c>
      <c r="W38" s="1">
        <v>20775</v>
      </c>
      <c r="X38" s="1">
        <v>45953</v>
      </c>
      <c r="AK38" s="7"/>
      <c r="AL38" s="7"/>
    </row>
    <row r="39" spans="1:38" x14ac:dyDescent="0.35">
      <c r="A39" s="2">
        <v>2</v>
      </c>
      <c r="B39" s="15">
        <v>0.17986111111111111</v>
      </c>
      <c r="C39" s="21" t="s">
        <v>130</v>
      </c>
      <c r="D39" s="1" t="s">
        <v>145</v>
      </c>
      <c r="E39" s="1">
        <v>52</v>
      </c>
      <c r="F39" s="1" t="s">
        <v>158</v>
      </c>
      <c r="G39" s="1">
        <v>8</v>
      </c>
      <c r="H39" s="1">
        <v>74</v>
      </c>
      <c r="I39" s="1">
        <v>52</v>
      </c>
      <c r="J39" s="1" t="s">
        <v>157</v>
      </c>
      <c r="K39" s="1" t="s">
        <v>155</v>
      </c>
      <c r="L39" s="1" t="s">
        <v>139</v>
      </c>
      <c r="P39" s="1" t="s">
        <v>134</v>
      </c>
      <c r="Q39" s="1" t="s">
        <v>135</v>
      </c>
      <c r="U39" s="1">
        <v>-1</v>
      </c>
      <c r="V39" s="1">
        <v>33</v>
      </c>
      <c r="W39" s="1">
        <v>20775</v>
      </c>
      <c r="X39" s="1">
        <v>45953</v>
      </c>
      <c r="AK39" s="7"/>
      <c r="AL39" s="7"/>
    </row>
    <row r="40" spans="1:38" x14ac:dyDescent="0.35">
      <c r="A40" s="7">
        <v>2</v>
      </c>
      <c r="B40" s="15">
        <v>0.17499999999999999</v>
      </c>
      <c r="C40" s="21" t="s">
        <v>130</v>
      </c>
      <c r="D40" s="1" t="s">
        <v>145</v>
      </c>
      <c r="E40" s="1">
        <v>14</v>
      </c>
      <c r="F40" s="1" t="s">
        <v>132</v>
      </c>
      <c r="G40" s="1">
        <v>8</v>
      </c>
      <c r="H40" s="1">
        <v>14</v>
      </c>
      <c r="J40" s="1" t="s">
        <v>139</v>
      </c>
      <c r="K40" s="1" t="s">
        <v>155</v>
      </c>
      <c r="P40" s="1" t="s">
        <v>161</v>
      </c>
      <c r="Q40" s="1" t="s">
        <v>135</v>
      </c>
      <c r="U40" s="1">
        <v>-1</v>
      </c>
      <c r="V40" s="1">
        <v>33</v>
      </c>
      <c r="W40" s="1">
        <v>20775</v>
      </c>
      <c r="X40" s="1">
        <v>45953</v>
      </c>
      <c r="AK40" s="7"/>
      <c r="AL40" s="7"/>
    </row>
    <row r="41" spans="1:38" x14ac:dyDescent="0.35">
      <c r="A41" s="7">
        <v>2</v>
      </c>
      <c r="B41" s="14">
        <v>4.8611111111111112E-2</v>
      </c>
      <c r="C41" s="21" t="s">
        <v>152</v>
      </c>
      <c r="D41" s="1" t="s">
        <v>136</v>
      </c>
      <c r="E41" s="1">
        <v>16</v>
      </c>
      <c r="F41" s="1" t="s">
        <v>132</v>
      </c>
      <c r="G41" s="1">
        <v>9</v>
      </c>
      <c r="H41" s="1">
        <v>9</v>
      </c>
      <c r="I41" s="1">
        <v>93</v>
      </c>
      <c r="J41" s="1" t="s">
        <v>139</v>
      </c>
      <c r="K41" s="1" t="s">
        <v>140</v>
      </c>
      <c r="L41" s="1" t="s">
        <v>139</v>
      </c>
      <c r="M41" s="1" t="s">
        <v>133</v>
      </c>
      <c r="U41" s="1">
        <v>-1</v>
      </c>
      <c r="V41" s="1">
        <v>33</v>
      </c>
      <c r="W41" s="1">
        <v>20775</v>
      </c>
      <c r="X41" s="1">
        <v>45953</v>
      </c>
      <c r="AK41" s="7"/>
      <c r="AL41" s="7"/>
    </row>
    <row r="42" spans="1:38" x14ac:dyDescent="0.35">
      <c r="A42" s="2">
        <v>2</v>
      </c>
      <c r="B42" s="15">
        <v>2.2222222222222223E-2</v>
      </c>
      <c r="C42" s="21" t="s">
        <v>152</v>
      </c>
      <c r="D42" s="1" t="s">
        <v>136</v>
      </c>
      <c r="E42" s="1">
        <v>48</v>
      </c>
      <c r="F42" s="1" t="s">
        <v>156</v>
      </c>
      <c r="G42" s="1">
        <v>9</v>
      </c>
      <c r="H42" s="1">
        <v>61</v>
      </c>
      <c r="I42" s="1">
        <v>48</v>
      </c>
      <c r="J42" s="1" t="s">
        <v>140</v>
      </c>
      <c r="K42" s="1" t="s">
        <v>141</v>
      </c>
      <c r="L42" s="1" t="s">
        <v>141</v>
      </c>
      <c r="M42" s="1" t="s">
        <v>133</v>
      </c>
      <c r="N42" s="1" t="s">
        <v>133</v>
      </c>
      <c r="P42" s="1" t="s">
        <v>142</v>
      </c>
      <c r="Q42" s="1" t="s">
        <v>143</v>
      </c>
      <c r="T42" s="1" t="s">
        <v>133</v>
      </c>
      <c r="U42" s="1">
        <v>-1</v>
      </c>
      <c r="V42" s="1">
        <v>33</v>
      </c>
      <c r="W42" s="1">
        <v>20775</v>
      </c>
      <c r="X42" s="1">
        <v>45953</v>
      </c>
      <c r="AK42" s="7"/>
      <c r="AL42" s="7"/>
    </row>
    <row r="43" spans="1:38" x14ac:dyDescent="0.35">
      <c r="A43" s="7">
        <v>3</v>
      </c>
      <c r="B43" s="15">
        <v>0.79722222222222228</v>
      </c>
      <c r="C43" s="21" t="s">
        <v>130</v>
      </c>
      <c r="D43" s="1" t="s">
        <v>145</v>
      </c>
      <c r="E43" s="1">
        <v>22</v>
      </c>
      <c r="F43" s="1" t="s">
        <v>132</v>
      </c>
      <c r="G43" s="1">
        <v>36</v>
      </c>
      <c r="J43" s="1" t="s">
        <v>151</v>
      </c>
      <c r="M43" s="1" t="s">
        <v>133</v>
      </c>
      <c r="N43" s="1" t="s">
        <v>133</v>
      </c>
      <c r="P43" s="1" t="s">
        <v>142</v>
      </c>
      <c r="Q43" s="1" t="s">
        <v>146</v>
      </c>
      <c r="R43" s="1" t="s">
        <v>164</v>
      </c>
      <c r="U43" s="1">
        <v>0</v>
      </c>
      <c r="V43" s="1">
        <v>33</v>
      </c>
      <c r="W43" s="1">
        <v>20775</v>
      </c>
      <c r="X43" s="1">
        <v>45953</v>
      </c>
      <c r="AK43" s="7"/>
      <c r="AL43" s="7"/>
    </row>
    <row r="44" spans="1:38" x14ac:dyDescent="0.35">
      <c r="A44" s="2">
        <v>3</v>
      </c>
      <c r="B44" s="15">
        <v>0.77569444444444446</v>
      </c>
      <c r="C44" s="21" t="s">
        <v>130</v>
      </c>
      <c r="D44" s="1" t="s">
        <v>145</v>
      </c>
      <c r="E44" s="1">
        <v>11</v>
      </c>
      <c r="F44" s="1" t="s">
        <v>158</v>
      </c>
      <c r="G44" s="1">
        <v>6</v>
      </c>
      <c r="H44" s="1">
        <v>22</v>
      </c>
      <c r="J44" s="1" t="s">
        <v>157</v>
      </c>
      <c r="K44" s="1" t="s">
        <v>159</v>
      </c>
      <c r="P44" s="1" t="s">
        <v>134</v>
      </c>
      <c r="Q44" s="1" t="s">
        <v>135</v>
      </c>
      <c r="U44" s="1">
        <v>0</v>
      </c>
      <c r="V44" s="1">
        <v>33</v>
      </c>
      <c r="W44" s="1">
        <v>20775</v>
      </c>
      <c r="X44" s="1">
        <v>45953</v>
      </c>
      <c r="AK44" s="7"/>
      <c r="AL44" s="7"/>
    </row>
    <row r="45" spans="1:38" x14ac:dyDescent="0.35">
      <c r="A45" s="7">
        <v>3</v>
      </c>
      <c r="B45" s="14">
        <v>0.75763888888888886</v>
      </c>
      <c r="C45" s="21" t="s">
        <v>130</v>
      </c>
      <c r="D45" s="1" t="s">
        <v>145</v>
      </c>
      <c r="E45" s="1">
        <v>11</v>
      </c>
      <c r="F45" s="1" t="s">
        <v>137</v>
      </c>
      <c r="G45" s="1">
        <v>46</v>
      </c>
      <c r="H45" s="1">
        <v>11</v>
      </c>
      <c r="I45" s="1">
        <v>9</v>
      </c>
      <c r="J45" s="1" t="s">
        <v>154</v>
      </c>
      <c r="K45" s="1" t="s">
        <v>141</v>
      </c>
      <c r="L45" s="1" t="s">
        <v>141</v>
      </c>
      <c r="M45" s="1" t="s">
        <v>138</v>
      </c>
      <c r="N45" s="1" t="s">
        <v>138</v>
      </c>
      <c r="P45" s="1" t="s">
        <v>161</v>
      </c>
      <c r="Q45" s="1" t="s">
        <v>135</v>
      </c>
      <c r="U45" s="1">
        <v>0</v>
      </c>
      <c r="V45" s="1">
        <v>33</v>
      </c>
      <c r="W45" s="1">
        <v>20775</v>
      </c>
      <c r="X45" s="1">
        <v>45953</v>
      </c>
      <c r="AK45" s="7"/>
      <c r="AL45" s="7"/>
    </row>
    <row r="46" spans="1:38" x14ac:dyDescent="0.35">
      <c r="A46" s="7">
        <v>3</v>
      </c>
      <c r="B46" s="15">
        <v>0.75138888888888888</v>
      </c>
      <c r="C46" s="21" t="s">
        <v>130</v>
      </c>
      <c r="D46" s="1" t="s">
        <v>145</v>
      </c>
      <c r="E46" s="1">
        <v>11</v>
      </c>
      <c r="F46" s="1" t="s">
        <v>137</v>
      </c>
      <c r="G46" s="1">
        <v>9</v>
      </c>
      <c r="J46" s="1" t="s">
        <v>141</v>
      </c>
      <c r="N46" s="1" t="s">
        <v>138</v>
      </c>
      <c r="O46" s="1" t="s">
        <v>138</v>
      </c>
      <c r="P46" s="1" t="s">
        <v>134</v>
      </c>
      <c r="Q46" s="1" t="s">
        <v>135</v>
      </c>
      <c r="U46" s="1">
        <v>0</v>
      </c>
      <c r="V46" s="1">
        <v>33</v>
      </c>
      <c r="W46" s="1">
        <v>20775</v>
      </c>
      <c r="X46" s="1">
        <v>45953</v>
      </c>
      <c r="AK46" s="7"/>
      <c r="AL46" s="7"/>
    </row>
    <row r="47" spans="1:38" x14ac:dyDescent="0.35">
      <c r="A47" s="2">
        <v>3</v>
      </c>
      <c r="B47" s="15">
        <v>0.74861111111111112</v>
      </c>
      <c r="C47" s="21" t="s">
        <v>130</v>
      </c>
      <c r="D47" s="1" t="s">
        <v>145</v>
      </c>
      <c r="E47" s="1">
        <v>36</v>
      </c>
      <c r="F47" s="1" t="s">
        <v>170</v>
      </c>
      <c r="Q47" s="1" t="s">
        <v>135</v>
      </c>
      <c r="R47" s="1" t="s">
        <v>160</v>
      </c>
      <c r="U47" s="1">
        <v>0</v>
      </c>
      <c r="V47" s="1">
        <v>33</v>
      </c>
      <c r="W47" s="1">
        <v>20775</v>
      </c>
      <c r="X47" s="1">
        <v>45953</v>
      </c>
      <c r="AK47" s="7"/>
      <c r="AL47" s="7"/>
    </row>
    <row r="48" spans="1:38" x14ac:dyDescent="0.35">
      <c r="A48" s="7">
        <v>3</v>
      </c>
      <c r="B48" s="14">
        <v>0.67291666666666672</v>
      </c>
      <c r="C48" s="21" t="s">
        <v>130</v>
      </c>
      <c r="D48" s="1" t="s">
        <v>145</v>
      </c>
      <c r="E48" s="1">
        <v>11</v>
      </c>
      <c r="F48" s="1" t="s">
        <v>137</v>
      </c>
      <c r="G48" s="1">
        <v>22</v>
      </c>
      <c r="J48" s="1" t="s">
        <v>168</v>
      </c>
      <c r="N48" s="1" t="s">
        <v>138</v>
      </c>
      <c r="P48" s="1" t="s">
        <v>142</v>
      </c>
      <c r="Q48" s="1" t="s">
        <v>143</v>
      </c>
      <c r="R48" s="1" t="s">
        <v>163</v>
      </c>
      <c r="U48" s="1">
        <v>0</v>
      </c>
      <c r="V48" s="1">
        <v>33</v>
      </c>
      <c r="W48" s="1">
        <v>20775</v>
      </c>
      <c r="X48" s="1">
        <v>45953</v>
      </c>
      <c r="AK48" s="7"/>
      <c r="AL48" s="7"/>
    </row>
    <row r="49" spans="1:43" x14ac:dyDescent="0.35">
      <c r="A49" s="7">
        <v>3</v>
      </c>
      <c r="B49" s="15">
        <v>0.65138888888888891</v>
      </c>
      <c r="C49" s="21" t="s">
        <v>130</v>
      </c>
      <c r="D49" s="1" t="s">
        <v>145</v>
      </c>
      <c r="E49" s="1">
        <v>11</v>
      </c>
      <c r="F49" s="1" t="s">
        <v>171</v>
      </c>
      <c r="G49" s="1">
        <v>46</v>
      </c>
      <c r="H49" s="1">
        <v>22</v>
      </c>
      <c r="I49" s="1">
        <v>46</v>
      </c>
      <c r="J49" s="1" t="s">
        <v>141</v>
      </c>
      <c r="K49" s="1" t="s">
        <v>139</v>
      </c>
      <c r="L49" s="1" t="s">
        <v>172</v>
      </c>
      <c r="N49" s="1" t="s">
        <v>133</v>
      </c>
      <c r="P49" s="1" t="s">
        <v>142</v>
      </c>
      <c r="Q49" s="1" t="s">
        <v>146</v>
      </c>
      <c r="R49" s="1" t="s">
        <v>150</v>
      </c>
      <c r="U49" s="1">
        <v>0</v>
      </c>
      <c r="V49" s="1">
        <v>33</v>
      </c>
      <c r="W49" s="1">
        <v>20775</v>
      </c>
      <c r="X49" s="1">
        <v>45953</v>
      </c>
      <c r="AK49" s="7"/>
      <c r="AL49" s="7"/>
    </row>
    <row r="50" spans="1:43" x14ac:dyDescent="0.35">
      <c r="A50" s="7">
        <v>3</v>
      </c>
      <c r="B50" s="15">
        <v>0.62291666666666667</v>
      </c>
      <c r="C50" s="21" t="s">
        <v>130</v>
      </c>
      <c r="D50" s="1" t="s">
        <v>145</v>
      </c>
      <c r="E50" s="1">
        <v>25</v>
      </c>
      <c r="F50" s="1" t="s">
        <v>156</v>
      </c>
      <c r="G50" s="1">
        <v>9</v>
      </c>
      <c r="H50" s="1">
        <v>36</v>
      </c>
      <c r="I50" s="1">
        <v>10</v>
      </c>
      <c r="J50" s="1" t="s">
        <v>141</v>
      </c>
      <c r="K50" s="1" t="s">
        <v>140</v>
      </c>
      <c r="L50" s="1" t="s">
        <v>140</v>
      </c>
      <c r="P50" s="1" t="s">
        <v>142</v>
      </c>
      <c r="Q50" s="1" t="s">
        <v>143</v>
      </c>
      <c r="R50" s="1" t="s">
        <v>166</v>
      </c>
      <c r="U50" s="1">
        <v>0</v>
      </c>
      <c r="V50" s="1">
        <v>33</v>
      </c>
      <c r="W50" s="1">
        <v>20775</v>
      </c>
      <c r="X50" s="1">
        <v>45953</v>
      </c>
      <c r="AK50" s="7"/>
      <c r="AL50" s="7"/>
    </row>
    <row r="51" spans="1:43" x14ac:dyDescent="0.35">
      <c r="A51" s="2">
        <v>3</v>
      </c>
      <c r="B51" s="15">
        <v>0.58680555555555558</v>
      </c>
      <c r="C51" s="21" t="s">
        <v>130</v>
      </c>
      <c r="D51" s="1" t="s">
        <v>136</v>
      </c>
      <c r="E51" s="1">
        <v>16</v>
      </c>
      <c r="F51" s="1" t="s">
        <v>132</v>
      </c>
      <c r="G51" s="1">
        <v>42</v>
      </c>
      <c r="J51" s="1" t="s">
        <v>173</v>
      </c>
      <c r="N51" s="1" t="s">
        <v>133</v>
      </c>
      <c r="P51" s="1" t="s">
        <v>142</v>
      </c>
      <c r="Q51" s="1" t="s">
        <v>146</v>
      </c>
      <c r="R51" s="1" t="s">
        <v>150</v>
      </c>
      <c r="U51" s="1">
        <v>0</v>
      </c>
      <c r="V51" s="1">
        <v>33</v>
      </c>
      <c r="W51" s="1">
        <v>20775</v>
      </c>
      <c r="X51" s="1">
        <v>45953</v>
      </c>
      <c r="AK51" s="7"/>
      <c r="AL51" s="7"/>
    </row>
    <row r="52" spans="1:43" x14ac:dyDescent="0.35">
      <c r="A52" s="7">
        <v>3</v>
      </c>
      <c r="B52" s="14">
        <v>0.54374999999999996</v>
      </c>
      <c r="C52" s="21" t="s">
        <v>152</v>
      </c>
      <c r="D52" s="1" t="s">
        <v>136</v>
      </c>
      <c r="E52" s="1">
        <v>61</v>
      </c>
      <c r="F52" s="1" t="s">
        <v>156</v>
      </c>
      <c r="G52" s="1">
        <v>9</v>
      </c>
      <c r="H52" s="1">
        <v>61</v>
      </c>
      <c r="J52" s="1" t="s">
        <v>140</v>
      </c>
      <c r="K52" s="1" t="s">
        <v>140</v>
      </c>
      <c r="M52" s="1" t="s">
        <v>133</v>
      </c>
      <c r="N52" s="1" t="s">
        <v>133</v>
      </c>
      <c r="O52" s="1" t="s">
        <v>133</v>
      </c>
      <c r="U52" s="1">
        <v>0</v>
      </c>
      <c r="V52" s="1">
        <v>33</v>
      </c>
      <c r="W52" s="1">
        <v>20775</v>
      </c>
      <c r="X52" s="1">
        <v>45953</v>
      </c>
      <c r="AK52" s="7"/>
      <c r="AL52" s="7"/>
    </row>
    <row r="53" spans="1:43" x14ac:dyDescent="0.35">
      <c r="A53" s="7">
        <v>3</v>
      </c>
      <c r="B53" s="14">
        <v>0.52638888888888891</v>
      </c>
      <c r="C53" s="21" t="s">
        <v>174</v>
      </c>
      <c r="D53" s="1" t="s">
        <v>145</v>
      </c>
      <c r="E53" s="1">
        <v>11</v>
      </c>
      <c r="F53" s="1" t="s">
        <v>137</v>
      </c>
      <c r="M53" s="1" t="s">
        <v>138</v>
      </c>
      <c r="N53" s="1" t="s">
        <v>138</v>
      </c>
      <c r="P53" s="1" t="s">
        <v>142</v>
      </c>
      <c r="Q53" s="1" t="s">
        <v>146</v>
      </c>
      <c r="R53" s="1" t="s">
        <v>147</v>
      </c>
      <c r="S53" s="1" t="s">
        <v>148</v>
      </c>
      <c r="T53" s="1" t="s">
        <v>133</v>
      </c>
      <c r="U53" s="1">
        <v>0</v>
      </c>
      <c r="V53" s="1">
        <v>33</v>
      </c>
      <c r="W53" s="1">
        <v>20775</v>
      </c>
      <c r="X53" s="1">
        <v>45953</v>
      </c>
      <c r="AK53" s="7"/>
      <c r="AL53" s="7"/>
    </row>
    <row r="54" spans="1:43" x14ac:dyDescent="0.35">
      <c r="A54" s="2">
        <v>3</v>
      </c>
      <c r="B54" s="15">
        <v>0.48472222222222222</v>
      </c>
      <c r="C54" s="21" t="s">
        <v>152</v>
      </c>
      <c r="D54" s="1" t="s">
        <v>145</v>
      </c>
      <c r="E54" s="1">
        <v>22</v>
      </c>
      <c r="F54" s="1" t="s">
        <v>171</v>
      </c>
      <c r="G54" s="1">
        <v>11</v>
      </c>
      <c r="H54" s="1">
        <v>10</v>
      </c>
      <c r="J54" s="1" t="s">
        <v>140</v>
      </c>
      <c r="K54" s="1" t="s">
        <v>140</v>
      </c>
      <c r="Q54" s="1" t="s">
        <v>135</v>
      </c>
      <c r="R54" s="1" t="s">
        <v>160</v>
      </c>
      <c r="U54" s="1">
        <v>-1</v>
      </c>
      <c r="V54" s="1">
        <v>33</v>
      </c>
      <c r="W54" s="1">
        <v>20775</v>
      </c>
      <c r="X54" s="1">
        <v>45953</v>
      </c>
      <c r="AK54" s="7"/>
      <c r="AL54" s="7"/>
    </row>
    <row r="55" spans="1:43" x14ac:dyDescent="0.35">
      <c r="A55" s="7">
        <v>3</v>
      </c>
      <c r="B55" s="15">
        <v>0.44097222222222221</v>
      </c>
      <c r="C55" s="21" t="s">
        <v>174</v>
      </c>
      <c r="D55" s="1" t="s">
        <v>136</v>
      </c>
      <c r="E55" s="1">
        <v>55</v>
      </c>
      <c r="F55" s="1" t="s">
        <v>158</v>
      </c>
      <c r="G55" s="1">
        <v>19</v>
      </c>
      <c r="J55" s="1" t="s">
        <v>140</v>
      </c>
      <c r="M55" s="1" t="s">
        <v>138</v>
      </c>
      <c r="N55" s="1" t="s">
        <v>138</v>
      </c>
      <c r="U55" s="1">
        <v>-1</v>
      </c>
      <c r="V55" s="1">
        <v>33</v>
      </c>
      <c r="W55" s="1">
        <v>20775</v>
      </c>
      <c r="X55" s="1">
        <v>45953</v>
      </c>
      <c r="AK55" s="7"/>
      <c r="AL55" s="7"/>
    </row>
    <row r="56" spans="1:43" x14ac:dyDescent="0.35">
      <c r="A56" s="7">
        <v>3</v>
      </c>
      <c r="B56" s="15">
        <v>0.31666666666666665</v>
      </c>
      <c r="C56" s="21" t="s">
        <v>130</v>
      </c>
      <c r="D56" s="1" t="s">
        <v>136</v>
      </c>
      <c r="E56" s="1">
        <v>19</v>
      </c>
      <c r="F56" s="1" t="s">
        <v>132</v>
      </c>
      <c r="G56" s="1">
        <v>27</v>
      </c>
      <c r="J56" s="1" t="s">
        <v>162</v>
      </c>
      <c r="N56" s="1" t="s">
        <v>133</v>
      </c>
      <c r="P56" s="1" t="s">
        <v>142</v>
      </c>
      <c r="Q56" s="1" t="s">
        <v>143</v>
      </c>
      <c r="R56" s="1" t="s">
        <v>163</v>
      </c>
      <c r="U56" s="1">
        <v>-1</v>
      </c>
      <c r="V56" s="1">
        <v>33</v>
      </c>
      <c r="W56" s="1">
        <v>20775</v>
      </c>
      <c r="X56" s="1">
        <v>45953</v>
      </c>
      <c r="AK56" s="7"/>
      <c r="AL56" s="7"/>
    </row>
    <row r="57" spans="1:43" x14ac:dyDescent="0.35">
      <c r="A57" s="7">
        <v>3</v>
      </c>
      <c r="B57" s="14">
        <v>0.28611111111111109</v>
      </c>
      <c r="C57" s="21" t="s">
        <v>130</v>
      </c>
      <c r="D57" s="1" t="s">
        <v>136</v>
      </c>
      <c r="E57" s="1">
        <v>26</v>
      </c>
      <c r="F57" s="1" t="s">
        <v>156</v>
      </c>
      <c r="G57" s="1">
        <v>6</v>
      </c>
      <c r="H57" s="1">
        <v>23</v>
      </c>
      <c r="J57" s="1" t="s">
        <v>157</v>
      </c>
      <c r="K57" s="1" t="s">
        <v>159</v>
      </c>
      <c r="P57" s="1" t="s">
        <v>142</v>
      </c>
      <c r="Q57" s="1" t="s">
        <v>146</v>
      </c>
      <c r="R57" s="1" t="s">
        <v>150</v>
      </c>
      <c r="U57" s="1">
        <v>-1</v>
      </c>
      <c r="V57" s="1">
        <v>33</v>
      </c>
      <c r="W57" s="1">
        <v>20775</v>
      </c>
      <c r="X57" s="1">
        <v>45953</v>
      </c>
      <c r="AK57" s="7"/>
      <c r="AL57" s="7"/>
    </row>
    <row r="58" spans="1:43" x14ac:dyDescent="0.35">
      <c r="A58" s="7">
        <v>3</v>
      </c>
      <c r="B58" s="14">
        <v>0.27847222222222223</v>
      </c>
      <c r="C58" s="21" t="s">
        <v>130</v>
      </c>
      <c r="D58" s="1" t="s">
        <v>136</v>
      </c>
      <c r="E58" s="1">
        <v>88</v>
      </c>
      <c r="F58" s="1" t="s">
        <v>132</v>
      </c>
      <c r="G58" s="1">
        <v>6</v>
      </c>
      <c r="H58" s="1">
        <v>88</v>
      </c>
      <c r="I58" s="1">
        <v>26</v>
      </c>
      <c r="J58" s="1" t="s">
        <v>141</v>
      </c>
      <c r="K58" s="1" t="s">
        <v>139</v>
      </c>
      <c r="L58" s="1" t="s">
        <v>155</v>
      </c>
      <c r="P58" s="1" t="s">
        <v>134</v>
      </c>
      <c r="Q58" s="1" t="s">
        <v>135</v>
      </c>
      <c r="U58" s="1">
        <v>-1</v>
      </c>
      <c r="V58" s="1">
        <v>33</v>
      </c>
      <c r="W58" s="1">
        <v>20775</v>
      </c>
      <c r="X58" s="1">
        <v>45953</v>
      </c>
      <c r="AK58" s="7"/>
      <c r="AL58" s="7"/>
    </row>
    <row r="59" spans="1:43" x14ac:dyDescent="0.35">
      <c r="A59" s="2">
        <v>3</v>
      </c>
      <c r="B59" s="15">
        <v>0.27291666666666664</v>
      </c>
      <c r="C59" s="21" t="s">
        <v>130</v>
      </c>
      <c r="D59" s="1" t="s">
        <v>136</v>
      </c>
      <c r="E59" s="1">
        <v>28</v>
      </c>
      <c r="F59" s="1" t="s">
        <v>137</v>
      </c>
      <c r="G59" s="1">
        <v>23</v>
      </c>
      <c r="J59" s="1" t="s">
        <v>154</v>
      </c>
      <c r="M59" s="1" t="s">
        <v>138</v>
      </c>
      <c r="N59" s="1" t="s">
        <v>138</v>
      </c>
      <c r="P59" s="1" t="s">
        <v>134</v>
      </c>
      <c r="Q59" s="1" t="s">
        <v>135</v>
      </c>
      <c r="U59" s="1">
        <v>-1</v>
      </c>
      <c r="V59" s="1">
        <v>33</v>
      </c>
      <c r="W59" s="1">
        <v>20775</v>
      </c>
      <c r="X59" s="1">
        <v>45953</v>
      </c>
      <c r="AK59" s="7"/>
      <c r="AL59" s="7"/>
    </row>
    <row r="60" spans="1:43" x14ac:dyDescent="0.35">
      <c r="A60" s="2">
        <v>3</v>
      </c>
      <c r="B60" s="15">
        <v>0.2722222222222222</v>
      </c>
      <c r="C60" s="21" t="s">
        <v>130</v>
      </c>
      <c r="D60" s="1" t="s">
        <v>136</v>
      </c>
      <c r="E60" s="1">
        <v>28</v>
      </c>
      <c r="F60" s="1" t="s">
        <v>175</v>
      </c>
      <c r="M60" s="1" t="s">
        <v>138</v>
      </c>
      <c r="N60" s="1" t="s">
        <v>138</v>
      </c>
      <c r="P60" s="1" t="s">
        <v>134</v>
      </c>
      <c r="Q60" s="1" t="s">
        <v>135</v>
      </c>
      <c r="U60" s="1">
        <v>-1</v>
      </c>
      <c r="V60" s="1">
        <v>33</v>
      </c>
      <c r="W60" s="1">
        <v>20775</v>
      </c>
      <c r="X60" s="1">
        <v>45953</v>
      </c>
      <c r="AK60" s="7"/>
      <c r="AL60" s="7"/>
    </row>
    <row r="61" spans="1:43" x14ac:dyDescent="0.35">
      <c r="A61" s="2">
        <v>3</v>
      </c>
      <c r="B61" s="15">
        <v>0.19513888888888889</v>
      </c>
      <c r="C61" s="21" t="s">
        <v>152</v>
      </c>
      <c r="D61" s="1" t="s">
        <v>136</v>
      </c>
      <c r="E61" s="1">
        <v>42</v>
      </c>
      <c r="F61" s="1" t="s">
        <v>156</v>
      </c>
      <c r="G61" s="1">
        <v>9</v>
      </c>
      <c r="H61" s="1">
        <v>49</v>
      </c>
      <c r="I61" s="1">
        <v>27</v>
      </c>
      <c r="J61" s="1" t="s">
        <v>140</v>
      </c>
      <c r="K61" s="1" t="s">
        <v>176</v>
      </c>
      <c r="L61" s="1" t="s">
        <v>139</v>
      </c>
      <c r="U61" s="1">
        <v>-1</v>
      </c>
      <c r="V61" s="1">
        <v>33</v>
      </c>
      <c r="W61" s="1">
        <v>20775</v>
      </c>
      <c r="X61" s="1">
        <v>45953</v>
      </c>
      <c r="AK61" s="7"/>
      <c r="AL61" s="7"/>
    </row>
    <row r="62" spans="1:43" x14ac:dyDescent="0.35">
      <c r="A62" s="2">
        <v>3</v>
      </c>
      <c r="B62" s="15">
        <v>0.1875</v>
      </c>
      <c r="C62" s="21" t="s">
        <v>130</v>
      </c>
      <c r="D62" s="1" t="s">
        <v>136</v>
      </c>
      <c r="E62" s="1">
        <v>49</v>
      </c>
      <c r="F62" s="1" t="s">
        <v>171</v>
      </c>
      <c r="G62" s="1">
        <v>9</v>
      </c>
      <c r="J62" s="1" t="s">
        <v>177</v>
      </c>
      <c r="M62" s="1" t="s">
        <v>133</v>
      </c>
      <c r="P62" s="1" t="s">
        <v>134</v>
      </c>
      <c r="Q62" s="1" t="s">
        <v>135</v>
      </c>
      <c r="U62" s="1">
        <v>-1</v>
      </c>
      <c r="V62" s="1">
        <v>33</v>
      </c>
      <c r="W62" s="1">
        <v>20775</v>
      </c>
      <c r="X62" s="1">
        <v>45953</v>
      </c>
      <c r="AK62" s="7"/>
      <c r="AL62" s="7"/>
    </row>
    <row r="63" spans="1:43" x14ac:dyDescent="0.35">
      <c r="A63" s="2">
        <v>3</v>
      </c>
      <c r="B63" s="15">
        <v>0.12013888888888889</v>
      </c>
      <c r="C63" s="21" t="s">
        <v>130</v>
      </c>
      <c r="D63" s="1" t="s">
        <v>145</v>
      </c>
      <c r="E63" s="1">
        <v>91</v>
      </c>
      <c r="F63" s="1" t="s">
        <v>137</v>
      </c>
      <c r="G63" s="1">
        <v>36</v>
      </c>
      <c r="H63" s="1">
        <v>10</v>
      </c>
      <c r="J63" s="1" t="s">
        <v>140</v>
      </c>
      <c r="K63" s="1" t="s">
        <v>173</v>
      </c>
      <c r="P63" s="1" t="s">
        <v>142</v>
      </c>
      <c r="Q63" s="1" t="s">
        <v>146</v>
      </c>
      <c r="R63" s="1" t="s">
        <v>150</v>
      </c>
      <c r="U63" s="1">
        <v>-1</v>
      </c>
      <c r="V63" s="1">
        <v>33</v>
      </c>
      <c r="W63" s="1">
        <v>20775</v>
      </c>
      <c r="X63" s="1">
        <v>45953</v>
      </c>
      <c r="AK63" s="7"/>
      <c r="AL63" s="7"/>
    </row>
    <row r="64" spans="1:43" x14ac:dyDescent="0.35">
      <c r="A64" s="2">
        <v>1</v>
      </c>
      <c r="B64" s="15">
        <v>0.81944444444444442</v>
      </c>
      <c r="C64" s="21" t="s">
        <v>130</v>
      </c>
      <c r="AK64" s="7"/>
      <c r="AL64" s="7"/>
      <c r="AM64" t="s">
        <v>178</v>
      </c>
      <c r="AN64" t="s">
        <v>179</v>
      </c>
      <c r="AO64" t="s">
        <v>180</v>
      </c>
      <c r="AP64" t="s">
        <v>181</v>
      </c>
      <c r="AQ64" t="s">
        <v>182</v>
      </c>
    </row>
    <row r="65" spans="1:43" x14ac:dyDescent="0.35">
      <c r="A65" s="2">
        <v>1</v>
      </c>
      <c r="B65" s="15">
        <v>0.80555555555555558</v>
      </c>
      <c r="C65" s="21" t="s">
        <v>130</v>
      </c>
      <c r="AF65" s="5" t="s">
        <v>183</v>
      </c>
      <c r="AG65" s="5" t="s">
        <v>184</v>
      </c>
      <c r="AH65" s="5" t="s">
        <v>180</v>
      </c>
      <c r="AJ65" s="5" t="s">
        <v>175</v>
      </c>
      <c r="AK65" s="7" t="s">
        <v>185</v>
      </c>
      <c r="AL65" s="7" t="s">
        <v>180</v>
      </c>
    </row>
    <row r="66" spans="1:43" x14ac:dyDescent="0.35">
      <c r="A66" s="2">
        <v>1</v>
      </c>
      <c r="B66" s="15">
        <v>0.77083333333333337</v>
      </c>
      <c r="C66" s="21" t="s">
        <v>130</v>
      </c>
      <c r="AF66" s="5" t="s">
        <v>183</v>
      </c>
      <c r="AG66" s="5" t="s">
        <v>186</v>
      </c>
      <c r="AH66" s="5" t="s">
        <v>180</v>
      </c>
      <c r="AJ66" s="5" t="s">
        <v>187</v>
      </c>
      <c r="AK66" s="7" t="s">
        <v>180</v>
      </c>
      <c r="AL66" s="7" t="s">
        <v>180</v>
      </c>
      <c r="AM66" t="s">
        <v>188</v>
      </c>
      <c r="AN66" t="s">
        <v>179</v>
      </c>
      <c r="AO66" t="s">
        <v>180</v>
      </c>
      <c r="AP66" t="s">
        <v>189</v>
      </c>
      <c r="AQ66" t="s">
        <v>190</v>
      </c>
    </row>
    <row r="67" spans="1:43" x14ac:dyDescent="0.35">
      <c r="A67" s="2">
        <v>1</v>
      </c>
      <c r="B67" s="15">
        <v>0.76597222222222228</v>
      </c>
      <c r="C67" s="23" t="s">
        <v>130</v>
      </c>
      <c r="AK67" s="7"/>
      <c r="AL67" s="7"/>
      <c r="AM67" t="s">
        <v>189</v>
      </c>
      <c r="AN67" t="s">
        <v>179</v>
      </c>
      <c r="AO67" t="s">
        <v>191</v>
      </c>
      <c r="AP67" t="s">
        <v>192</v>
      </c>
      <c r="AQ67" t="s">
        <v>190</v>
      </c>
    </row>
    <row r="68" spans="1:43" x14ac:dyDescent="0.35">
      <c r="A68" s="2">
        <v>1</v>
      </c>
      <c r="B68" s="15">
        <v>0.75902777777777775</v>
      </c>
      <c r="C68" s="21" t="s">
        <v>130</v>
      </c>
      <c r="AK68" s="7"/>
      <c r="AL68" s="7"/>
      <c r="AM68" t="s">
        <v>193</v>
      </c>
      <c r="AN68" t="s">
        <v>182</v>
      </c>
    </row>
    <row r="69" spans="1:43" x14ac:dyDescent="0.35">
      <c r="A69" s="2">
        <v>1</v>
      </c>
      <c r="B69" s="15">
        <v>0.75138888888888888</v>
      </c>
      <c r="C69" s="21" t="s">
        <v>130</v>
      </c>
      <c r="AF69" s="5" t="s">
        <v>183</v>
      </c>
      <c r="AG69" s="5" t="s">
        <v>194</v>
      </c>
      <c r="AH69" s="5" t="s">
        <v>180</v>
      </c>
      <c r="AJ69" s="5" t="s">
        <v>195</v>
      </c>
      <c r="AK69" s="7" t="s">
        <v>196</v>
      </c>
      <c r="AL69" s="7" t="s">
        <v>180</v>
      </c>
      <c r="AM69" t="s">
        <v>196</v>
      </c>
      <c r="AN69" t="s">
        <v>179</v>
      </c>
      <c r="AO69" t="s">
        <v>180</v>
      </c>
      <c r="AP69" t="s">
        <v>191</v>
      </c>
      <c r="AQ69" t="s">
        <v>197</v>
      </c>
    </row>
    <row r="70" spans="1:43" x14ac:dyDescent="0.35">
      <c r="A70" s="2">
        <v>1</v>
      </c>
      <c r="B70" s="15">
        <v>0.74375000000000002</v>
      </c>
      <c r="C70" s="21" t="s">
        <v>130</v>
      </c>
      <c r="AK70" s="7"/>
      <c r="AL70" s="7"/>
      <c r="AM70" t="s">
        <v>189</v>
      </c>
      <c r="AN70" t="s">
        <v>179</v>
      </c>
      <c r="AO70" t="s">
        <v>180</v>
      </c>
      <c r="AP70" t="s">
        <v>198</v>
      </c>
      <c r="AQ70" t="s">
        <v>197</v>
      </c>
    </row>
    <row r="71" spans="1:43" x14ac:dyDescent="0.35">
      <c r="A71" s="2">
        <v>1</v>
      </c>
      <c r="B71" s="15">
        <v>0.72916666666666663</v>
      </c>
      <c r="C71" s="21" t="s">
        <v>130</v>
      </c>
      <c r="AK71" s="7"/>
      <c r="AL71" s="7"/>
      <c r="AM71" t="s">
        <v>199</v>
      </c>
      <c r="AN71" t="s">
        <v>179</v>
      </c>
      <c r="AO71" t="s">
        <v>180</v>
      </c>
      <c r="AP71" t="s">
        <v>194</v>
      </c>
      <c r="AQ71" t="s">
        <v>200</v>
      </c>
    </row>
    <row r="72" spans="1:43" x14ac:dyDescent="0.35">
      <c r="A72" s="2">
        <v>1</v>
      </c>
      <c r="B72" s="15">
        <v>0.72013888888888888</v>
      </c>
      <c r="C72" s="21" t="s">
        <v>130</v>
      </c>
      <c r="AF72" s="5" t="s">
        <v>187</v>
      </c>
      <c r="AG72" s="5" t="s">
        <v>181</v>
      </c>
      <c r="AH72" s="5" t="s">
        <v>191</v>
      </c>
      <c r="AI72" s="5" t="s">
        <v>180</v>
      </c>
      <c r="AJ72" s="5" t="s">
        <v>195</v>
      </c>
      <c r="AK72" s="7" t="s">
        <v>180</v>
      </c>
      <c r="AL72" s="7" t="s">
        <v>180</v>
      </c>
      <c r="AM72" t="s">
        <v>201</v>
      </c>
      <c r="AN72" t="s">
        <v>182</v>
      </c>
    </row>
    <row r="73" spans="1:43" x14ac:dyDescent="0.35">
      <c r="A73" s="2">
        <v>1</v>
      </c>
      <c r="B73" s="15">
        <v>0.70902777777777781</v>
      </c>
      <c r="C73" s="21" t="s">
        <v>130</v>
      </c>
      <c r="AF73" s="5" t="s">
        <v>187</v>
      </c>
      <c r="AG73" s="5" t="s">
        <v>201</v>
      </c>
      <c r="AH73" s="5" t="s">
        <v>180</v>
      </c>
      <c r="AI73" s="5" t="s">
        <v>138</v>
      </c>
      <c r="AJ73" s="5" t="s">
        <v>175</v>
      </c>
      <c r="AK73" s="7" t="s">
        <v>180</v>
      </c>
      <c r="AL73" s="7" t="s">
        <v>138</v>
      </c>
      <c r="AM73" t="s">
        <v>202</v>
      </c>
      <c r="AN73" t="s">
        <v>182</v>
      </c>
    </row>
    <row r="74" spans="1:43" x14ac:dyDescent="0.35">
      <c r="A74" s="2">
        <v>1</v>
      </c>
      <c r="B74" s="15">
        <v>0.69305555555555554</v>
      </c>
      <c r="C74" s="21" t="s">
        <v>130</v>
      </c>
      <c r="AF74" s="5" t="s">
        <v>183</v>
      </c>
      <c r="AG74" s="5" t="s">
        <v>203</v>
      </c>
      <c r="AH74" s="5" t="s">
        <v>180</v>
      </c>
      <c r="AJ74" s="5" t="s">
        <v>187</v>
      </c>
      <c r="AK74" s="7" t="s">
        <v>180</v>
      </c>
      <c r="AL74" s="7" t="s">
        <v>180</v>
      </c>
      <c r="AM74" t="s">
        <v>178</v>
      </c>
      <c r="AN74" t="s">
        <v>179</v>
      </c>
      <c r="AO74" t="s">
        <v>204</v>
      </c>
      <c r="AP74" t="s">
        <v>205</v>
      </c>
      <c r="AQ74" t="s">
        <v>190</v>
      </c>
    </row>
    <row r="75" spans="1:43" x14ac:dyDescent="0.35">
      <c r="A75" s="2">
        <v>1</v>
      </c>
      <c r="B75" s="15">
        <v>0.67708333333333337</v>
      </c>
      <c r="C75" s="21" t="s">
        <v>130</v>
      </c>
      <c r="AF75" s="5" t="s">
        <v>187</v>
      </c>
      <c r="AG75" s="5" t="s">
        <v>205</v>
      </c>
      <c r="AH75" s="5" t="s">
        <v>180</v>
      </c>
      <c r="AI75" s="5" t="s">
        <v>180</v>
      </c>
      <c r="AJ75" s="5" t="s">
        <v>187</v>
      </c>
      <c r="AK75" s="7" t="s">
        <v>180</v>
      </c>
      <c r="AL75" s="7" t="s">
        <v>138</v>
      </c>
    </row>
    <row r="76" spans="1:43" x14ac:dyDescent="0.35">
      <c r="A76" s="2">
        <v>1</v>
      </c>
      <c r="B76" s="15">
        <v>0.67361111111111116</v>
      </c>
      <c r="C76" s="21" t="s">
        <v>130</v>
      </c>
      <c r="AF76" s="5" t="s">
        <v>183</v>
      </c>
      <c r="AG76" s="5" t="s">
        <v>184</v>
      </c>
      <c r="AH76" s="5" t="s">
        <v>180</v>
      </c>
      <c r="AJ76" s="5" t="s">
        <v>175</v>
      </c>
      <c r="AK76" s="7" t="s">
        <v>206</v>
      </c>
      <c r="AL76" s="7" t="s">
        <v>180</v>
      </c>
      <c r="AM76" t="s">
        <v>207</v>
      </c>
      <c r="AN76" t="s">
        <v>208</v>
      </c>
    </row>
    <row r="77" spans="1:43" x14ac:dyDescent="0.35">
      <c r="A77" s="2">
        <v>1</v>
      </c>
      <c r="B77" s="15">
        <v>0.65763888888888888</v>
      </c>
      <c r="C77" s="21" t="s">
        <v>130</v>
      </c>
      <c r="AF77" s="5" t="s">
        <v>187</v>
      </c>
      <c r="AG77" s="5" t="s">
        <v>207</v>
      </c>
      <c r="AH77" s="5" t="s">
        <v>209</v>
      </c>
      <c r="AI77" s="5" t="s">
        <v>180</v>
      </c>
      <c r="AJ77" s="5" t="s">
        <v>187</v>
      </c>
      <c r="AK77" s="7" t="s">
        <v>180</v>
      </c>
      <c r="AL77" s="7" t="s">
        <v>180</v>
      </c>
    </row>
    <row r="78" spans="1:43" x14ac:dyDescent="0.35">
      <c r="A78" s="2">
        <v>1</v>
      </c>
      <c r="B78" s="15">
        <v>0.65416666666666667</v>
      </c>
      <c r="C78" s="21" t="s">
        <v>130</v>
      </c>
      <c r="AF78" s="5" t="s">
        <v>183</v>
      </c>
      <c r="AG78" s="5" t="s">
        <v>184</v>
      </c>
      <c r="AH78" s="5" t="s">
        <v>180</v>
      </c>
      <c r="AJ78" s="5" t="s">
        <v>175</v>
      </c>
      <c r="AK78" s="7" t="s">
        <v>180</v>
      </c>
      <c r="AL78" s="7" t="s">
        <v>180</v>
      </c>
      <c r="AM78" t="s">
        <v>210</v>
      </c>
      <c r="AN78" t="s">
        <v>197</v>
      </c>
    </row>
    <row r="79" spans="1:43" x14ac:dyDescent="0.35">
      <c r="A79" s="2">
        <v>1</v>
      </c>
      <c r="B79" s="15">
        <v>0.64930555555555558</v>
      </c>
      <c r="C79" s="21" t="s">
        <v>130</v>
      </c>
      <c r="AK79" s="7"/>
      <c r="AL79" s="7"/>
      <c r="AM79" t="s">
        <v>193</v>
      </c>
      <c r="AN79" t="s">
        <v>190</v>
      </c>
      <c r="AO79" t="s">
        <v>206</v>
      </c>
    </row>
    <row r="80" spans="1:43" x14ac:dyDescent="0.35">
      <c r="A80" s="2">
        <v>1</v>
      </c>
      <c r="B80" s="15">
        <v>0.64583333333333337</v>
      </c>
      <c r="C80" s="21" t="s">
        <v>130</v>
      </c>
      <c r="AF80" s="5" t="s">
        <v>183</v>
      </c>
      <c r="AG80" s="5" t="s">
        <v>198</v>
      </c>
      <c r="AH80" s="5" t="s">
        <v>210</v>
      </c>
      <c r="AJ80" s="5" t="s">
        <v>195</v>
      </c>
      <c r="AK80" s="7" t="s">
        <v>180</v>
      </c>
      <c r="AL80" s="7" t="s">
        <v>180</v>
      </c>
      <c r="AM80" t="s">
        <v>198</v>
      </c>
      <c r="AN80" t="s">
        <v>208</v>
      </c>
    </row>
    <row r="81" spans="1:43" x14ac:dyDescent="0.35">
      <c r="A81" s="2">
        <v>1</v>
      </c>
      <c r="B81" s="15">
        <v>0.63958333333333328</v>
      </c>
      <c r="C81" s="21" t="s">
        <v>130</v>
      </c>
      <c r="AF81" s="5" t="s">
        <v>187</v>
      </c>
      <c r="AG81" s="5" t="s">
        <v>185</v>
      </c>
      <c r="AH81" s="5" t="s">
        <v>189</v>
      </c>
      <c r="AI81" s="5" t="s">
        <v>138</v>
      </c>
      <c r="AJ81" s="5" t="s">
        <v>175</v>
      </c>
      <c r="AK81" s="7" t="s">
        <v>180</v>
      </c>
      <c r="AL81" s="7" t="s">
        <v>180</v>
      </c>
      <c r="AM81" t="s">
        <v>185</v>
      </c>
      <c r="AN81" t="s">
        <v>208</v>
      </c>
    </row>
    <row r="82" spans="1:43" x14ac:dyDescent="0.35">
      <c r="A82" s="2">
        <v>1</v>
      </c>
      <c r="B82" s="15">
        <v>0.6166666666666667</v>
      </c>
      <c r="C82" s="21" t="s">
        <v>130</v>
      </c>
      <c r="AF82" s="5" t="s">
        <v>187</v>
      </c>
      <c r="AG82" s="5" t="s">
        <v>186</v>
      </c>
      <c r="AH82" s="5" t="s">
        <v>180</v>
      </c>
      <c r="AI82" s="5" t="s">
        <v>180</v>
      </c>
      <c r="AJ82" s="5" t="s">
        <v>195</v>
      </c>
      <c r="AK82" s="7" t="s">
        <v>180</v>
      </c>
      <c r="AL82" s="7" t="s">
        <v>133</v>
      </c>
      <c r="AM82" t="s">
        <v>211</v>
      </c>
      <c r="AN82" t="s">
        <v>179</v>
      </c>
      <c r="AO82" t="s">
        <v>196</v>
      </c>
      <c r="AP82" t="s">
        <v>181</v>
      </c>
      <c r="AQ82" t="s">
        <v>190</v>
      </c>
    </row>
    <row r="83" spans="1:43" x14ac:dyDescent="0.35">
      <c r="A83" s="2">
        <v>1</v>
      </c>
      <c r="B83" s="15">
        <v>0.60486111111111107</v>
      </c>
      <c r="C83" s="21" t="s">
        <v>130</v>
      </c>
      <c r="AK83" s="7"/>
      <c r="AL83" s="7"/>
      <c r="AM83" t="s">
        <v>181</v>
      </c>
      <c r="AN83" t="s">
        <v>179</v>
      </c>
      <c r="AO83" t="s">
        <v>212</v>
      </c>
      <c r="AP83" t="s">
        <v>213</v>
      </c>
      <c r="AQ83" t="s">
        <v>190</v>
      </c>
    </row>
    <row r="84" spans="1:43" x14ac:dyDescent="0.35">
      <c r="A84" s="2">
        <v>1</v>
      </c>
      <c r="B84" s="15">
        <v>0.58333333333333337</v>
      </c>
      <c r="C84" s="21" t="s">
        <v>130</v>
      </c>
      <c r="AF84" s="5" t="s">
        <v>187</v>
      </c>
      <c r="AG84" s="5" t="s">
        <v>214</v>
      </c>
      <c r="AH84" s="5" t="s">
        <v>180</v>
      </c>
      <c r="AI84" s="5" t="s">
        <v>180</v>
      </c>
      <c r="AJ84" s="5" t="s">
        <v>195</v>
      </c>
      <c r="AK84" s="7" t="s">
        <v>180</v>
      </c>
      <c r="AL84" s="7" t="s">
        <v>180</v>
      </c>
    </row>
    <row r="85" spans="1:43" x14ac:dyDescent="0.35">
      <c r="A85" s="2">
        <v>1</v>
      </c>
      <c r="B85" s="15">
        <v>0.55763888888888891</v>
      </c>
      <c r="C85" s="21" t="s">
        <v>130</v>
      </c>
      <c r="AF85" s="5" t="s">
        <v>183</v>
      </c>
      <c r="AG85" s="5" t="s">
        <v>215</v>
      </c>
      <c r="AH85" s="5" t="s">
        <v>209</v>
      </c>
      <c r="AJ85" s="5" t="s">
        <v>175</v>
      </c>
      <c r="AK85" s="7" t="s">
        <v>180</v>
      </c>
      <c r="AL85" s="7" t="s">
        <v>180</v>
      </c>
      <c r="AM85" t="s">
        <v>210</v>
      </c>
      <c r="AN85" t="s">
        <v>179</v>
      </c>
      <c r="AO85" t="s">
        <v>180</v>
      </c>
      <c r="AP85" t="s">
        <v>212</v>
      </c>
      <c r="AQ85" t="s">
        <v>182</v>
      </c>
    </row>
    <row r="86" spans="1:43" x14ac:dyDescent="0.35">
      <c r="A86" s="2">
        <v>1</v>
      </c>
      <c r="B86" s="15">
        <v>0.55000000000000004</v>
      </c>
      <c r="C86" s="21" t="s">
        <v>130</v>
      </c>
      <c r="AF86" s="5" t="s">
        <v>183</v>
      </c>
      <c r="AG86" s="5" t="s">
        <v>216</v>
      </c>
      <c r="AH86" s="5" t="s">
        <v>180</v>
      </c>
      <c r="AJ86" s="5" t="s">
        <v>195</v>
      </c>
      <c r="AK86" s="7" t="s">
        <v>180</v>
      </c>
      <c r="AL86" s="7" t="s">
        <v>180</v>
      </c>
      <c r="AM86" t="s">
        <v>205</v>
      </c>
      <c r="AN86" t="s">
        <v>197</v>
      </c>
    </row>
    <row r="87" spans="1:43" x14ac:dyDescent="0.35">
      <c r="A87" s="2">
        <v>1</v>
      </c>
      <c r="B87" s="15">
        <v>0.54236111111111107</v>
      </c>
      <c r="C87" s="21" t="s">
        <v>130</v>
      </c>
      <c r="AF87" s="5" t="s">
        <v>187</v>
      </c>
      <c r="AG87" s="5" t="s">
        <v>217</v>
      </c>
      <c r="AH87" s="5" t="s">
        <v>191</v>
      </c>
      <c r="AI87" s="5" t="s">
        <v>180</v>
      </c>
      <c r="AJ87" s="5" t="s">
        <v>187</v>
      </c>
      <c r="AK87" s="7" t="s">
        <v>180</v>
      </c>
      <c r="AL87" s="7" t="s">
        <v>180</v>
      </c>
      <c r="AM87" t="s">
        <v>191</v>
      </c>
      <c r="AN87" t="s">
        <v>179</v>
      </c>
      <c r="AO87" t="s">
        <v>180</v>
      </c>
      <c r="AP87" t="s">
        <v>218</v>
      </c>
      <c r="AQ87" t="s">
        <v>182</v>
      </c>
    </row>
    <row r="88" spans="1:43" x14ac:dyDescent="0.35">
      <c r="A88" s="2">
        <v>1</v>
      </c>
      <c r="B88" s="15">
        <v>0.51388888888888884</v>
      </c>
      <c r="C88" s="21" t="s">
        <v>130</v>
      </c>
      <c r="AF88" s="5" t="s">
        <v>183</v>
      </c>
      <c r="AG88" s="5" t="s">
        <v>203</v>
      </c>
      <c r="AH88" s="5" t="s">
        <v>180</v>
      </c>
      <c r="AJ88" s="5" t="s">
        <v>195</v>
      </c>
      <c r="AK88" s="7" t="s">
        <v>180</v>
      </c>
      <c r="AL88" s="7" t="s">
        <v>180</v>
      </c>
      <c r="AM88" t="s">
        <v>188</v>
      </c>
      <c r="AN88" t="s">
        <v>179</v>
      </c>
      <c r="AO88" t="s">
        <v>180</v>
      </c>
      <c r="AP88" t="s">
        <v>219</v>
      </c>
      <c r="AQ88" t="s">
        <v>197</v>
      </c>
    </row>
    <row r="89" spans="1:43" x14ac:dyDescent="0.35">
      <c r="A89" s="2">
        <v>1</v>
      </c>
      <c r="B89" s="15">
        <v>0.51249999999999996</v>
      </c>
      <c r="C89" s="21" t="s">
        <v>130</v>
      </c>
      <c r="AF89" s="5" t="s">
        <v>187</v>
      </c>
      <c r="AG89" s="5" t="s">
        <v>192</v>
      </c>
      <c r="AH89" s="5" t="s">
        <v>202</v>
      </c>
      <c r="AI89" s="5" t="s">
        <v>138</v>
      </c>
      <c r="AJ89" s="5" t="s">
        <v>195</v>
      </c>
      <c r="AK89" s="7" t="s">
        <v>180</v>
      </c>
      <c r="AL89" s="7" t="s">
        <v>180</v>
      </c>
      <c r="AM89" t="s">
        <v>220</v>
      </c>
      <c r="AN89" t="s">
        <v>179</v>
      </c>
      <c r="AO89" t="s">
        <v>180</v>
      </c>
      <c r="AP89" t="s">
        <v>203</v>
      </c>
      <c r="AQ89" t="s">
        <v>182</v>
      </c>
    </row>
    <row r="90" spans="1:43" x14ac:dyDescent="0.35">
      <c r="A90" s="2">
        <v>1</v>
      </c>
      <c r="B90" s="15">
        <v>0.49930555555555556</v>
      </c>
      <c r="C90" s="21" t="s">
        <v>130</v>
      </c>
      <c r="AF90" s="5" t="s">
        <v>221</v>
      </c>
      <c r="AG90" s="5" t="s">
        <v>136</v>
      </c>
      <c r="AK90" s="7"/>
      <c r="AL90" s="7" t="s">
        <v>133</v>
      </c>
      <c r="AM90" t="s">
        <v>211</v>
      </c>
      <c r="AN90" t="s">
        <v>182</v>
      </c>
    </row>
    <row r="91" spans="1:43" x14ac:dyDescent="0.35">
      <c r="A91" s="2">
        <v>1</v>
      </c>
      <c r="B91" s="15">
        <v>0.4861111111111111</v>
      </c>
      <c r="C91" s="21" t="s">
        <v>130</v>
      </c>
      <c r="AF91" s="5" t="s">
        <v>187</v>
      </c>
      <c r="AG91" s="5" t="s">
        <v>206</v>
      </c>
      <c r="AH91" s="5" t="s">
        <v>178</v>
      </c>
      <c r="AI91" s="5" t="s">
        <v>180</v>
      </c>
      <c r="AJ91" s="5" t="s">
        <v>195</v>
      </c>
      <c r="AK91" s="7" t="s">
        <v>180</v>
      </c>
      <c r="AL91" s="7" t="s">
        <v>180</v>
      </c>
      <c r="AM91" t="s">
        <v>222</v>
      </c>
      <c r="AN91" t="s">
        <v>200</v>
      </c>
    </row>
    <row r="92" spans="1:43" x14ac:dyDescent="0.35">
      <c r="A92" s="2">
        <v>1</v>
      </c>
      <c r="B92" s="15">
        <v>0.4597222222222222</v>
      </c>
      <c r="C92" s="21" t="s">
        <v>130</v>
      </c>
      <c r="AF92" s="5" t="s">
        <v>183</v>
      </c>
      <c r="AG92" s="5" t="s">
        <v>209</v>
      </c>
      <c r="AH92" s="5" t="s">
        <v>180</v>
      </c>
      <c r="AJ92" s="5" t="s">
        <v>195</v>
      </c>
      <c r="AK92" s="7" t="s">
        <v>180</v>
      </c>
      <c r="AL92" s="7" t="s">
        <v>180</v>
      </c>
      <c r="AM92" t="s">
        <v>181</v>
      </c>
      <c r="AN92" t="s">
        <v>179</v>
      </c>
      <c r="AO92" t="s">
        <v>180</v>
      </c>
      <c r="AP92" t="s">
        <v>222</v>
      </c>
      <c r="AQ92" t="s">
        <v>197</v>
      </c>
    </row>
    <row r="93" spans="1:43" x14ac:dyDescent="0.35">
      <c r="A93" s="2">
        <v>1</v>
      </c>
      <c r="B93" s="15">
        <v>0.45208333333333334</v>
      </c>
      <c r="C93" s="21" t="s">
        <v>130</v>
      </c>
      <c r="AF93" s="5" t="s">
        <v>183</v>
      </c>
      <c r="AG93" s="5" t="s">
        <v>198</v>
      </c>
      <c r="AH93" s="5" t="s">
        <v>194</v>
      </c>
      <c r="AJ93" s="5" t="s">
        <v>175</v>
      </c>
      <c r="AK93" s="7" t="s">
        <v>180</v>
      </c>
      <c r="AL93" s="7" t="s">
        <v>180</v>
      </c>
      <c r="AM93" t="s">
        <v>199</v>
      </c>
      <c r="AN93" t="s">
        <v>179</v>
      </c>
      <c r="AO93" t="s">
        <v>193</v>
      </c>
      <c r="AP93" t="s">
        <v>194</v>
      </c>
      <c r="AQ93" t="s">
        <v>182</v>
      </c>
    </row>
    <row r="94" spans="1:43" x14ac:dyDescent="0.35">
      <c r="A94" s="2">
        <v>1</v>
      </c>
      <c r="B94" s="15">
        <v>0.44444444444444442</v>
      </c>
      <c r="C94" s="21" t="s">
        <v>130</v>
      </c>
      <c r="AF94" s="5" t="s">
        <v>223</v>
      </c>
      <c r="AG94" s="5" t="s">
        <v>213</v>
      </c>
      <c r="AH94" s="5" t="s">
        <v>191</v>
      </c>
      <c r="AJ94" s="5" t="s">
        <v>175</v>
      </c>
      <c r="AK94" s="7" t="s">
        <v>180</v>
      </c>
      <c r="AL94" s="7" t="s">
        <v>180</v>
      </c>
    </row>
    <row r="95" spans="1:43" x14ac:dyDescent="0.35">
      <c r="A95" s="2">
        <v>1</v>
      </c>
      <c r="B95" s="15">
        <v>0.4375</v>
      </c>
      <c r="C95" s="21" t="s">
        <v>130</v>
      </c>
      <c r="AF95" s="5" t="s">
        <v>183</v>
      </c>
      <c r="AG95" s="5" t="s">
        <v>196</v>
      </c>
      <c r="AH95" s="5" t="s">
        <v>180</v>
      </c>
      <c r="AJ95" s="5" t="s">
        <v>195</v>
      </c>
      <c r="AK95" s="7" t="s">
        <v>180</v>
      </c>
      <c r="AL95" s="7" t="s">
        <v>180</v>
      </c>
      <c r="AM95" t="s">
        <v>193</v>
      </c>
      <c r="AN95" t="s">
        <v>179</v>
      </c>
      <c r="AO95" t="s">
        <v>191</v>
      </c>
      <c r="AP95" t="s">
        <v>181</v>
      </c>
      <c r="AQ95" t="s">
        <v>182</v>
      </c>
    </row>
    <row r="96" spans="1:43" x14ac:dyDescent="0.35">
      <c r="A96" s="2">
        <v>1</v>
      </c>
      <c r="B96" s="15">
        <v>0.42708333333333331</v>
      </c>
      <c r="C96" s="21" t="s">
        <v>130</v>
      </c>
      <c r="AF96" s="5" t="s">
        <v>187</v>
      </c>
      <c r="AG96" s="5" t="s">
        <v>196</v>
      </c>
      <c r="AH96" s="5" t="s">
        <v>189</v>
      </c>
      <c r="AI96" s="5" t="s">
        <v>180</v>
      </c>
      <c r="AJ96" s="5" t="s">
        <v>195</v>
      </c>
      <c r="AK96" s="7" t="s">
        <v>180</v>
      </c>
      <c r="AL96" s="7" t="s">
        <v>180</v>
      </c>
      <c r="AM96" t="s">
        <v>211</v>
      </c>
      <c r="AN96" t="s">
        <v>190</v>
      </c>
      <c r="AO96" t="s">
        <v>212</v>
      </c>
    </row>
    <row r="97" spans="1:43" x14ac:dyDescent="0.35">
      <c r="A97" s="2">
        <v>1</v>
      </c>
      <c r="B97" s="15">
        <v>0.41736111111111113</v>
      </c>
      <c r="C97" s="21" t="s">
        <v>130</v>
      </c>
      <c r="AK97" s="7"/>
      <c r="AL97" s="7"/>
      <c r="AM97" t="s">
        <v>217</v>
      </c>
      <c r="AN97" t="s">
        <v>190</v>
      </c>
      <c r="AO97" t="s">
        <v>216</v>
      </c>
    </row>
    <row r="98" spans="1:43" x14ac:dyDescent="0.35">
      <c r="A98" s="2">
        <v>1</v>
      </c>
      <c r="B98" s="15">
        <v>0.3576388888888889</v>
      </c>
      <c r="C98" s="21" t="s">
        <v>152</v>
      </c>
      <c r="AF98" s="5" t="s">
        <v>187</v>
      </c>
      <c r="AG98" s="5" t="s">
        <v>185</v>
      </c>
      <c r="AH98" s="5" t="s">
        <v>180</v>
      </c>
      <c r="AI98" s="5" t="s">
        <v>138</v>
      </c>
      <c r="AJ98" s="5" t="s">
        <v>175</v>
      </c>
      <c r="AK98" s="7" t="s">
        <v>180</v>
      </c>
      <c r="AL98" s="7" t="s">
        <v>180</v>
      </c>
    </row>
    <row r="99" spans="1:43" x14ac:dyDescent="0.35">
      <c r="A99" s="2">
        <v>1</v>
      </c>
      <c r="B99" s="15">
        <v>0.32291666666666669</v>
      </c>
      <c r="C99" s="21" t="s">
        <v>174</v>
      </c>
      <c r="AF99" s="5" t="s">
        <v>187</v>
      </c>
      <c r="AG99" s="5" t="s">
        <v>205</v>
      </c>
      <c r="AH99" s="5" t="s">
        <v>180</v>
      </c>
      <c r="AI99" s="5" t="s">
        <v>180</v>
      </c>
      <c r="AJ99" s="5" t="s">
        <v>195</v>
      </c>
      <c r="AK99" s="7" t="s">
        <v>180</v>
      </c>
      <c r="AL99" s="7" t="s">
        <v>180</v>
      </c>
    </row>
    <row r="100" spans="1:43" x14ac:dyDescent="0.35">
      <c r="A100" s="2">
        <v>1</v>
      </c>
      <c r="B100" s="15">
        <v>0.30416666666666664</v>
      </c>
      <c r="C100" s="21" t="s">
        <v>152</v>
      </c>
      <c r="AF100" s="5" t="s">
        <v>187</v>
      </c>
      <c r="AG100" s="5" t="s">
        <v>192</v>
      </c>
      <c r="AH100" s="5" t="s">
        <v>180</v>
      </c>
      <c r="AI100" s="5" t="s">
        <v>138</v>
      </c>
      <c r="AJ100" s="5" t="s">
        <v>195</v>
      </c>
      <c r="AK100" s="7" t="s">
        <v>180</v>
      </c>
      <c r="AL100" s="7" t="s">
        <v>133</v>
      </c>
    </row>
    <row r="101" spans="1:43" x14ac:dyDescent="0.35">
      <c r="A101" s="2">
        <v>1</v>
      </c>
      <c r="B101" s="15">
        <v>0.27777777777777779</v>
      </c>
      <c r="C101" s="21" t="s">
        <v>152</v>
      </c>
      <c r="AF101" s="5" t="s">
        <v>187</v>
      </c>
      <c r="AG101" s="5" t="s">
        <v>211</v>
      </c>
      <c r="AH101" s="5" t="s">
        <v>186</v>
      </c>
      <c r="AI101" s="5" t="s">
        <v>138</v>
      </c>
      <c r="AJ101" s="5" t="s">
        <v>195</v>
      </c>
      <c r="AK101" s="7" t="s">
        <v>180</v>
      </c>
      <c r="AL101" s="7" t="s">
        <v>180</v>
      </c>
    </row>
    <row r="102" spans="1:43" x14ac:dyDescent="0.35">
      <c r="A102" s="2">
        <v>1</v>
      </c>
      <c r="B102" s="15">
        <v>0.26041666666666669</v>
      </c>
      <c r="C102" s="21" t="s">
        <v>152</v>
      </c>
      <c r="AF102" s="5" t="s">
        <v>223</v>
      </c>
      <c r="AG102" s="5" t="s">
        <v>213</v>
      </c>
      <c r="AH102" s="5" t="s">
        <v>185</v>
      </c>
      <c r="AJ102" s="5" t="s">
        <v>175</v>
      </c>
      <c r="AK102" s="7" t="s">
        <v>180</v>
      </c>
      <c r="AL102" s="7" t="s">
        <v>180</v>
      </c>
    </row>
    <row r="103" spans="1:43" x14ac:dyDescent="0.35">
      <c r="A103" s="2">
        <v>1</v>
      </c>
      <c r="B103" s="15">
        <v>0.21458333333333332</v>
      </c>
      <c r="C103" s="21" t="s">
        <v>152</v>
      </c>
      <c r="AF103" s="5" t="s">
        <v>187</v>
      </c>
      <c r="AG103" s="5" t="s">
        <v>185</v>
      </c>
      <c r="AH103" s="5" t="s">
        <v>180</v>
      </c>
      <c r="AI103" s="5" t="s">
        <v>138</v>
      </c>
      <c r="AJ103" s="5" t="s">
        <v>175</v>
      </c>
      <c r="AK103" s="7" t="s">
        <v>180</v>
      </c>
      <c r="AL103" s="7" t="s">
        <v>180</v>
      </c>
    </row>
    <row r="104" spans="1:43" x14ac:dyDescent="0.35">
      <c r="A104" s="2">
        <v>1</v>
      </c>
      <c r="B104" s="15">
        <v>0.18541666666666667</v>
      </c>
      <c r="C104" s="21" t="s">
        <v>152</v>
      </c>
      <c r="AF104" s="5" t="s">
        <v>187</v>
      </c>
      <c r="AG104" s="5" t="s">
        <v>196</v>
      </c>
      <c r="AH104" s="5" t="s">
        <v>180</v>
      </c>
      <c r="AI104" s="5" t="s">
        <v>138</v>
      </c>
      <c r="AJ104" s="5" t="s">
        <v>195</v>
      </c>
      <c r="AK104" s="7" t="s">
        <v>180</v>
      </c>
      <c r="AL104" s="7" t="s">
        <v>138</v>
      </c>
    </row>
    <row r="105" spans="1:43" x14ac:dyDescent="0.35">
      <c r="A105" s="2">
        <v>1</v>
      </c>
      <c r="B105" s="15">
        <v>0.17222222222222222</v>
      </c>
      <c r="C105" s="21" t="s">
        <v>130</v>
      </c>
      <c r="AF105" s="5" t="s">
        <v>183</v>
      </c>
      <c r="AG105" s="5" t="s">
        <v>209</v>
      </c>
      <c r="AH105" s="5" t="s">
        <v>180</v>
      </c>
      <c r="AJ105" s="5" t="s">
        <v>195</v>
      </c>
      <c r="AK105" s="7" t="s">
        <v>180</v>
      </c>
      <c r="AL105" s="7" t="s">
        <v>180</v>
      </c>
      <c r="AM105" t="s">
        <v>189</v>
      </c>
      <c r="AN105" t="s">
        <v>190</v>
      </c>
      <c r="AO105" t="s">
        <v>216</v>
      </c>
    </row>
    <row r="106" spans="1:43" x14ac:dyDescent="0.35">
      <c r="A106" s="2">
        <v>1</v>
      </c>
      <c r="B106" s="15">
        <v>0.16041666666666668</v>
      </c>
      <c r="C106" s="21" t="s">
        <v>130</v>
      </c>
      <c r="AK106" s="7"/>
      <c r="AL106" s="7"/>
      <c r="AM106" t="s">
        <v>219</v>
      </c>
      <c r="AN106" t="s">
        <v>179</v>
      </c>
      <c r="AO106" t="s">
        <v>206</v>
      </c>
      <c r="AP106" t="s">
        <v>219</v>
      </c>
      <c r="AQ106" t="s">
        <v>190</v>
      </c>
    </row>
    <row r="107" spans="1:43" x14ac:dyDescent="0.35">
      <c r="A107" s="2">
        <v>1</v>
      </c>
      <c r="B107" s="15">
        <v>0.13541666666666666</v>
      </c>
      <c r="C107" s="21" t="s">
        <v>130</v>
      </c>
      <c r="AF107" s="5" t="s">
        <v>187</v>
      </c>
      <c r="AG107" s="5" t="s">
        <v>210</v>
      </c>
      <c r="AH107" s="5" t="s">
        <v>224</v>
      </c>
      <c r="AI107" s="5" t="s">
        <v>180</v>
      </c>
      <c r="AJ107" s="5" t="s">
        <v>187</v>
      </c>
      <c r="AK107" s="7" t="s">
        <v>180</v>
      </c>
      <c r="AL107" s="7" t="s">
        <v>180</v>
      </c>
      <c r="AM107" t="s">
        <v>215</v>
      </c>
      <c r="AN107" t="s">
        <v>197</v>
      </c>
    </row>
    <row r="108" spans="1:43" x14ac:dyDescent="0.35">
      <c r="A108" s="2">
        <v>1</v>
      </c>
      <c r="B108" s="15">
        <v>0.12777777777777777</v>
      </c>
      <c r="C108" s="21" t="s">
        <v>130</v>
      </c>
      <c r="AF108" s="5" t="s">
        <v>183</v>
      </c>
      <c r="AG108" s="5" t="s">
        <v>207</v>
      </c>
      <c r="AH108" s="5" t="s">
        <v>220</v>
      </c>
      <c r="AJ108" s="5" t="s">
        <v>175</v>
      </c>
      <c r="AK108" s="7" t="s">
        <v>180</v>
      </c>
      <c r="AL108" s="7" t="s">
        <v>180</v>
      </c>
      <c r="AM108" t="s">
        <v>204</v>
      </c>
      <c r="AN108" t="s">
        <v>179</v>
      </c>
      <c r="AO108" t="s">
        <v>180</v>
      </c>
      <c r="AP108" t="s">
        <v>196</v>
      </c>
      <c r="AQ108" t="s">
        <v>197</v>
      </c>
    </row>
    <row r="109" spans="1:43" x14ac:dyDescent="0.35">
      <c r="A109" s="2">
        <v>1</v>
      </c>
      <c r="B109" s="15">
        <v>0.11874999999999999</v>
      </c>
      <c r="C109" s="21" t="s">
        <v>130</v>
      </c>
      <c r="AF109" s="5" t="s">
        <v>187</v>
      </c>
      <c r="AG109" s="5" t="s">
        <v>218</v>
      </c>
      <c r="AH109" s="5" t="s">
        <v>224</v>
      </c>
      <c r="AI109" s="5" t="s">
        <v>180</v>
      </c>
      <c r="AJ109" s="5" t="s">
        <v>195</v>
      </c>
      <c r="AK109" s="7" t="s">
        <v>180</v>
      </c>
      <c r="AL109" s="7" t="s">
        <v>180</v>
      </c>
      <c r="AM109" t="s">
        <v>217</v>
      </c>
      <c r="AN109" t="s">
        <v>182</v>
      </c>
      <c r="AO109" t="s">
        <v>204</v>
      </c>
    </row>
    <row r="110" spans="1:43" x14ac:dyDescent="0.35">
      <c r="A110" s="2">
        <v>1</v>
      </c>
      <c r="B110" s="15">
        <v>0.10416666666666667</v>
      </c>
      <c r="C110" s="21" t="s">
        <v>130</v>
      </c>
      <c r="AF110" s="5" t="s">
        <v>183</v>
      </c>
      <c r="AG110" s="5" t="s">
        <v>196</v>
      </c>
      <c r="AH110" s="5" t="s">
        <v>180</v>
      </c>
      <c r="AJ110" s="5" t="s">
        <v>195</v>
      </c>
      <c r="AK110" s="7" t="s">
        <v>180</v>
      </c>
      <c r="AL110" s="7" t="s">
        <v>180</v>
      </c>
      <c r="AM110" t="s">
        <v>198</v>
      </c>
      <c r="AN110" t="s">
        <v>197</v>
      </c>
    </row>
    <row r="111" spans="1:43" x14ac:dyDescent="0.35">
      <c r="A111" s="2">
        <v>1</v>
      </c>
      <c r="B111" s="15">
        <v>9.2361111111111116E-2</v>
      </c>
      <c r="C111" s="21" t="s">
        <v>130</v>
      </c>
      <c r="AF111" s="5" t="s">
        <v>187</v>
      </c>
      <c r="AG111" s="5" t="s">
        <v>225</v>
      </c>
      <c r="AH111" s="5" t="s">
        <v>194</v>
      </c>
      <c r="AI111" s="5" t="s">
        <v>180</v>
      </c>
      <c r="AJ111" s="5" t="s">
        <v>175</v>
      </c>
      <c r="AK111" s="7" t="s">
        <v>180</v>
      </c>
      <c r="AL111" s="7" t="s">
        <v>180</v>
      </c>
      <c r="AM111" t="s">
        <v>202</v>
      </c>
      <c r="AN111" t="s">
        <v>197</v>
      </c>
    </row>
    <row r="112" spans="1:43" x14ac:dyDescent="0.35">
      <c r="A112" s="2">
        <v>1</v>
      </c>
      <c r="B112" s="15">
        <v>8.1944444444444445E-2</v>
      </c>
      <c r="C112" s="21" t="s">
        <v>130</v>
      </c>
      <c r="AF112" s="5" t="s">
        <v>187</v>
      </c>
      <c r="AG112" s="5" t="s">
        <v>194</v>
      </c>
      <c r="AH112" s="5" t="s">
        <v>178</v>
      </c>
      <c r="AI112" s="5" t="s">
        <v>180</v>
      </c>
      <c r="AJ112" s="5" t="s">
        <v>187</v>
      </c>
      <c r="AK112" s="7" t="s">
        <v>180</v>
      </c>
      <c r="AL112" s="7" t="s">
        <v>180</v>
      </c>
    </row>
    <row r="113" spans="1:43" x14ac:dyDescent="0.35">
      <c r="A113" s="2">
        <v>1</v>
      </c>
      <c r="B113" s="15">
        <v>7.2222222222222215E-2</v>
      </c>
      <c r="C113" s="21" t="s">
        <v>130</v>
      </c>
      <c r="AF113" s="5" t="s">
        <v>187</v>
      </c>
      <c r="AG113" s="5" t="s">
        <v>226</v>
      </c>
      <c r="AH113" s="5" t="s">
        <v>193</v>
      </c>
      <c r="AI113" s="5" t="s">
        <v>180</v>
      </c>
      <c r="AJ113" s="5" t="s">
        <v>195</v>
      </c>
      <c r="AK113" s="7" t="s">
        <v>180</v>
      </c>
      <c r="AL113" s="7" t="s">
        <v>180</v>
      </c>
      <c r="AM113" t="s">
        <v>181</v>
      </c>
      <c r="AN113" t="s">
        <v>179</v>
      </c>
      <c r="AO113" t="s">
        <v>226</v>
      </c>
      <c r="AP113" t="s">
        <v>213</v>
      </c>
      <c r="AQ113" t="s">
        <v>208</v>
      </c>
    </row>
    <row r="114" spans="1:43" x14ac:dyDescent="0.35">
      <c r="A114" s="2">
        <v>1</v>
      </c>
      <c r="B114" s="15">
        <v>6.1111111111111109E-2</v>
      </c>
      <c r="C114" s="21" t="s">
        <v>130</v>
      </c>
      <c r="AF114" s="5" t="s">
        <v>183</v>
      </c>
      <c r="AG114" s="5" t="s">
        <v>213</v>
      </c>
      <c r="AH114" s="5" t="s">
        <v>203</v>
      </c>
      <c r="AJ114" s="5" t="s">
        <v>175</v>
      </c>
      <c r="AK114" s="7" t="s">
        <v>214</v>
      </c>
      <c r="AL114" s="7" t="s">
        <v>180</v>
      </c>
      <c r="AM114" t="s">
        <v>220</v>
      </c>
      <c r="AN114" t="s">
        <v>227</v>
      </c>
      <c r="AO114" t="s">
        <v>213</v>
      </c>
    </row>
    <row r="115" spans="1:43" x14ac:dyDescent="0.35">
      <c r="A115" s="2">
        <v>1</v>
      </c>
      <c r="B115" s="15">
        <v>4.8611111111111112E-2</v>
      </c>
      <c r="C115" s="21" t="s">
        <v>130</v>
      </c>
      <c r="AK115" s="7"/>
      <c r="AL115" s="7"/>
      <c r="AM115" t="s">
        <v>226</v>
      </c>
      <c r="AN115" t="s">
        <v>182</v>
      </c>
    </row>
    <row r="116" spans="1:43" x14ac:dyDescent="0.35">
      <c r="A116" s="2">
        <v>1</v>
      </c>
      <c r="B116" s="15">
        <v>4.4444444444444446E-2</v>
      </c>
      <c r="C116" s="21" t="s">
        <v>130</v>
      </c>
      <c r="AF116" s="5" t="s">
        <v>223</v>
      </c>
      <c r="AG116" s="5" t="s">
        <v>185</v>
      </c>
      <c r="AH116" s="5" t="s">
        <v>219</v>
      </c>
      <c r="AJ116" s="5" t="s">
        <v>187</v>
      </c>
      <c r="AK116" s="7" t="s">
        <v>180</v>
      </c>
      <c r="AL116" s="7" t="s">
        <v>180</v>
      </c>
      <c r="AM116" t="s">
        <v>209</v>
      </c>
      <c r="AN116" t="s">
        <v>179</v>
      </c>
      <c r="AO116" t="s">
        <v>180</v>
      </c>
      <c r="AP116" t="s">
        <v>185</v>
      </c>
      <c r="AQ116" t="s">
        <v>208</v>
      </c>
    </row>
    <row r="117" spans="1:43" x14ac:dyDescent="0.35">
      <c r="A117" s="2">
        <v>1</v>
      </c>
      <c r="B117" s="15">
        <v>3.5416666666666666E-2</v>
      </c>
      <c r="C117" s="21" t="s">
        <v>130</v>
      </c>
      <c r="AF117" s="5" t="s">
        <v>183</v>
      </c>
      <c r="AG117" s="5" t="s">
        <v>228</v>
      </c>
      <c r="AH117" s="5" t="s">
        <v>180</v>
      </c>
      <c r="AJ117" s="5" t="s">
        <v>195</v>
      </c>
      <c r="AK117" s="7" t="s">
        <v>180</v>
      </c>
      <c r="AL117" s="7" t="s">
        <v>180</v>
      </c>
      <c r="AM117" t="s">
        <v>209</v>
      </c>
      <c r="AN117" t="s">
        <v>179</v>
      </c>
      <c r="AO117" t="s">
        <v>192</v>
      </c>
      <c r="AP117" t="s">
        <v>184</v>
      </c>
      <c r="AQ117" t="s">
        <v>197</v>
      </c>
    </row>
    <row r="118" spans="1:43" x14ac:dyDescent="0.35">
      <c r="A118" s="2">
        <v>1</v>
      </c>
      <c r="B118" s="15">
        <v>1.7361111111111112E-2</v>
      </c>
      <c r="C118" s="21" t="s">
        <v>130</v>
      </c>
      <c r="AF118" s="5" t="s">
        <v>187</v>
      </c>
      <c r="AG118" s="5" t="s">
        <v>207</v>
      </c>
      <c r="AH118" s="5" t="s">
        <v>180</v>
      </c>
      <c r="AI118" s="5" t="s">
        <v>180</v>
      </c>
      <c r="AJ118" s="5" t="s">
        <v>175</v>
      </c>
      <c r="AK118" s="7" t="s">
        <v>180</v>
      </c>
      <c r="AL118" s="7" t="s">
        <v>180</v>
      </c>
      <c r="AM118" t="s">
        <v>211</v>
      </c>
      <c r="AN118" t="s">
        <v>197</v>
      </c>
    </row>
    <row r="119" spans="1:43" x14ac:dyDescent="0.35">
      <c r="A119" s="2">
        <v>2</v>
      </c>
      <c r="B119" s="15">
        <v>0.75694444444444442</v>
      </c>
      <c r="C119" s="21" t="s">
        <v>130</v>
      </c>
      <c r="AF119" s="5" t="s">
        <v>187</v>
      </c>
      <c r="AG119" s="5" t="s">
        <v>226</v>
      </c>
      <c r="AH119" s="5" t="s">
        <v>193</v>
      </c>
      <c r="AI119" s="5" t="s">
        <v>180</v>
      </c>
      <c r="AJ119" s="5" t="s">
        <v>195</v>
      </c>
      <c r="AK119" s="7" t="s">
        <v>180</v>
      </c>
      <c r="AL119" s="7" t="s">
        <v>180</v>
      </c>
      <c r="AM119" t="s">
        <v>193</v>
      </c>
      <c r="AN119" t="s">
        <v>197</v>
      </c>
    </row>
    <row r="120" spans="1:43" x14ac:dyDescent="0.35">
      <c r="A120" s="2">
        <v>2</v>
      </c>
      <c r="B120" s="15">
        <v>0.74375000000000002</v>
      </c>
      <c r="C120" s="21" t="s">
        <v>130</v>
      </c>
      <c r="AF120" s="5" t="s">
        <v>183</v>
      </c>
      <c r="AG120" s="5" t="s">
        <v>225</v>
      </c>
      <c r="AH120" s="5" t="s">
        <v>209</v>
      </c>
      <c r="AJ120" s="5" t="s">
        <v>175</v>
      </c>
      <c r="AK120" s="7" t="s">
        <v>180</v>
      </c>
      <c r="AL120" s="7" t="s">
        <v>180</v>
      </c>
      <c r="AM120" t="s">
        <v>210</v>
      </c>
      <c r="AN120" t="s">
        <v>227</v>
      </c>
      <c r="AO120" t="s">
        <v>207</v>
      </c>
    </row>
    <row r="121" spans="1:43" x14ac:dyDescent="0.35">
      <c r="A121" s="2">
        <v>2</v>
      </c>
      <c r="B121" s="15">
        <v>0.71805555555555556</v>
      </c>
      <c r="C121" s="21" t="s">
        <v>130</v>
      </c>
      <c r="AK121" s="7"/>
      <c r="AL121" s="7"/>
      <c r="AM121" t="s">
        <v>210</v>
      </c>
      <c r="AN121" t="s">
        <v>179</v>
      </c>
      <c r="AO121" t="s">
        <v>180</v>
      </c>
      <c r="AP121" t="s">
        <v>209</v>
      </c>
      <c r="AQ121" t="s">
        <v>182</v>
      </c>
    </row>
    <row r="122" spans="1:43" x14ac:dyDescent="0.35">
      <c r="A122" s="2">
        <v>2</v>
      </c>
      <c r="B122" s="15">
        <v>0.71319444444444446</v>
      </c>
      <c r="C122" s="21" t="s">
        <v>130</v>
      </c>
      <c r="AF122" s="5" t="s">
        <v>187</v>
      </c>
      <c r="AG122" s="5" t="s">
        <v>181</v>
      </c>
      <c r="AH122" s="5" t="s">
        <v>209</v>
      </c>
      <c r="AI122" s="5" t="s">
        <v>180</v>
      </c>
      <c r="AJ122" s="5" t="s">
        <v>175</v>
      </c>
      <c r="AK122" s="7" t="s">
        <v>180</v>
      </c>
      <c r="AL122" s="7" t="s">
        <v>180</v>
      </c>
      <c r="AM122" t="s">
        <v>226</v>
      </c>
      <c r="AN122" t="s">
        <v>190</v>
      </c>
    </row>
    <row r="123" spans="1:43" x14ac:dyDescent="0.35">
      <c r="A123" s="2">
        <v>2</v>
      </c>
      <c r="B123" s="15">
        <v>0.68055555555555558</v>
      </c>
      <c r="C123" s="21" t="s">
        <v>130</v>
      </c>
      <c r="AK123" s="7"/>
      <c r="AL123" s="7"/>
      <c r="AM123" t="s">
        <v>210</v>
      </c>
      <c r="AN123" t="s">
        <v>190</v>
      </c>
      <c r="AO123" t="s">
        <v>192</v>
      </c>
      <c r="AP123" t="s">
        <v>204</v>
      </c>
      <c r="AQ123" t="s">
        <v>190</v>
      </c>
    </row>
    <row r="124" spans="1:43" x14ac:dyDescent="0.35">
      <c r="A124" s="2">
        <v>2</v>
      </c>
      <c r="B124" s="15">
        <v>0.67361111111111116</v>
      </c>
      <c r="C124" s="21" t="s">
        <v>130</v>
      </c>
      <c r="AF124" s="5" t="s">
        <v>183</v>
      </c>
      <c r="AG124" s="5" t="s">
        <v>204</v>
      </c>
      <c r="AH124" s="5" t="s">
        <v>215</v>
      </c>
      <c r="AJ124" s="5" t="s">
        <v>175</v>
      </c>
      <c r="AK124" s="7" t="s">
        <v>180</v>
      </c>
      <c r="AL124" s="7" t="s">
        <v>180</v>
      </c>
      <c r="AM124" t="s">
        <v>193</v>
      </c>
      <c r="AN124" t="s">
        <v>179</v>
      </c>
      <c r="AO124" t="s">
        <v>180</v>
      </c>
      <c r="AP124" t="s">
        <v>189</v>
      </c>
      <c r="AQ124" t="s">
        <v>182</v>
      </c>
    </row>
    <row r="125" spans="1:43" x14ac:dyDescent="0.35">
      <c r="A125" s="2">
        <v>2</v>
      </c>
      <c r="B125" s="15">
        <v>0.63888888888888884</v>
      </c>
      <c r="C125" s="21" t="s">
        <v>130</v>
      </c>
      <c r="AF125" s="5" t="s">
        <v>183</v>
      </c>
      <c r="AG125" s="5" t="s">
        <v>214</v>
      </c>
      <c r="AH125" s="5" t="s">
        <v>180</v>
      </c>
      <c r="AJ125" s="5" t="s">
        <v>195</v>
      </c>
      <c r="AK125" s="7" t="s">
        <v>180</v>
      </c>
      <c r="AL125" s="7" t="s">
        <v>180</v>
      </c>
      <c r="AM125" t="s">
        <v>199</v>
      </c>
      <c r="AN125" t="s">
        <v>179</v>
      </c>
      <c r="AO125" t="s">
        <v>180</v>
      </c>
      <c r="AP125" t="s">
        <v>202</v>
      </c>
      <c r="AQ125" t="s">
        <v>200</v>
      </c>
    </row>
    <row r="126" spans="1:43" x14ac:dyDescent="0.35">
      <c r="A126" s="2">
        <v>2</v>
      </c>
      <c r="B126" s="15">
        <v>0.62569444444444444</v>
      </c>
      <c r="C126" s="21" t="s">
        <v>130</v>
      </c>
      <c r="AF126" s="5" t="s">
        <v>183</v>
      </c>
      <c r="AG126" s="5" t="s">
        <v>218</v>
      </c>
      <c r="AH126" s="5" t="s">
        <v>224</v>
      </c>
      <c r="AJ126" s="5" t="s">
        <v>175</v>
      </c>
      <c r="AK126" s="7" t="s">
        <v>180</v>
      </c>
      <c r="AL126" s="7" t="s">
        <v>180</v>
      </c>
      <c r="AM126" t="s">
        <v>217</v>
      </c>
      <c r="AN126" t="s">
        <v>179</v>
      </c>
      <c r="AO126" t="s">
        <v>216</v>
      </c>
      <c r="AP126" t="s">
        <v>224</v>
      </c>
      <c r="AQ126" t="s">
        <v>190</v>
      </c>
    </row>
    <row r="127" spans="1:43" x14ac:dyDescent="0.35">
      <c r="A127" s="2">
        <v>2</v>
      </c>
      <c r="B127" s="15">
        <v>0.59305555555555556</v>
      </c>
      <c r="C127" s="21" t="s">
        <v>130</v>
      </c>
      <c r="AF127" s="5" t="s">
        <v>183</v>
      </c>
      <c r="AG127" s="5" t="s">
        <v>205</v>
      </c>
      <c r="AH127" s="5" t="s">
        <v>180</v>
      </c>
      <c r="AJ127" s="5" t="s">
        <v>195</v>
      </c>
      <c r="AK127" s="7" t="s">
        <v>180</v>
      </c>
      <c r="AL127" s="7" t="s">
        <v>180</v>
      </c>
      <c r="AM127" t="s">
        <v>202</v>
      </c>
      <c r="AN127" t="s">
        <v>182</v>
      </c>
    </row>
    <row r="128" spans="1:43" x14ac:dyDescent="0.35">
      <c r="A128" s="2">
        <v>2</v>
      </c>
      <c r="B128" s="15">
        <v>0.57291666666666663</v>
      </c>
      <c r="C128" s="21" t="s">
        <v>130</v>
      </c>
      <c r="AK128" s="7"/>
      <c r="AL128" s="7"/>
      <c r="AM128" t="s">
        <v>178</v>
      </c>
      <c r="AN128" t="s">
        <v>200</v>
      </c>
    </row>
    <row r="129" spans="1:43" x14ac:dyDescent="0.35">
      <c r="A129" s="2">
        <v>2</v>
      </c>
      <c r="B129" s="15">
        <v>0.56597222222222221</v>
      </c>
      <c r="C129" s="21" t="s">
        <v>130</v>
      </c>
      <c r="AF129" s="5" t="s">
        <v>183</v>
      </c>
      <c r="AG129" s="5" t="s">
        <v>222</v>
      </c>
      <c r="AH129" s="5" t="s">
        <v>209</v>
      </c>
      <c r="AJ129" s="5" t="s">
        <v>175</v>
      </c>
      <c r="AK129" s="7" t="s">
        <v>180</v>
      </c>
      <c r="AL129" s="7" t="s">
        <v>180</v>
      </c>
      <c r="AM129" t="s">
        <v>210</v>
      </c>
      <c r="AN129" t="s">
        <v>190</v>
      </c>
    </row>
    <row r="130" spans="1:43" x14ac:dyDescent="0.35">
      <c r="A130" s="2">
        <v>2</v>
      </c>
      <c r="B130" s="15">
        <v>0.5541666666666667</v>
      </c>
      <c r="C130" s="21" t="s">
        <v>130</v>
      </c>
      <c r="AF130" s="5" t="s">
        <v>187</v>
      </c>
      <c r="AG130" s="5" t="s">
        <v>206</v>
      </c>
      <c r="AH130" s="5" t="s">
        <v>180</v>
      </c>
      <c r="AI130" s="5" t="s">
        <v>138</v>
      </c>
      <c r="AJ130" s="5" t="s">
        <v>195</v>
      </c>
      <c r="AK130" s="7" t="s">
        <v>180</v>
      </c>
      <c r="AL130" s="7" t="s">
        <v>229</v>
      </c>
      <c r="AM130" t="s">
        <v>193</v>
      </c>
      <c r="AN130" t="s">
        <v>208</v>
      </c>
    </row>
    <row r="131" spans="1:43" x14ac:dyDescent="0.35">
      <c r="A131" s="2">
        <v>2</v>
      </c>
      <c r="B131" s="15">
        <v>0.54861111111111116</v>
      </c>
      <c r="C131" s="21" t="s">
        <v>130</v>
      </c>
      <c r="AF131" s="5" t="s">
        <v>187</v>
      </c>
      <c r="AG131" s="5" t="s">
        <v>193</v>
      </c>
      <c r="AH131" s="5" t="s">
        <v>210</v>
      </c>
      <c r="AI131" s="5" t="s">
        <v>180</v>
      </c>
      <c r="AJ131" s="5" t="s">
        <v>195</v>
      </c>
      <c r="AK131" s="7" t="s">
        <v>180</v>
      </c>
      <c r="AL131" s="7" t="s">
        <v>180</v>
      </c>
      <c r="AM131" t="s">
        <v>210</v>
      </c>
      <c r="AN131" t="s">
        <v>179</v>
      </c>
      <c r="AO131" t="s">
        <v>180</v>
      </c>
      <c r="AP131" t="s">
        <v>184</v>
      </c>
      <c r="AQ131" t="s">
        <v>197</v>
      </c>
    </row>
    <row r="132" spans="1:43" x14ac:dyDescent="0.35">
      <c r="A132" s="2">
        <v>2</v>
      </c>
      <c r="B132" s="15">
        <v>0.53541666666666665</v>
      </c>
      <c r="C132" s="21" t="s">
        <v>130</v>
      </c>
      <c r="AF132" s="5" t="s">
        <v>223</v>
      </c>
      <c r="AG132" s="5" t="s">
        <v>206</v>
      </c>
      <c r="AH132" s="5" t="s">
        <v>224</v>
      </c>
      <c r="AJ132" s="5" t="s">
        <v>187</v>
      </c>
      <c r="AK132" s="7" t="s">
        <v>180</v>
      </c>
      <c r="AL132" s="7" t="s">
        <v>180</v>
      </c>
    </row>
    <row r="133" spans="1:43" x14ac:dyDescent="0.35">
      <c r="A133" s="2">
        <v>2</v>
      </c>
      <c r="B133" s="15">
        <v>0.53263888888888888</v>
      </c>
      <c r="C133" s="21" t="s">
        <v>130</v>
      </c>
      <c r="AF133" s="5" t="s">
        <v>187</v>
      </c>
      <c r="AG133" s="5" t="s">
        <v>224</v>
      </c>
      <c r="AH133" s="5" t="s">
        <v>209</v>
      </c>
      <c r="AI133" s="5" t="s">
        <v>138</v>
      </c>
      <c r="AJ133" s="5" t="s">
        <v>175</v>
      </c>
      <c r="AK133" s="7" t="s">
        <v>180</v>
      </c>
      <c r="AL133" s="7" t="s">
        <v>180</v>
      </c>
    </row>
    <row r="134" spans="1:43" x14ac:dyDescent="0.35">
      <c r="A134" s="2">
        <v>2</v>
      </c>
      <c r="B134" s="15">
        <v>0.51249999999999996</v>
      </c>
      <c r="C134" s="21" t="s">
        <v>130</v>
      </c>
      <c r="AF134" s="5" t="s">
        <v>183</v>
      </c>
      <c r="AG134" s="5" t="s">
        <v>209</v>
      </c>
      <c r="AH134" s="5" t="s">
        <v>180</v>
      </c>
      <c r="AJ134" s="5" t="s">
        <v>195</v>
      </c>
      <c r="AK134" s="7" t="s">
        <v>180</v>
      </c>
      <c r="AL134" s="7" t="s">
        <v>180</v>
      </c>
      <c r="AM134" t="s">
        <v>178</v>
      </c>
      <c r="AN134" t="s">
        <v>179</v>
      </c>
      <c r="AO134" t="s">
        <v>210</v>
      </c>
      <c r="AP134" t="s">
        <v>215</v>
      </c>
      <c r="AQ134" t="s">
        <v>190</v>
      </c>
    </row>
    <row r="135" spans="1:43" x14ac:dyDescent="0.35">
      <c r="A135" s="2">
        <v>2</v>
      </c>
      <c r="B135" s="15">
        <v>0.49375000000000002</v>
      </c>
      <c r="C135" s="21" t="s">
        <v>130</v>
      </c>
      <c r="AF135" s="5" t="s">
        <v>187</v>
      </c>
      <c r="AG135" s="5" t="s">
        <v>217</v>
      </c>
      <c r="AH135" s="5" t="s">
        <v>209</v>
      </c>
      <c r="AI135" s="5" t="s">
        <v>180</v>
      </c>
      <c r="AJ135" s="5" t="s">
        <v>175</v>
      </c>
      <c r="AK135" s="7" t="s">
        <v>180</v>
      </c>
      <c r="AL135" s="7" t="s">
        <v>180</v>
      </c>
      <c r="AM135" t="s">
        <v>178</v>
      </c>
      <c r="AN135" t="s">
        <v>197</v>
      </c>
    </row>
    <row r="136" spans="1:43" x14ac:dyDescent="0.35">
      <c r="A136" s="2">
        <v>2</v>
      </c>
      <c r="B136" s="15">
        <v>0.4777777777777778</v>
      </c>
      <c r="C136" s="21" t="s">
        <v>130</v>
      </c>
      <c r="AF136" s="5" t="s">
        <v>187</v>
      </c>
      <c r="AG136" s="5" t="s">
        <v>181</v>
      </c>
      <c r="AH136" s="5" t="s">
        <v>209</v>
      </c>
      <c r="AI136" s="5" t="s">
        <v>180</v>
      </c>
      <c r="AJ136" s="5" t="s">
        <v>195</v>
      </c>
      <c r="AK136" s="7" t="s">
        <v>180</v>
      </c>
      <c r="AL136" s="7" t="s">
        <v>138</v>
      </c>
    </row>
    <row r="137" spans="1:43" x14ac:dyDescent="0.35">
      <c r="A137" s="2">
        <v>2</v>
      </c>
      <c r="B137" s="15">
        <v>0.4513888888888889</v>
      </c>
      <c r="C137" s="21" t="s">
        <v>130</v>
      </c>
      <c r="AF137" s="5" t="s">
        <v>221</v>
      </c>
      <c r="AG137" s="5" t="s">
        <v>145</v>
      </c>
      <c r="AK137" s="7"/>
      <c r="AL137" s="7"/>
      <c r="AM137" t="s">
        <v>191</v>
      </c>
      <c r="AN137" t="s">
        <v>227</v>
      </c>
      <c r="AO137" t="s">
        <v>198</v>
      </c>
    </row>
    <row r="138" spans="1:43" x14ac:dyDescent="0.35">
      <c r="A138" s="2">
        <v>2</v>
      </c>
      <c r="B138" s="15">
        <v>0.44305555555555554</v>
      </c>
      <c r="C138" s="21" t="s">
        <v>130</v>
      </c>
      <c r="AK138" s="7"/>
      <c r="AL138" s="7"/>
      <c r="AM138" t="s">
        <v>184</v>
      </c>
      <c r="AN138" t="s">
        <v>200</v>
      </c>
      <c r="AO138" t="s">
        <v>222</v>
      </c>
    </row>
    <row r="139" spans="1:43" x14ac:dyDescent="0.35">
      <c r="A139" s="2">
        <v>2</v>
      </c>
      <c r="B139" s="15">
        <v>0.42916666666666664</v>
      </c>
      <c r="C139" s="21" t="s">
        <v>130</v>
      </c>
      <c r="AF139" s="5" t="s">
        <v>183</v>
      </c>
      <c r="AG139" s="5" t="s">
        <v>185</v>
      </c>
      <c r="AH139" s="5" t="s">
        <v>224</v>
      </c>
      <c r="AJ139" s="5" t="s">
        <v>175</v>
      </c>
      <c r="AK139" s="7" t="s">
        <v>180</v>
      </c>
      <c r="AL139" s="7" t="s">
        <v>180</v>
      </c>
      <c r="AM139" t="s">
        <v>224</v>
      </c>
      <c r="AN139" t="s">
        <v>197</v>
      </c>
    </row>
    <row r="140" spans="1:43" x14ac:dyDescent="0.35">
      <c r="A140" s="2">
        <v>2</v>
      </c>
      <c r="B140" s="15">
        <v>0.41736111111111113</v>
      </c>
      <c r="C140" s="21" t="s">
        <v>130</v>
      </c>
      <c r="AF140" s="5" t="s">
        <v>183</v>
      </c>
      <c r="AG140" s="5" t="s">
        <v>192</v>
      </c>
      <c r="AH140" s="5" t="s">
        <v>202</v>
      </c>
      <c r="AJ140" s="5" t="s">
        <v>195</v>
      </c>
      <c r="AK140" s="7" t="s">
        <v>180</v>
      </c>
      <c r="AL140" s="7" t="s">
        <v>180</v>
      </c>
      <c r="AM140" t="s">
        <v>220</v>
      </c>
      <c r="AN140" t="s">
        <v>179</v>
      </c>
      <c r="AO140" t="s">
        <v>207</v>
      </c>
      <c r="AP140" t="s">
        <v>201</v>
      </c>
      <c r="AQ140" t="s">
        <v>200</v>
      </c>
    </row>
    <row r="141" spans="1:43" x14ac:dyDescent="0.35">
      <c r="A141" s="2">
        <v>2</v>
      </c>
      <c r="B141" s="15">
        <v>0.40277777777777779</v>
      </c>
      <c r="C141" s="21" t="s">
        <v>130</v>
      </c>
      <c r="AF141" s="5" t="s">
        <v>187</v>
      </c>
      <c r="AG141" s="5" t="s">
        <v>201</v>
      </c>
      <c r="AH141" s="5" t="s">
        <v>211</v>
      </c>
      <c r="AI141" s="5" t="s">
        <v>138</v>
      </c>
      <c r="AJ141" s="5" t="s">
        <v>195</v>
      </c>
      <c r="AK141" s="7" t="s">
        <v>180</v>
      </c>
      <c r="AL141" s="7" t="s">
        <v>180</v>
      </c>
    </row>
    <row r="142" spans="1:43" x14ac:dyDescent="0.35">
      <c r="A142" s="2">
        <v>2</v>
      </c>
      <c r="B142" s="15">
        <v>0.36875000000000002</v>
      </c>
      <c r="C142" s="21" t="s">
        <v>130</v>
      </c>
      <c r="AF142" s="5" t="s">
        <v>223</v>
      </c>
      <c r="AG142" s="5" t="s">
        <v>207</v>
      </c>
      <c r="AH142" s="5" t="s">
        <v>209</v>
      </c>
      <c r="AJ142" s="5" t="s">
        <v>187</v>
      </c>
      <c r="AK142" s="7" t="s">
        <v>180</v>
      </c>
      <c r="AL142" s="7" t="s">
        <v>180</v>
      </c>
    </row>
    <row r="143" spans="1:43" x14ac:dyDescent="0.35">
      <c r="A143" s="2">
        <v>2</v>
      </c>
      <c r="B143" s="15">
        <v>0.36666666666666664</v>
      </c>
      <c r="C143" s="21" t="s">
        <v>130</v>
      </c>
      <c r="AF143" s="5" t="s">
        <v>187</v>
      </c>
      <c r="AG143" s="5" t="s">
        <v>209</v>
      </c>
      <c r="AH143" s="5" t="s">
        <v>180</v>
      </c>
      <c r="AI143" s="5" t="s">
        <v>138</v>
      </c>
      <c r="AJ143" s="5" t="s">
        <v>175</v>
      </c>
      <c r="AK143" s="7" t="s">
        <v>180</v>
      </c>
      <c r="AL143" s="7" t="s">
        <v>138</v>
      </c>
    </row>
    <row r="144" spans="1:43" x14ac:dyDescent="0.35">
      <c r="A144" s="2">
        <v>2</v>
      </c>
      <c r="B144" s="15">
        <v>3.6909722222222223</v>
      </c>
      <c r="C144" s="21" t="s">
        <v>130</v>
      </c>
      <c r="AF144" s="5" t="s">
        <v>223</v>
      </c>
      <c r="AG144" s="5" t="s">
        <v>212</v>
      </c>
      <c r="AH144" s="5" t="s">
        <v>217</v>
      </c>
      <c r="AJ144" s="5" t="s">
        <v>175</v>
      </c>
      <c r="AK144" s="7" t="s">
        <v>180</v>
      </c>
      <c r="AL144" s="7" t="s">
        <v>180</v>
      </c>
    </row>
    <row r="145" spans="1:43" x14ac:dyDescent="0.35">
      <c r="A145" s="2">
        <v>2</v>
      </c>
      <c r="B145" s="15">
        <v>0.35416666666666669</v>
      </c>
      <c r="C145" s="21" t="s">
        <v>130</v>
      </c>
      <c r="AF145" s="5" t="s">
        <v>187</v>
      </c>
      <c r="AG145" s="5" t="s">
        <v>205</v>
      </c>
      <c r="AH145" s="5" t="s">
        <v>180</v>
      </c>
      <c r="AI145" s="5" t="s">
        <v>180</v>
      </c>
      <c r="AJ145" s="5" t="s">
        <v>195</v>
      </c>
      <c r="AK145" s="7" t="s">
        <v>180</v>
      </c>
      <c r="AL145" s="7" t="s">
        <v>180</v>
      </c>
      <c r="AM145" t="s">
        <v>191</v>
      </c>
      <c r="AN145" t="s">
        <v>179</v>
      </c>
      <c r="AO145" t="s">
        <v>217</v>
      </c>
      <c r="AP145" t="s">
        <v>191</v>
      </c>
      <c r="AQ145" t="s">
        <v>197</v>
      </c>
    </row>
    <row r="146" spans="1:43" x14ac:dyDescent="0.35">
      <c r="A146" s="2">
        <v>2</v>
      </c>
      <c r="B146" s="15">
        <v>0.34583333333333333</v>
      </c>
      <c r="C146" s="21" t="s">
        <v>130</v>
      </c>
      <c r="AF146" s="5" t="s">
        <v>187</v>
      </c>
      <c r="AG146" s="5" t="s">
        <v>196</v>
      </c>
      <c r="AH146" s="5" t="s">
        <v>178</v>
      </c>
      <c r="AI146" s="5" t="s">
        <v>138</v>
      </c>
      <c r="AJ146" s="5" t="s">
        <v>195</v>
      </c>
      <c r="AK146" s="7" t="s">
        <v>180</v>
      </c>
      <c r="AL146" s="7" t="s">
        <v>138</v>
      </c>
      <c r="AM146" t="s">
        <v>217</v>
      </c>
      <c r="AN146" t="s">
        <v>197</v>
      </c>
    </row>
    <row r="147" spans="1:43" x14ac:dyDescent="0.35">
      <c r="A147" s="2">
        <v>2</v>
      </c>
      <c r="B147" s="15">
        <v>0.33402777777777776</v>
      </c>
      <c r="C147" s="21" t="s">
        <v>130</v>
      </c>
      <c r="AF147" s="5" t="s">
        <v>187</v>
      </c>
      <c r="AG147" s="5" t="s">
        <v>205</v>
      </c>
      <c r="AH147" s="5" t="s">
        <v>194</v>
      </c>
      <c r="AI147" s="5" t="s">
        <v>138</v>
      </c>
      <c r="AJ147" s="5" t="s">
        <v>187</v>
      </c>
      <c r="AK147" s="7" t="s">
        <v>180</v>
      </c>
      <c r="AL147" s="7" t="s">
        <v>138</v>
      </c>
    </row>
    <row r="148" spans="1:43" x14ac:dyDescent="0.35">
      <c r="A148" s="2">
        <v>2</v>
      </c>
      <c r="B148" s="15">
        <v>0.32569444444444445</v>
      </c>
      <c r="C148" s="21" t="s">
        <v>130</v>
      </c>
      <c r="AF148" s="5" t="s">
        <v>223</v>
      </c>
      <c r="AG148" s="5" t="s">
        <v>186</v>
      </c>
      <c r="AH148" s="5" t="s">
        <v>189</v>
      </c>
      <c r="AJ148" s="5" t="s">
        <v>195</v>
      </c>
      <c r="AK148" s="7" t="s">
        <v>180</v>
      </c>
      <c r="AL148" s="7" t="s">
        <v>180</v>
      </c>
    </row>
    <row r="149" spans="1:43" x14ac:dyDescent="0.35">
      <c r="A149" s="2">
        <v>2</v>
      </c>
      <c r="B149" s="15">
        <v>0.28819444444444442</v>
      </c>
      <c r="C149" s="21" t="s">
        <v>130</v>
      </c>
      <c r="AF149" s="5" t="s">
        <v>187</v>
      </c>
      <c r="AG149" s="5" t="s">
        <v>211</v>
      </c>
      <c r="AH149" s="5" t="s">
        <v>220</v>
      </c>
      <c r="AI149" s="5" t="s">
        <v>180</v>
      </c>
      <c r="AJ149" s="5" t="s">
        <v>175</v>
      </c>
      <c r="AK149" s="7" t="s">
        <v>180</v>
      </c>
      <c r="AL149" s="7" t="s">
        <v>180</v>
      </c>
    </row>
    <row r="150" spans="1:43" x14ac:dyDescent="0.35">
      <c r="A150" s="2">
        <v>2</v>
      </c>
      <c r="B150" s="15">
        <v>0.24374999999999999</v>
      </c>
      <c r="C150" s="21" t="s">
        <v>130</v>
      </c>
      <c r="AF150" s="5" t="s">
        <v>187</v>
      </c>
      <c r="AG150" s="5" t="s">
        <v>178</v>
      </c>
      <c r="AH150" s="5" t="s">
        <v>210</v>
      </c>
      <c r="AI150" s="5" t="s">
        <v>138</v>
      </c>
      <c r="AJ150" s="5" t="s">
        <v>195</v>
      </c>
      <c r="AK150" s="7" t="s">
        <v>180</v>
      </c>
      <c r="AL150" s="7" t="s">
        <v>180</v>
      </c>
      <c r="AM150" t="s">
        <v>178</v>
      </c>
      <c r="AN150" t="s">
        <v>208</v>
      </c>
    </row>
    <row r="151" spans="1:43" x14ac:dyDescent="0.35">
      <c r="A151" s="2">
        <v>2</v>
      </c>
      <c r="B151" s="15">
        <v>0.2361111111111111</v>
      </c>
      <c r="C151" s="21" t="s">
        <v>130</v>
      </c>
      <c r="AF151" s="5" t="s">
        <v>183</v>
      </c>
      <c r="AG151" s="5" t="s">
        <v>218</v>
      </c>
      <c r="AH151" s="5" t="s">
        <v>193</v>
      </c>
      <c r="AJ151" s="5" t="s">
        <v>195</v>
      </c>
      <c r="AK151" s="7" t="s">
        <v>180</v>
      </c>
      <c r="AL151" s="7" t="s">
        <v>180</v>
      </c>
      <c r="AM151" t="s">
        <v>210</v>
      </c>
      <c r="AN151" t="s">
        <v>197</v>
      </c>
    </row>
    <row r="152" spans="1:43" x14ac:dyDescent="0.35">
      <c r="A152" s="2">
        <v>2</v>
      </c>
      <c r="B152" s="15">
        <v>0.22708333333333333</v>
      </c>
      <c r="C152" s="21" t="s">
        <v>130</v>
      </c>
      <c r="AF152" s="5" t="s">
        <v>183</v>
      </c>
      <c r="AG152" s="5" t="s">
        <v>217</v>
      </c>
      <c r="AH152" s="5" t="s">
        <v>180</v>
      </c>
      <c r="AJ152" s="5" t="s">
        <v>175</v>
      </c>
      <c r="AK152" s="7" t="s">
        <v>180</v>
      </c>
      <c r="AL152" s="7" t="s">
        <v>180</v>
      </c>
      <c r="AM152" t="s">
        <v>185</v>
      </c>
      <c r="AN152" t="s">
        <v>197</v>
      </c>
    </row>
    <row r="153" spans="1:43" x14ac:dyDescent="0.35">
      <c r="A153" s="2">
        <v>2</v>
      </c>
      <c r="B153" s="15">
        <v>0.21458333333333332</v>
      </c>
      <c r="C153" s="21" t="s">
        <v>130</v>
      </c>
      <c r="AF153" s="5" t="s">
        <v>183</v>
      </c>
      <c r="AG153" s="5" t="s">
        <v>184</v>
      </c>
      <c r="AH153" s="5" t="s">
        <v>180</v>
      </c>
      <c r="AJ153" s="5" t="s">
        <v>175</v>
      </c>
      <c r="AK153" s="7" t="s">
        <v>180</v>
      </c>
      <c r="AL153" s="7" t="s">
        <v>180</v>
      </c>
      <c r="AM153" t="s">
        <v>211</v>
      </c>
      <c r="AN153" t="s">
        <v>179</v>
      </c>
      <c r="AO153" t="s">
        <v>185</v>
      </c>
      <c r="AP153" t="s">
        <v>192</v>
      </c>
      <c r="AQ153" t="s">
        <v>197</v>
      </c>
    </row>
    <row r="154" spans="1:43" x14ac:dyDescent="0.35">
      <c r="A154" s="2">
        <v>2</v>
      </c>
      <c r="B154" s="15">
        <v>0.20902777777777778</v>
      </c>
      <c r="C154" s="21" t="s">
        <v>130</v>
      </c>
      <c r="AF154" s="5" t="s">
        <v>223</v>
      </c>
      <c r="AG154" s="5" t="s">
        <v>198</v>
      </c>
      <c r="AH154" s="5" t="s">
        <v>184</v>
      </c>
      <c r="AJ154" s="5" t="s">
        <v>187</v>
      </c>
      <c r="AK154" s="7" t="s">
        <v>180</v>
      </c>
      <c r="AL154" s="7" t="s">
        <v>180</v>
      </c>
    </row>
    <row r="155" spans="1:43" x14ac:dyDescent="0.35">
      <c r="A155" s="2">
        <v>2</v>
      </c>
      <c r="B155" s="15">
        <v>0.20208333333333334</v>
      </c>
      <c r="C155" s="21" t="s">
        <v>130</v>
      </c>
      <c r="AF155" s="5" t="s">
        <v>221</v>
      </c>
      <c r="AG155" s="5" t="s">
        <v>136</v>
      </c>
      <c r="AK155" s="7" t="s">
        <v>185</v>
      </c>
      <c r="AL155" s="7" t="s">
        <v>133</v>
      </c>
      <c r="AM155" t="s">
        <v>224</v>
      </c>
      <c r="AN155" t="s">
        <v>197</v>
      </c>
    </row>
    <row r="156" spans="1:43" x14ac:dyDescent="0.35">
      <c r="A156" s="2">
        <v>2</v>
      </c>
      <c r="B156" s="15">
        <v>0.19305555555555556</v>
      </c>
      <c r="C156" s="21" t="s">
        <v>130</v>
      </c>
      <c r="AF156" s="5" t="s">
        <v>187</v>
      </c>
      <c r="AG156" s="5" t="s">
        <v>192</v>
      </c>
      <c r="AH156" s="5" t="s">
        <v>202</v>
      </c>
      <c r="AI156" s="5" t="s">
        <v>180</v>
      </c>
      <c r="AJ156" s="5" t="s">
        <v>175</v>
      </c>
      <c r="AK156" s="7" t="s">
        <v>180</v>
      </c>
      <c r="AL156" s="7" t="s">
        <v>138</v>
      </c>
    </row>
    <row r="157" spans="1:43" x14ac:dyDescent="0.35">
      <c r="A157" s="2">
        <v>2</v>
      </c>
      <c r="B157" s="15">
        <v>0.13958333333333334</v>
      </c>
      <c r="C157" s="21" t="s">
        <v>130</v>
      </c>
      <c r="AF157" s="5" t="s">
        <v>223</v>
      </c>
      <c r="AG157" s="5" t="s">
        <v>215</v>
      </c>
      <c r="AH157" s="5" t="s">
        <v>180</v>
      </c>
      <c r="AJ157" s="5" t="s">
        <v>187</v>
      </c>
      <c r="AK157" s="7" t="s">
        <v>180</v>
      </c>
      <c r="AL157" s="7" t="s">
        <v>180</v>
      </c>
    </row>
    <row r="158" spans="1:43" x14ac:dyDescent="0.35">
      <c r="A158" s="2">
        <v>2</v>
      </c>
      <c r="B158" s="15">
        <v>0.13402777777777777</v>
      </c>
      <c r="C158" s="21" t="s">
        <v>130</v>
      </c>
      <c r="AF158" s="5" t="s">
        <v>183</v>
      </c>
      <c r="AG158" s="5" t="s">
        <v>217</v>
      </c>
      <c r="AH158" s="5" t="s">
        <v>220</v>
      </c>
      <c r="AJ158" s="5" t="s">
        <v>175</v>
      </c>
      <c r="AK158" s="7" t="s">
        <v>180</v>
      </c>
      <c r="AL158" s="7" t="s">
        <v>180</v>
      </c>
      <c r="AM158" t="s">
        <v>204</v>
      </c>
      <c r="AN158" t="s">
        <v>179</v>
      </c>
      <c r="AO158" t="s">
        <v>215</v>
      </c>
      <c r="AP158" t="s">
        <v>220</v>
      </c>
      <c r="AQ158" t="s">
        <v>200</v>
      </c>
    </row>
    <row r="159" spans="1:43" x14ac:dyDescent="0.35">
      <c r="A159" s="2">
        <v>2</v>
      </c>
      <c r="B159" s="15">
        <v>0.12083333333333333</v>
      </c>
      <c r="C159" s="21" t="s">
        <v>130</v>
      </c>
      <c r="AF159" s="5" t="s">
        <v>223</v>
      </c>
      <c r="AG159" s="5" t="s">
        <v>226</v>
      </c>
      <c r="AH159" s="5" t="s">
        <v>224</v>
      </c>
      <c r="AJ159" s="5" t="s">
        <v>195</v>
      </c>
      <c r="AK159" s="7" t="s">
        <v>180</v>
      </c>
      <c r="AL159" s="7" t="s">
        <v>180</v>
      </c>
    </row>
    <row r="160" spans="1:43" x14ac:dyDescent="0.35">
      <c r="A160" s="2">
        <v>2</v>
      </c>
      <c r="B160" s="15">
        <v>0.11874999999999999</v>
      </c>
      <c r="C160" s="21" t="s">
        <v>130</v>
      </c>
      <c r="AK160" s="7"/>
      <c r="AL160" s="7"/>
      <c r="AM160" t="s">
        <v>188</v>
      </c>
      <c r="AN160" t="s">
        <v>179</v>
      </c>
      <c r="AO160" t="s">
        <v>204</v>
      </c>
      <c r="AP160" t="s">
        <v>222</v>
      </c>
      <c r="AQ160" t="s">
        <v>190</v>
      </c>
    </row>
    <row r="161" spans="1:43" x14ac:dyDescent="0.35">
      <c r="A161" s="2">
        <v>2</v>
      </c>
      <c r="B161" s="15">
        <v>0.1111111111111111</v>
      </c>
      <c r="C161" s="21" t="s">
        <v>130</v>
      </c>
      <c r="AF161" s="5" t="s">
        <v>187</v>
      </c>
      <c r="AG161" s="5" t="s">
        <v>224</v>
      </c>
      <c r="AH161" s="5" t="s">
        <v>191</v>
      </c>
      <c r="AI161" s="5" t="s">
        <v>180</v>
      </c>
      <c r="AJ161" s="5" t="s">
        <v>187</v>
      </c>
      <c r="AK161" s="7" t="s">
        <v>180</v>
      </c>
      <c r="AL161" s="7" t="s">
        <v>180</v>
      </c>
      <c r="AM161" t="s">
        <v>225</v>
      </c>
      <c r="AN161" t="s">
        <v>208</v>
      </c>
    </row>
    <row r="162" spans="1:43" x14ac:dyDescent="0.35">
      <c r="A162" s="2">
        <v>2</v>
      </c>
      <c r="B162" s="15">
        <v>6.9444444444444448E-2</v>
      </c>
      <c r="C162" s="21" t="s">
        <v>152</v>
      </c>
      <c r="AF162" s="5" t="s">
        <v>187</v>
      </c>
      <c r="AG162" s="5" t="s">
        <v>204</v>
      </c>
      <c r="AH162" s="5" t="s">
        <v>180</v>
      </c>
      <c r="AI162" s="5" t="s">
        <v>180</v>
      </c>
      <c r="AJ162" s="5" t="s">
        <v>187</v>
      </c>
      <c r="AK162" s="7" t="s">
        <v>180</v>
      </c>
      <c r="AL162" s="7" t="s">
        <v>180</v>
      </c>
    </row>
    <row r="163" spans="1:43" x14ac:dyDescent="0.35">
      <c r="A163" s="2">
        <v>2</v>
      </c>
      <c r="B163" s="15">
        <v>5.5555555555555552E-2</v>
      </c>
      <c r="C163" s="21" t="s">
        <v>152</v>
      </c>
      <c r="AF163" s="5" t="s">
        <v>187</v>
      </c>
      <c r="AG163" s="5" t="s">
        <v>185</v>
      </c>
      <c r="AH163" s="5" t="s">
        <v>180</v>
      </c>
      <c r="AI163" s="5" t="s">
        <v>138</v>
      </c>
      <c r="AJ163" s="5" t="s">
        <v>175</v>
      </c>
      <c r="AK163" s="7" t="s">
        <v>180</v>
      </c>
      <c r="AL163" s="7" t="s">
        <v>180</v>
      </c>
    </row>
    <row r="164" spans="1:43" x14ac:dyDescent="0.35">
      <c r="A164" s="2">
        <v>2</v>
      </c>
      <c r="B164" s="15">
        <v>2.6388888888888889E-2</v>
      </c>
      <c r="C164" s="21" t="s">
        <v>152</v>
      </c>
      <c r="AF164" s="5" t="s">
        <v>187</v>
      </c>
      <c r="AG164" s="5" t="s">
        <v>204</v>
      </c>
      <c r="AH164" s="5" t="s">
        <v>180</v>
      </c>
      <c r="AI164" s="5" t="s">
        <v>138</v>
      </c>
      <c r="AJ164" s="5" t="s">
        <v>175</v>
      </c>
      <c r="AK164" s="7" t="s">
        <v>180</v>
      </c>
      <c r="AL164" s="7" t="s">
        <v>180</v>
      </c>
      <c r="AM164" t="s">
        <v>206</v>
      </c>
      <c r="AN164" t="s">
        <v>197</v>
      </c>
    </row>
    <row r="165" spans="1:43" x14ac:dyDescent="0.35">
      <c r="A165" s="2">
        <v>2</v>
      </c>
      <c r="B165" s="15">
        <v>5.5555555555555558E-3</v>
      </c>
      <c r="C165" s="21" t="s">
        <v>130</v>
      </c>
      <c r="AF165" s="5" t="s">
        <v>183</v>
      </c>
      <c r="AG165" s="5" t="s">
        <v>207</v>
      </c>
      <c r="AH165" s="5" t="s">
        <v>180</v>
      </c>
      <c r="AJ165" s="5" t="s">
        <v>195</v>
      </c>
      <c r="AK165" s="7" t="s">
        <v>192</v>
      </c>
      <c r="AL165" s="7" t="s">
        <v>180</v>
      </c>
      <c r="AM165" t="s">
        <v>230</v>
      </c>
      <c r="AN165" t="s">
        <v>179</v>
      </c>
      <c r="AO165" t="s">
        <v>180</v>
      </c>
      <c r="AP165" t="s">
        <v>207</v>
      </c>
      <c r="AQ165" t="s">
        <v>208</v>
      </c>
    </row>
    <row r="166" spans="1:43" x14ac:dyDescent="0.35">
      <c r="A166" s="2">
        <v>3</v>
      </c>
      <c r="B166" s="15">
        <v>0.82222222222222219</v>
      </c>
      <c r="C166" s="21" t="s">
        <v>130</v>
      </c>
      <c r="AF166" s="5" t="s">
        <v>183</v>
      </c>
      <c r="AG166" s="5" t="s">
        <v>220</v>
      </c>
      <c r="AH166" s="5" t="s">
        <v>180</v>
      </c>
      <c r="AJ166" s="5" t="s">
        <v>195</v>
      </c>
      <c r="AK166" s="7" t="s">
        <v>180</v>
      </c>
      <c r="AL166" s="7" t="s">
        <v>180</v>
      </c>
      <c r="AM166" t="s">
        <v>214</v>
      </c>
      <c r="AN166" t="s">
        <v>190</v>
      </c>
    </row>
    <row r="167" spans="1:43" x14ac:dyDescent="0.35">
      <c r="A167" s="2">
        <v>3</v>
      </c>
      <c r="B167" s="15">
        <v>0.81041666666666667</v>
      </c>
      <c r="C167" s="21" t="s">
        <v>130</v>
      </c>
      <c r="AF167" s="5" t="s">
        <v>187</v>
      </c>
      <c r="AG167" s="5" t="s">
        <v>213</v>
      </c>
      <c r="AH167" s="5" t="s">
        <v>202</v>
      </c>
      <c r="AI167" s="5" t="s">
        <v>180</v>
      </c>
      <c r="AJ167" s="5" t="s">
        <v>195</v>
      </c>
      <c r="AK167" s="7" t="s">
        <v>180</v>
      </c>
      <c r="AL167" s="7" t="s">
        <v>180</v>
      </c>
      <c r="AM167" t="s">
        <v>228</v>
      </c>
      <c r="AN167" t="s">
        <v>197</v>
      </c>
    </row>
    <row r="168" spans="1:43" x14ac:dyDescent="0.35">
      <c r="A168" s="2">
        <v>3</v>
      </c>
      <c r="B168" s="15">
        <v>0.79861111111111116</v>
      </c>
      <c r="C168" s="21" t="s">
        <v>130</v>
      </c>
      <c r="AF168" s="5" t="s">
        <v>187</v>
      </c>
      <c r="AG168" s="5" t="s">
        <v>217</v>
      </c>
      <c r="AH168" s="5" t="s">
        <v>210</v>
      </c>
      <c r="AI168" s="5" t="s">
        <v>180</v>
      </c>
      <c r="AJ168" s="5" t="s">
        <v>187</v>
      </c>
      <c r="AK168" s="7" t="s">
        <v>180</v>
      </c>
      <c r="AL168" s="7" t="s">
        <v>138</v>
      </c>
    </row>
    <row r="169" spans="1:43" x14ac:dyDescent="0.35">
      <c r="A169" s="2">
        <v>3</v>
      </c>
      <c r="B169" s="15">
        <v>0.7895833333333333</v>
      </c>
      <c r="C169" s="21" t="s">
        <v>130</v>
      </c>
      <c r="AF169" s="5" t="s">
        <v>183</v>
      </c>
      <c r="AG169" s="5" t="s">
        <v>205</v>
      </c>
      <c r="AH169" s="5" t="s">
        <v>180</v>
      </c>
      <c r="AJ169" s="5" t="s">
        <v>195</v>
      </c>
      <c r="AK169" s="7" t="s">
        <v>180</v>
      </c>
      <c r="AL169" s="7" t="s">
        <v>138</v>
      </c>
      <c r="AM169" t="s">
        <v>199</v>
      </c>
      <c r="AN169" t="s">
        <v>179</v>
      </c>
      <c r="AO169" t="s">
        <v>228</v>
      </c>
      <c r="AP169" t="s">
        <v>204</v>
      </c>
      <c r="AQ169" t="s">
        <v>190</v>
      </c>
    </row>
    <row r="170" spans="1:43" x14ac:dyDescent="0.35">
      <c r="A170" s="2">
        <v>3</v>
      </c>
      <c r="B170" s="15">
        <v>0.7416666666666667</v>
      </c>
      <c r="C170" s="21" t="s">
        <v>130</v>
      </c>
      <c r="AF170" s="5" t="s">
        <v>187</v>
      </c>
      <c r="AG170" s="5" t="s">
        <v>196</v>
      </c>
      <c r="AH170" s="5" t="s">
        <v>211</v>
      </c>
      <c r="AI170" s="5" t="s">
        <v>138</v>
      </c>
      <c r="AJ170" s="5" t="s">
        <v>195</v>
      </c>
      <c r="AK170" s="7" t="s">
        <v>180</v>
      </c>
      <c r="AL170" s="7" t="s">
        <v>180</v>
      </c>
      <c r="AM170" t="s">
        <v>226</v>
      </c>
      <c r="AN170" t="s">
        <v>197</v>
      </c>
    </row>
    <row r="171" spans="1:43" x14ac:dyDescent="0.35">
      <c r="A171" s="2">
        <v>3</v>
      </c>
      <c r="B171" s="15">
        <v>0.72013888888888888</v>
      </c>
      <c r="C171" s="21" t="s">
        <v>130</v>
      </c>
      <c r="AF171" s="5" t="s">
        <v>183</v>
      </c>
      <c r="AG171" s="5" t="s">
        <v>222</v>
      </c>
      <c r="AH171" s="5" t="s">
        <v>180</v>
      </c>
      <c r="AJ171" s="5" t="s">
        <v>175</v>
      </c>
      <c r="AK171" s="7" t="s">
        <v>180</v>
      </c>
      <c r="AL171" s="7" t="s">
        <v>180</v>
      </c>
      <c r="AM171" t="s">
        <v>199</v>
      </c>
      <c r="AN171" t="s">
        <v>179</v>
      </c>
      <c r="AO171" t="s">
        <v>225</v>
      </c>
      <c r="AP171" t="s">
        <v>218</v>
      </c>
      <c r="AQ171" t="s">
        <v>182</v>
      </c>
    </row>
    <row r="172" spans="1:43" x14ac:dyDescent="0.35">
      <c r="A172" s="2">
        <v>3</v>
      </c>
      <c r="B172" s="15">
        <v>0.70208333333333328</v>
      </c>
      <c r="C172" s="21" t="s">
        <v>130</v>
      </c>
      <c r="AF172" s="5" t="s">
        <v>183</v>
      </c>
      <c r="AG172" s="5" t="s">
        <v>231</v>
      </c>
      <c r="AH172" s="5" t="s">
        <v>180</v>
      </c>
      <c r="AJ172" s="5" t="s">
        <v>195</v>
      </c>
      <c r="AK172" s="7" t="s">
        <v>180</v>
      </c>
      <c r="AL172" s="7" t="s">
        <v>180</v>
      </c>
      <c r="AM172" t="s">
        <v>188</v>
      </c>
      <c r="AN172" t="s">
        <v>179</v>
      </c>
      <c r="AO172" t="s">
        <v>180</v>
      </c>
      <c r="AP172" t="s">
        <v>222</v>
      </c>
      <c r="AQ172" t="s">
        <v>197</v>
      </c>
    </row>
    <row r="173" spans="1:43" x14ac:dyDescent="0.35">
      <c r="A173" s="2">
        <v>3</v>
      </c>
      <c r="B173" s="15">
        <v>0.69722222222222219</v>
      </c>
      <c r="C173" s="21" t="s">
        <v>130</v>
      </c>
      <c r="AF173" s="5" t="s">
        <v>183</v>
      </c>
      <c r="AG173" s="5" t="s">
        <v>198</v>
      </c>
      <c r="AH173" s="5" t="s">
        <v>220</v>
      </c>
      <c r="AJ173" s="5" t="s">
        <v>175</v>
      </c>
      <c r="AK173" s="7" t="s">
        <v>180</v>
      </c>
      <c r="AL173" s="7" t="s">
        <v>180</v>
      </c>
      <c r="AM173" t="s">
        <v>218</v>
      </c>
      <c r="AN173" t="s">
        <v>182</v>
      </c>
    </row>
    <row r="174" spans="1:43" x14ac:dyDescent="0.35">
      <c r="A174" s="2">
        <v>3</v>
      </c>
      <c r="B174" s="15">
        <v>0.6875</v>
      </c>
      <c r="C174" s="21" t="s">
        <v>130</v>
      </c>
      <c r="AF174" s="5" t="s">
        <v>183</v>
      </c>
      <c r="AG174" s="5" t="s">
        <v>220</v>
      </c>
      <c r="AH174" s="5" t="s">
        <v>180</v>
      </c>
      <c r="AJ174" s="5" t="s">
        <v>195</v>
      </c>
      <c r="AK174" s="7" t="s">
        <v>180</v>
      </c>
      <c r="AL174" s="7" t="s">
        <v>180</v>
      </c>
      <c r="AM174" t="s">
        <v>224</v>
      </c>
      <c r="AN174" t="s">
        <v>179</v>
      </c>
      <c r="AO174" t="s">
        <v>186</v>
      </c>
      <c r="AP174" t="s">
        <v>211</v>
      </c>
      <c r="AQ174" t="s">
        <v>197</v>
      </c>
    </row>
    <row r="175" spans="1:43" x14ac:dyDescent="0.35">
      <c r="A175" s="2">
        <v>3</v>
      </c>
      <c r="B175" s="15">
        <v>0.67361111111111116</v>
      </c>
      <c r="C175" s="21" t="s">
        <v>130</v>
      </c>
      <c r="AF175" s="5" t="s">
        <v>187</v>
      </c>
      <c r="AG175" s="5" t="s">
        <v>205</v>
      </c>
      <c r="AH175" s="5" t="s">
        <v>209</v>
      </c>
      <c r="AI175" s="5" t="s">
        <v>180</v>
      </c>
      <c r="AJ175" s="5" t="s">
        <v>187</v>
      </c>
      <c r="AK175" s="7" t="s">
        <v>180</v>
      </c>
      <c r="AL175" s="7" t="s">
        <v>180</v>
      </c>
      <c r="AM175" t="s">
        <v>210</v>
      </c>
      <c r="AN175" t="s">
        <v>182</v>
      </c>
    </row>
    <row r="176" spans="1:43" x14ac:dyDescent="0.35">
      <c r="A176" s="2">
        <v>3</v>
      </c>
      <c r="B176" s="15">
        <v>0.66041666666666665</v>
      </c>
      <c r="C176" s="21" t="s">
        <v>130</v>
      </c>
      <c r="AF176" s="5" t="s">
        <v>187</v>
      </c>
      <c r="AG176" s="5" t="s">
        <v>185</v>
      </c>
      <c r="AH176" s="5" t="s">
        <v>178</v>
      </c>
      <c r="AI176" s="5" t="s">
        <v>180</v>
      </c>
      <c r="AJ176" s="5" t="s">
        <v>187</v>
      </c>
      <c r="AK176" s="7" t="s">
        <v>180</v>
      </c>
      <c r="AL176" s="7" t="s">
        <v>180</v>
      </c>
      <c r="AM176" t="s">
        <v>178</v>
      </c>
      <c r="AN176" t="s">
        <v>179</v>
      </c>
      <c r="AO176" t="s">
        <v>184</v>
      </c>
      <c r="AP176" t="s">
        <v>215</v>
      </c>
      <c r="AQ176" t="s">
        <v>197</v>
      </c>
    </row>
    <row r="177" spans="1:43" x14ac:dyDescent="0.35">
      <c r="A177" s="2">
        <v>3</v>
      </c>
      <c r="B177" s="15">
        <v>0.65277777777777779</v>
      </c>
      <c r="C177" s="21" t="s">
        <v>130</v>
      </c>
      <c r="AF177" s="5" t="s">
        <v>187</v>
      </c>
      <c r="AG177" s="5" t="s">
        <v>217</v>
      </c>
      <c r="AH177" s="5" t="s">
        <v>209</v>
      </c>
      <c r="AI177" s="5" t="s">
        <v>138</v>
      </c>
      <c r="AJ177" s="5" t="s">
        <v>175</v>
      </c>
      <c r="AK177" s="7" t="s">
        <v>180</v>
      </c>
      <c r="AL177" s="7" t="s">
        <v>180</v>
      </c>
      <c r="AM177" t="s">
        <v>201</v>
      </c>
      <c r="AN177" t="s">
        <v>208</v>
      </c>
    </row>
    <row r="178" spans="1:43" x14ac:dyDescent="0.35">
      <c r="A178" s="2">
        <v>3</v>
      </c>
      <c r="B178" s="15">
        <v>0.63888888888888884</v>
      </c>
      <c r="C178" s="21" t="s">
        <v>130</v>
      </c>
      <c r="AF178" s="5" t="s">
        <v>183</v>
      </c>
      <c r="AG178" s="5" t="s">
        <v>201</v>
      </c>
      <c r="AH178" s="5" t="s">
        <v>180</v>
      </c>
      <c r="AJ178" s="5" t="s">
        <v>175</v>
      </c>
      <c r="AK178" s="7" t="s">
        <v>180</v>
      </c>
      <c r="AL178" s="7" t="s">
        <v>180</v>
      </c>
      <c r="AM178" t="s">
        <v>193</v>
      </c>
      <c r="AN178" t="s">
        <v>182</v>
      </c>
      <c r="AO178" t="s">
        <v>218</v>
      </c>
    </row>
    <row r="179" spans="1:43" x14ac:dyDescent="0.35">
      <c r="A179" s="2">
        <v>3</v>
      </c>
      <c r="B179" s="15">
        <v>0.62847222222222221</v>
      </c>
      <c r="C179" s="21" t="s">
        <v>130</v>
      </c>
      <c r="AF179" s="5" t="s">
        <v>187</v>
      </c>
      <c r="AG179" s="5" t="s">
        <v>207</v>
      </c>
      <c r="AH179" s="5" t="s">
        <v>194</v>
      </c>
      <c r="AI179" s="5" t="s">
        <v>138</v>
      </c>
      <c r="AJ179" s="5" t="s">
        <v>195</v>
      </c>
      <c r="AK179" s="7" t="s">
        <v>180</v>
      </c>
      <c r="AL179" s="7" t="s">
        <v>180</v>
      </c>
    </row>
    <row r="180" spans="1:43" x14ac:dyDescent="0.35">
      <c r="A180" s="2">
        <v>3</v>
      </c>
      <c r="B180" s="15">
        <v>0.60277777777777775</v>
      </c>
      <c r="C180" s="21" t="s">
        <v>130</v>
      </c>
      <c r="AF180" s="5" t="s">
        <v>183</v>
      </c>
      <c r="AG180" s="5" t="s">
        <v>222</v>
      </c>
      <c r="AH180" s="5" t="s">
        <v>180</v>
      </c>
      <c r="AJ180" s="5" t="s">
        <v>175</v>
      </c>
      <c r="AK180" s="7" t="s">
        <v>180</v>
      </c>
      <c r="AL180" s="7" t="s">
        <v>180</v>
      </c>
      <c r="AM180" t="s">
        <v>212</v>
      </c>
      <c r="AN180" t="s">
        <v>179</v>
      </c>
      <c r="AO180" t="s">
        <v>180</v>
      </c>
      <c r="AP180" t="s">
        <v>206</v>
      </c>
      <c r="AQ180" t="s">
        <v>197</v>
      </c>
    </row>
    <row r="181" spans="1:43" x14ac:dyDescent="0.35">
      <c r="A181" s="2">
        <v>3</v>
      </c>
      <c r="B181" s="15">
        <v>0.59513888888888888</v>
      </c>
      <c r="C181" s="21" t="s">
        <v>130</v>
      </c>
      <c r="AF181" s="5" t="s">
        <v>223</v>
      </c>
      <c r="AG181" s="5" t="s">
        <v>185</v>
      </c>
      <c r="AH181" s="5" t="s">
        <v>222</v>
      </c>
      <c r="AJ181" s="5" t="s">
        <v>187</v>
      </c>
      <c r="AK181" s="7" t="s">
        <v>180</v>
      </c>
      <c r="AL181" s="7" t="s">
        <v>180</v>
      </c>
    </row>
    <row r="182" spans="1:43" x14ac:dyDescent="0.35">
      <c r="A182" s="2">
        <v>3</v>
      </c>
      <c r="B182" s="15">
        <v>0.59305555555555556</v>
      </c>
      <c r="C182" s="21" t="s">
        <v>130</v>
      </c>
      <c r="AF182" s="5" t="s">
        <v>183</v>
      </c>
      <c r="AG182" s="5" t="s">
        <v>222</v>
      </c>
      <c r="AH182" s="5" t="s">
        <v>180</v>
      </c>
      <c r="AJ182" s="5" t="s">
        <v>195</v>
      </c>
      <c r="AK182" s="7" t="s">
        <v>180</v>
      </c>
      <c r="AL182" s="7" t="s">
        <v>180</v>
      </c>
      <c r="AM182" t="s">
        <v>199</v>
      </c>
      <c r="AN182" t="s">
        <v>179</v>
      </c>
      <c r="AO182" t="s">
        <v>180</v>
      </c>
      <c r="AP182" t="s">
        <v>226</v>
      </c>
      <c r="AQ182" t="s">
        <v>197</v>
      </c>
    </row>
    <row r="183" spans="1:43" x14ac:dyDescent="0.35">
      <c r="A183" s="2">
        <v>3</v>
      </c>
      <c r="B183" s="15">
        <v>0.58611111111111114</v>
      </c>
      <c r="C183" s="21" t="s">
        <v>130</v>
      </c>
      <c r="AF183" s="5" t="s">
        <v>187</v>
      </c>
      <c r="AG183" s="5" t="s">
        <v>212</v>
      </c>
      <c r="AH183" s="5" t="s">
        <v>178</v>
      </c>
      <c r="AI183" s="5" t="s">
        <v>180</v>
      </c>
      <c r="AJ183" s="5" t="s">
        <v>195</v>
      </c>
      <c r="AK183" s="7" t="s">
        <v>180</v>
      </c>
      <c r="AL183" s="7" t="s">
        <v>180</v>
      </c>
    </row>
    <row r="184" spans="1:43" x14ac:dyDescent="0.35">
      <c r="A184" s="2">
        <v>3</v>
      </c>
      <c r="B184" s="15">
        <v>0.55069444444444449</v>
      </c>
      <c r="C184" s="21" t="s">
        <v>152</v>
      </c>
      <c r="AF184" s="5" t="s">
        <v>187</v>
      </c>
      <c r="AG184" s="5" t="s">
        <v>196</v>
      </c>
      <c r="AH184" s="5" t="s">
        <v>180</v>
      </c>
      <c r="AI184" s="5" t="s">
        <v>138</v>
      </c>
      <c r="AJ184" s="5" t="s">
        <v>195</v>
      </c>
      <c r="AK184" s="7" t="s">
        <v>180</v>
      </c>
      <c r="AL184" s="7" t="s">
        <v>138</v>
      </c>
    </row>
    <row r="185" spans="1:43" x14ac:dyDescent="0.35">
      <c r="A185" s="2">
        <v>3</v>
      </c>
      <c r="B185" s="15">
        <v>0.53125</v>
      </c>
      <c r="C185" s="21" t="s">
        <v>152</v>
      </c>
      <c r="AF185" s="5" t="s">
        <v>223</v>
      </c>
      <c r="AG185" s="5" t="s">
        <v>185</v>
      </c>
      <c r="AH185" s="5" t="s">
        <v>205</v>
      </c>
      <c r="AJ185" s="5" t="s">
        <v>175</v>
      </c>
      <c r="AK185" s="2" t="s">
        <v>180</v>
      </c>
      <c r="AL185" t="s">
        <v>180</v>
      </c>
    </row>
    <row r="186" spans="1:43" x14ac:dyDescent="0.35">
      <c r="A186" s="2">
        <v>3</v>
      </c>
      <c r="B186" s="15">
        <v>0.52777777777777779</v>
      </c>
      <c r="C186" s="21" t="s">
        <v>174</v>
      </c>
      <c r="AF186" s="5" t="s">
        <v>187</v>
      </c>
      <c r="AG186" s="5" t="s">
        <v>205</v>
      </c>
      <c r="AH186" s="5" t="s">
        <v>180</v>
      </c>
      <c r="AI186" s="5" t="s">
        <v>180</v>
      </c>
      <c r="AJ186" s="5" t="s">
        <v>187</v>
      </c>
      <c r="AK186" s="2" t="s">
        <v>180</v>
      </c>
      <c r="AL186" t="s">
        <v>138</v>
      </c>
    </row>
    <row r="187" spans="1:43" x14ac:dyDescent="0.35">
      <c r="A187" s="2">
        <v>3</v>
      </c>
      <c r="B187" s="15">
        <v>0.50694444444444442</v>
      </c>
      <c r="C187" s="21" t="s">
        <v>130</v>
      </c>
      <c r="AF187" s="5" t="s">
        <v>223</v>
      </c>
      <c r="AG187" s="5" t="s">
        <v>201</v>
      </c>
      <c r="AH187" s="5" t="s">
        <v>178</v>
      </c>
      <c r="AJ187" s="5" t="s">
        <v>175</v>
      </c>
      <c r="AK187" s="2" t="s">
        <v>180</v>
      </c>
      <c r="AL187" t="s">
        <v>180</v>
      </c>
    </row>
    <row r="188" spans="1:43" x14ac:dyDescent="0.35">
      <c r="A188" s="2">
        <v>3</v>
      </c>
      <c r="B188" s="15">
        <v>0.50347222222222221</v>
      </c>
      <c r="C188" s="21" t="s">
        <v>130</v>
      </c>
      <c r="AF188" s="5" t="s">
        <v>187</v>
      </c>
      <c r="AG188" s="5" t="s">
        <v>226</v>
      </c>
      <c r="AH188" s="5" t="s">
        <v>224</v>
      </c>
      <c r="AI188" s="5" t="s">
        <v>138</v>
      </c>
      <c r="AJ188" s="5" t="s">
        <v>175</v>
      </c>
      <c r="AK188" s="2" t="s">
        <v>180</v>
      </c>
      <c r="AL188" t="s">
        <v>180</v>
      </c>
    </row>
    <row r="189" spans="1:43" x14ac:dyDescent="0.35">
      <c r="A189" s="2">
        <v>3</v>
      </c>
      <c r="B189" s="15">
        <v>0.46527777777777779</v>
      </c>
      <c r="C189" s="21" t="s">
        <v>152</v>
      </c>
      <c r="AF189" s="5" t="s">
        <v>187</v>
      </c>
      <c r="AG189" s="5" t="s">
        <v>192</v>
      </c>
      <c r="AH189" s="5" t="s">
        <v>180</v>
      </c>
      <c r="AI189" s="5" t="s">
        <v>180</v>
      </c>
      <c r="AJ189" s="5" t="s">
        <v>195</v>
      </c>
      <c r="AK189" s="2" t="s">
        <v>180</v>
      </c>
      <c r="AL189" t="s">
        <v>180</v>
      </c>
    </row>
    <row r="190" spans="1:43" x14ac:dyDescent="0.35">
      <c r="A190" s="2">
        <v>3</v>
      </c>
      <c r="B190" s="15">
        <v>0.44791666666666669</v>
      </c>
      <c r="C190" s="21" t="s">
        <v>152</v>
      </c>
      <c r="AF190" s="5" t="s">
        <v>187</v>
      </c>
      <c r="AG190" s="5" t="s">
        <v>215</v>
      </c>
      <c r="AH190" s="5" t="s">
        <v>180</v>
      </c>
      <c r="AI190" s="5" t="s">
        <v>180</v>
      </c>
      <c r="AJ190" s="5" t="s">
        <v>195</v>
      </c>
      <c r="AK190" s="2" t="s">
        <v>180</v>
      </c>
      <c r="AL190" t="s">
        <v>180</v>
      </c>
    </row>
    <row r="191" spans="1:43" x14ac:dyDescent="0.35">
      <c r="A191" s="2">
        <v>3</v>
      </c>
      <c r="B191" s="15">
        <v>0.44097222222222221</v>
      </c>
      <c r="C191" s="21" t="s">
        <v>174</v>
      </c>
      <c r="AF191" s="5" t="s">
        <v>187</v>
      </c>
      <c r="AG191" s="5" t="s">
        <v>186</v>
      </c>
    </row>
    <row r="192" spans="1:43" x14ac:dyDescent="0.35">
      <c r="A192" s="2">
        <v>3</v>
      </c>
      <c r="B192" s="15">
        <v>0.43402777777777779</v>
      </c>
      <c r="C192" s="21" t="s">
        <v>152</v>
      </c>
      <c r="AF192" s="5" t="s">
        <v>187</v>
      </c>
      <c r="AG192" s="5" t="s">
        <v>207</v>
      </c>
      <c r="AH192" s="5" t="s">
        <v>209</v>
      </c>
      <c r="AI192" s="5" t="s">
        <v>138</v>
      </c>
      <c r="AJ192" s="5" t="s">
        <v>175</v>
      </c>
      <c r="AK192" s="2" t="s">
        <v>180</v>
      </c>
      <c r="AL192" t="s">
        <v>180</v>
      </c>
    </row>
    <row r="193" spans="1:43" x14ac:dyDescent="0.35">
      <c r="A193" s="2">
        <v>3</v>
      </c>
      <c r="B193" s="15">
        <v>0.40972222222222221</v>
      </c>
      <c r="C193" s="21" t="s">
        <v>152</v>
      </c>
      <c r="AF193" s="5" t="s">
        <v>187</v>
      </c>
      <c r="AG193" s="5" t="s">
        <v>181</v>
      </c>
      <c r="AH193" s="5" t="s">
        <v>180</v>
      </c>
      <c r="AI193" s="5" t="s">
        <v>229</v>
      </c>
      <c r="AJ193" s="5" t="s">
        <v>187</v>
      </c>
      <c r="AK193" s="2" t="s">
        <v>180</v>
      </c>
      <c r="AL193" t="s">
        <v>180</v>
      </c>
    </row>
    <row r="194" spans="1:43" x14ac:dyDescent="0.35">
      <c r="A194" s="2">
        <v>3</v>
      </c>
      <c r="B194" s="15">
        <v>0.38819444444444445</v>
      </c>
      <c r="C194" s="21" t="s">
        <v>130</v>
      </c>
      <c r="AF194" s="5" t="s">
        <v>223</v>
      </c>
      <c r="AG194" s="5" t="s">
        <v>185</v>
      </c>
      <c r="AH194" s="5" t="s">
        <v>198</v>
      </c>
      <c r="AJ194" s="5" t="s">
        <v>187</v>
      </c>
      <c r="AK194" s="2" t="s">
        <v>180</v>
      </c>
      <c r="AL194" t="s">
        <v>180</v>
      </c>
    </row>
    <row r="195" spans="1:43" x14ac:dyDescent="0.35">
      <c r="A195" s="2">
        <v>3</v>
      </c>
      <c r="B195" s="15">
        <v>0.38194444444444442</v>
      </c>
      <c r="C195" s="21" t="s">
        <v>130</v>
      </c>
      <c r="AF195" s="5" t="s">
        <v>183</v>
      </c>
      <c r="AG195" s="5" t="s">
        <v>225</v>
      </c>
      <c r="AH195" s="5" t="s">
        <v>191</v>
      </c>
      <c r="AJ195" s="5" t="s">
        <v>195</v>
      </c>
      <c r="AK195" s="2" t="s">
        <v>180</v>
      </c>
      <c r="AL195" t="s">
        <v>180</v>
      </c>
      <c r="AM195" t="s">
        <v>194</v>
      </c>
      <c r="AN195" t="s">
        <v>179</v>
      </c>
      <c r="AO195" t="s">
        <v>225</v>
      </c>
      <c r="AP195" t="s">
        <v>226</v>
      </c>
      <c r="AQ195" t="s">
        <v>200</v>
      </c>
    </row>
    <row r="196" spans="1:43" x14ac:dyDescent="0.35">
      <c r="A196" s="2">
        <v>3</v>
      </c>
      <c r="B196" s="15">
        <v>0.37569444444444444</v>
      </c>
      <c r="C196" s="21" t="s">
        <v>130</v>
      </c>
      <c r="AF196" s="5" t="s">
        <v>183</v>
      </c>
      <c r="AG196" s="5" t="s">
        <v>193</v>
      </c>
      <c r="AH196" s="5" t="s">
        <v>180</v>
      </c>
      <c r="AJ196" s="5" t="s">
        <v>175</v>
      </c>
      <c r="AK196" s="2" t="s">
        <v>180</v>
      </c>
      <c r="AL196" t="s">
        <v>180</v>
      </c>
    </row>
    <row r="197" spans="1:43" x14ac:dyDescent="0.35">
      <c r="A197" s="2">
        <v>3</v>
      </c>
      <c r="B197" s="15">
        <v>0.33888888888888891</v>
      </c>
      <c r="C197" s="21" t="s">
        <v>130</v>
      </c>
      <c r="AF197" s="5" t="s">
        <v>183</v>
      </c>
      <c r="AG197" s="5" t="s">
        <v>204</v>
      </c>
      <c r="AH197" s="5" t="s">
        <v>180</v>
      </c>
      <c r="AJ197" s="5" t="s">
        <v>195</v>
      </c>
      <c r="AK197" s="2" t="s">
        <v>204</v>
      </c>
      <c r="AL197" t="s">
        <v>180</v>
      </c>
    </row>
    <row r="198" spans="1:43" x14ac:dyDescent="0.35">
      <c r="A198" s="2">
        <v>3</v>
      </c>
      <c r="B198" s="15">
        <v>0.32083333333333336</v>
      </c>
      <c r="C198" s="21" t="s">
        <v>130</v>
      </c>
      <c r="AF198" s="5" t="s">
        <v>223</v>
      </c>
      <c r="AG198" s="5" t="s">
        <v>207</v>
      </c>
      <c r="AH198" s="5" t="s">
        <v>210</v>
      </c>
      <c r="AI198" s="5" t="s">
        <v>180</v>
      </c>
      <c r="AJ198" s="5" t="s">
        <v>195</v>
      </c>
      <c r="AK198" s="2" t="s">
        <v>180</v>
      </c>
      <c r="AL198" t="s">
        <v>180</v>
      </c>
    </row>
    <row r="199" spans="1:43" x14ac:dyDescent="0.35">
      <c r="A199" s="2">
        <v>3</v>
      </c>
      <c r="B199" s="15">
        <v>0.31736111111111109</v>
      </c>
      <c r="C199" s="21" t="s">
        <v>130</v>
      </c>
      <c r="AF199" s="5" t="s">
        <v>187</v>
      </c>
      <c r="AG199" s="5" t="s">
        <v>210</v>
      </c>
      <c r="AH199" s="5" t="s">
        <v>178</v>
      </c>
      <c r="AI199" s="5" t="s">
        <v>138</v>
      </c>
      <c r="AJ199" s="5" t="s">
        <v>195</v>
      </c>
      <c r="AK199" s="2" t="s">
        <v>180</v>
      </c>
      <c r="AL199" t="s">
        <v>180</v>
      </c>
    </row>
    <row r="200" spans="1:43" x14ac:dyDescent="0.35">
      <c r="A200" s="2">
        <v>3</v>
      </c>
      <c r="B200" s="15">
        <v>0.30416666666666664</v>
      </c>
      <c r="C200" s="21" t="s">
        <v>130</v>
      </c>
      <c r="AF200" s="5" t="s">
        <v>187</v>
      </c>
      <c r="AG200" s="5" t="s">
        <v>201</v>
      </c>
      <c r="AH200" s="5" t="s">
        <v>211</v>
      </c>
      <c r="AI200" s="5" t="s">
        <v>180</v>
      </c>
      <c r="AJ200" s="5" t="s">
        <v>195</v>
      </c>
      <c r="AK200" s="2" t="s">
        <v>180</v>
      </c>
      <c r="AL200" t="s">
        <v>180</v>
      </c>
      <c r="AM200" t="s">
        <v>214</v>
      </c>
      <c r="AN200" t="s">
        <v>197</v>
      </c>
    </row>
    <row r="201" spans="1:43" x14ac:dyDescent="0.35">
      <c r="A201" s="2">
        <v>3</v>
      </c>
      <c r="B201" s="15">
        <v>0.29652777777777778</v>
      </c>
      <c r="C201" s="21" t="s">
        <v>130</v>
      </c>
      <c r="AF201" s="5" t="s">
        <v>183</v>
      </c>
      <c r="AG201" s="5" t="s">
        <v>213</v>
      </c>
      <c r="AH201" s="5" t="s">
        <v>220</v>
      </c>
      <c r="AJ201" s="5" t="s">
        <v>175</v>
      </c>
      <c r="AK201" s="2" t="s">
        <v>180</v>
      </c>
      <c r="AL201" t="s">
        <v>180</v>
      </c>
      <c r="AM201" t="s">
        <v>201</v>
      </c>
      <c r="AN201" t="s">
        <v>197</v>
      </c>
      <c r="AO201" t="s">
        <v>181</v>
      </c>
    </row>
    <row r="202" spans="1:43" x14ac:dyDescent="0.35">
      <c r="A202" s="2">
        <v>3</v>
      </c>
      <c r="B202" s="15">
        <v>0.28958333333333336</v>
      </c>
      <c r="C202" s="21" t="s">
        <v>130</v>
      </c>
      <c r="AF202" s="5" t="s">
        <v>187</v>
      </c>
      <c r="AG202" s="5" t="s">
        <v>218</v>
      </c>
      <c r="AH202" s="5" t="s">
        <v>193</v>
      </c>
      <c r="AI202" s="5" t="s">
        <v>138</v>
      </c>
      <c r="AJ202" s="5" t="s">
        <v>175</v>
      </c>
      <c r="AK202" s="2" t="s">
        <v>180</v>
      </c>
      <c r="AL202" t="s">
        <v>180</v>
      </c>
    </row>
    <row r="203" spans="1:43" x14ac:dyDescent="0.35">
      <c r="A203" s="2">
        <v>3</v>
      </c>
      <c r="B203" s="15">
        <v>0.25069444444444444</v>
      </c>
      <c r="C203" s="21" t="s">
        <v>152</v>
      </c>
      <c r="AF203" s="5" t="s">
        <v>187</v>
      </c>
      <c r="AG203" s="5" t="s">
        <v>196</v>
      </c>
      <c r="AH203" s="5" t="s">
        <v>180</v>
      </c>
      <c r="AI203" s="5" t="s">
        <v>138</v>
      </c>
      <c r="AJ203" s="5" t="s">
        <v>175</v>
      </c>
      <c r="AK203" s="2" t="s">
        <v>180</v>
      </c>
      <c r="AL203" t="s">
        <v>180</v>
      </c>
    </row>
    <row r="204" spans="1:43" x14ac:dyDescent="0.35">
      <c r="A204" s="2">
        <v>3</v>
      </c>
      <c r="B204" s="15">
        <v>0.22500000000000001</v>
      </c>
      <c r="C204" s="21" t="s">
        <v>152</v>
      </c>
      <c r="AF204" s="5" t="s">
        <v>183</v>
      </c>
      <c r="AG204" s="5" t="s">
        <v>185</v>
      </c>
      <c r="AH204" s="5" t="s">
        <v>178</v>
      </c>
      <c r="AI204" s="5" t="s">
        <v>180</v>
      </c>
      <c r="AJ204" s="5" t="s">
        <v>195</v>
      </c>
      <c r="AK204" s="2" t="s">
        <v>180</v>
      </c>
      <c r="AL204" t="s">
        <v>180</v>
      </c>
      <c r="AM204" t="s">
        <v>232</v>
      </c>
    </row>
    <row r="205" spans="1:43" x14ac:dyDescent="0.35">
      <c r="A205" s="2">
        <v>3</v>
      </c>
      <c r="B205" s="15">
        <v>0.20902777777777778</v>
      </c>
      <c r="C205" s="21" t="s">
        <v>152</v>
      </c>
      <c r="AF205" s="5" t="s">
        <v>183</v>
      </c>
      <c r="AG205" s="5" t="s">
        <v>210</v>
      </c>
      <c r="AH205" s="5" t="s">
        <v>180</v>
      </c>
      <c r="AI205" s="5" t="s">
        <v>138</v>
      </c>
      <c r="AJ205" s="5" t="s">
        <v>175</v>
      </c>
      <c r="AK205" s="2" t="s">
        <v>180</v>
      </c>
      <c r="AL205" t="s">
        <v>180</v>
      </c>
    </row>
    <row r="206" spans="1:43" x14ac:dyDescent="0.35">
      <c r="A206" s="2">
        <v>3</v>
      </c>
      <c r="B206" s="15">
        <v>0.16458333333333333</v>
      </c>
      <c r="C206" s="21" t="s">
        <v>130</v>
      </c>
      <c r="AF206" s="5" t="s">
        <v>187</v>
      </c>
      <c r="AG206" s="5" t="s">
        <v>218</v>
      </c>
      <c r="AH206" s="5" t="s">
        <v>193</v>
      </c>
      <c r="AI206" s="5" t="s">
        <v>180</v>
      </c>
      <c r="AJ206" s="5" t="s">
        <v>195</v>
      </c>
      <c r="AK206" s="2" t="s">
        <v>180</v>
      </c>
      <c r="AL206" t="s">
        <v>180</v>
      </c>
    </row>
    <row r="207" spans="1:43" x14ac:dyDescent="0.35">
      <c r="A207" s="2">
        <v>3</v>
      </c>
      <c r="B207" s="15">
        <v>0.1388888888888889</v>
      </c>
      <c r="C207" s="21" t="s">
        <v>130</v>
      </c>
      <c r="AF207" s="5" t="s">
        <v>187</v>
      </c>
      <c r="AG207" s="5" t="s">
        <v>198</v>
      </c>
      <c r="AH207" s="5" t="s">
        <v>202</v>
      </c>
      <c r="AI207" s="5" t="s">
        <v>180</v>
      </c>
      <c r="AJ207" s="5" t="s">
        <v>195</v>
      </c>
      <c r="AK207" s="2" t="s">
        <v>180</v>
      </c>
      <c r="AL207" t="s">
        <v>180</v>
      </c>
      <c r="AM207" t="s">
        <v>186</v>
      </c>
      <c r="AN207" t="s">
        <v>197</v>
      </c>
    </row>
    <row r="208" spans="1:43" x14ac:dyDescent="0.35">
      <c r="A208" s="2">
        <v>3</v>
      </c>
      <c r="B208" s="15">
        <v>0.12777777777777777</v>
      </c>
      <c r="C208" s="21" t="s">
        <v>130</v>
      </c>
      <c r="AF208" s="5" t="s">
        <v>183</v>
      </c>
      <c r="AG208" s="5" t="s">
        <v>196</v>
      </c>
      <c r="AH208" s="5" t="s">
        <v>224</v>
      </c>
      <c r="AJ208" s="5" t="s">
        <v>175</v>
      </c>
      <c r="AK208" s="2" t="s">
        <v>180</v>
      </c>
      <c r="AL208" t="s">
        <v>180</v>
      </c>
      <c r="AM208" t="s">
        <v>219</v>
      </c>
      <c r="AN208" t="s">
        <v>179</v>
      </c>
      <c r="AO208" t="s">
        <v>180</v>
      </c>
      <c r="AP208" t="s">
        <v>192</v>
      </c>
      <c r="AQ208" t="s">
        <v>197</v>
      </c>
    </row>
    <row r="209" spans="1:40" x14ac:dyDescent="0.35">
      <c r="A209" s="2">
        <v>3</v>
      </c>
      <c r="B209" s="15">
        <v>0.12013888888888889</v>
      </c>
      <c r="C209" s="21" t="s">
        <v>130</v>
      </c>
      <c r="AF209" s="5" t="s">
        <v>187</v>
      </c>
      <c r="AG209" s="5" t="s">
        <v>224</v>
      </c>
      <c r="AH209" s="5" t="s">
        <v>191</v>
      </c>
      <c r="AI209" s="5" t="s">
        <v>138</v>
      </c>
      <c r="AJ209" s="5" t="s">
        <v>195</v>
      </c>
      <c r="AK209" s="2" t="s">
        <v>180</v>
      </c>
      <c r="AL209" t="s">
        <v>180</v>
      </c>
      <c r="AM209" t="s">
        <v>191</v>
      </c>
      <c r="AN209" t="s">
        <v>200</v>
      </c>
    </row>
    <row r="210" spans="1:40" x14ac:dyDescent="0.35">
      <c r="A210" s="2">
        <v>3</v>
      </c>
      <c r="B210" s="15">
        <v>0.11388888888888889</v>
      </c>
      <c r="C210" s="21" t="s">
        <v>130</v>
      </c>
      <c r="AM210" t="s">
        <v>188</v>
      </c>
      <c r="AN210" t="s">
        <v>200</v>
      </c>
    </row>
    <row r="211" spans="1:40" x14ac:dyDescent="0.35">
      <c r="A211" s="2">
        <v>3</v>
      </c>
      <c r="B211" s="15">
        <v>0.1111111111111111</v>
      </c>
      <c r="C211" s="21" t="s">
        <v>130</v>
      </c>
      <c r="AF211" s="5" t="s">
        <v>223</v>
      </c>
      <c r="AG211" s="5" t="s">
        <v>186</v>
      </c>
      <c r="AH211" s="5" t="s">
        <v>193</v>
      </c>
      <c r="AJ211" s="5" t="s">
        <v>195</v>
      </c>
      <c r="AK211" s="2" t="s">
        <v>180</v>
      </c>
      <c r="AL211" t="s">
        <v>180</v>
      </c>
    </row>
    <row r="212" spans="1:40" x14ac:dyDescent="0.35">
      <c r="A212" s="2">
        <v>3</v>
      </c>
      <c r="B212" s="15">
        <v>9.930555555555555E-2</v>
      </c>
      <c r="C212" s="21" t="s">
        <v>130</v>
      </c>
      <c r="AF212" s="5" t="s">
        <v>223</v>
      </c>
      <c r="AG212" s="5" t="s">
        <v>184</v>
      </c>
      <c r="AH212" s="5" t="s">
        <v>213</v>
      </c>
      <c r="AJ212" s="5" t="s">
        <v>175</v>
      </c>
      <c r="AK212" s="2" t="s">
        <v>180</v>
      </c>
      <c r="AL212" t="s">
        <v>180</v>
      </c>
    </row>
    <row r="213" spans="1:40" x14ac:dyDescent="0.35">
      <c r="A213" s="2">
        <v>3</v>
      </c>
      <c r="B213" s="15">
        <v>9.3055555555555558E-2</v>
      </c>
      <c r="C213" s="21" t="s">
        <v>130</v>
      </c>
      <c r="AF213" s="5" t="s">
        <v>223</v>
      </c>
      <c r="AG213" s="5" t="s">
        <v>204</v>
      </c>
      <c r="AH213" s="5" t="s">
        <v>178</v>
      </c>
      <c r="AJ213" s="5" t="s">
        <v>195</v>
      </c>
      <c r="AK213" s="2" t="s">
        <v>180</v>
      </c>
      <c r="AL213" t="s">
        <v>180</v>
      </c>
    </row>
    <row r="214" spans="1:40" x14ac:dyDescent="0.35">
      <c r="A214" s="2">
        <v>3</v>
      </c>
      <c r="B214" s="15">
        <v>7.9861111111111105E-2</v>
      </c>
      <c r="C214" s="21" t="s">
        <v>130</v>
      </c>
      <c r="AM214" t="s">
        <v>228</v>
      </c>
      <c r="AN214" t="s">
        <v>200</v>
      </c>
    </row>
    <row r="215" spans="1:40" x14ac:dyDescent="0.35">
      <c r="B215" s="15"/>
    </row>
    <row r="216" spans="1:40" x14ac:dyDescent="0.35">
      <c r="B216" s="15"/>
    </row>
    <row r="217" spans="1:40" x14ac:dyDescent="0.35">
      <c r="B217" s="15"/>
    </row>
    <row r="218" spans="1:40" x14ac:dyDescent="0.35">
      <c r="B218" s="15"/>
    </row>
    <row r="219" spans="1:40" x14ac:dyDescent="0.35">
      <c r="B219" s="15"/>
    </row>
    <row r="220" spans="1:40" x14ac:dyDescent="0.35">
      <c r="B220" s="15"/>
    </row>
    <row r="221" spans="1:40" x14ac:dyDescent="0.35">
      <c r="B221" s="15"/>
    </row>
    <row r="222" spans="1:40" x14ac:dyDescent="0.35">
      <c r="B222" s="15"/>
    </row>
    <row r="223" spans="1:40" x14ac:dyDescent="0.35">
      <c r="B223" s="15"/>
    </row>
    <row r="224" spans="1:40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CI11" sqref="CI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26</v>
      </c>
      <c r="B2" s="8" t="s">
        <v>233</v>
      </c>
      <c r="C2" s="8" t="s">
        <v>136</v>
      </c>
      <c r="D2" s="8" t="s">
        <v>175</v>
      </c>
      <c r="E2" s="8">
        <v>9.3333333333333002</v>
      </c>
      <c r="F2" s="8" t="s">
        <v>272</v>
      </c>
      <c r="G2" s="19" t="s">
        <v>273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0.42500000000000004</v>
      </c>
      <c r="CK2" s="2">
        <f t="shared" ref="CK2:CK37" si="2">(0.075*H2)+(0.07*L2)+(0.055*M2)+(0.055*N2)+(0.095*J2)+(0.09*O2)+(0.05*P2)+(0.05*R2)+(0.05*S2)+(0.05*AB2)</f>
        <v>0.42500000000000004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0.42500000000000004</v>
      </c>
    </row>
    <row r="3" spans="1:126" x14ac:dyDescent="0.35">
      <c r="A3" s="8">
        <v>17</v>
      </c>
      <c r="B3" s="8" t="s">
        <v>234</v>
      </c>
      <c r="C3" s="8" t="s">
        <v>136</v>
      </c>
      <c r="D3" s="8" t="s">
        <v>183</v>
      </c>
      <c r="E3" s="8">
        <v>11.366666666666999</v>
      </c>
      <c r="F3" s="8" t="s">
        <v>272</v>
      </c>
      <c r="G3" s="19" t="s">
        <v>273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6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0.14499999999999999</v>
      </c>
      <c r="CK3" s="2">
        <f t="shared" si="2"/>
        <v>5.5E-2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0.09</v>
      </c>
      <c r="CP3" s="2">
        <f t="shared" si="6"/>
        <v>0</v>
      </c>
      <c r="CQ3" s="2">
        <f t="shared" si="7"/>
        <v>0.14499999999999999</v>
      </c>
    </row>
    <row r="4" spans="1:126" x14ac:dyDescent="0.35">
      <c r="A4" s="8">
        <v>42</v>
      </c>
      <c r="B4" s="8" t="s">
        <v>235</v>
      </c>
      <c r="C4" s="8" t="s">
        <v>136</v>
      </c>
      <c r="D4" s="8" t="s">
        <v>175</v>
      </c>
      <c r="E4" s="8">
        <v>10.65</v>
      </c>
      <c r="F4" s="8" t="s">
        <v>272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0.39</v>
      </c>
      <c r="CK4" s="2">
        <f t="shared" si="2"/>
        <v>0.39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</v>
      </c>
      <c r="CP4" s="2">
        <f t="shared" si="6"/>
        <v>0</v>
      </c>
      <c r="CQ4" s="2">
        <f t="shared" si="7"/>
        <v>0.39</v>
      </c>
    </row>
    <row r="5" spans="1:126" x14ac:dyDescent="0.35">
      <c r="A5" s="8">
        <v>23</v>
      </c>
      <c r="B5" s="8" t="s">
        <v>236</v>
      </c>
      <c r="C5" s="8" t="s">
        <v>136</v>
      </c>
      <c r="D5" s="8" t="s">
        <v>195</v>
      </c>
      <c r="E5" s="8">
        <v>10.616666666666999</v>
      </c>
      <c r="F5" s="8" t="s">
        <v>272</v>
      </c>
      <c r="G5" s="19" t="s">
        <v>273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0.47499999999999998</v>
      </c>
      <c r="CK5" s="2">
        <f t="shared" si="2"/>
        <v>0.47499999999999998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</v>
      </c>
      <c r="CP5" s="2">
        <f t="shared" si="6"/>
        <v>0</v>
      </c>
      <c r="CQ5" s="2">
        <f t="shared" si="7"/>
        <v>0.47499999999999998</v>
      </c>
    </row>
    <row r="6" spans="1:126" x14ac:dyDescent="0.35">
      <c r="A6" s="8">
        <v>49</v>
      </c>
      <c r="B6" s="8" t="s">
        <v>237</v>
      </c>
      <c r="C6" s="8" t="s">
        <v>136</v>
      </c>
      <c r="D6" s="8" t="s">
        <v>195</v>
      </c>
      <c r="E6" s="8">
        <v>14.6</v>
      </c>
      <c r="F6" s="8" t="s">
        <v>272</v>
      </c>
      <c r="G6" s="19" t="s">
        <v>273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0.59000000000000008</v>
      </c>
      <c r="CK6" s="2">
        <f t="shared" si="2"/>
        <v>0.53500000000000003</v>
      </c>
      <c r="CL6" s="2">
        <f t="shared" si="3"/>
        <v>0</v>
      </c>
      <c r="CM6" s="2">
        <f t="shared" si="9"/>
        <v>0</v>
      </c>
      <c r="CN6" s="2">
        <f t="shared" si="4"/>
        <v>0</v>
      </c>
      <c r="CO6" s="2">
        <f t="shared" si="5"/>
        <v>0</v>
      </c>
      <c r="CP6" s="2">
        <f t="shared" si="6"/>
        <v>5.5E-2</v>
      </c>
      <c r="CQ6" s="2">
        <f t="shared" si="7"/>
        <v>0.53500000000000003</v>
      </c>
    </row>
    <row r="7" spans="1:126" x14ac:dyDescent="0.35">
      <c r="A7" s="8">
        <v>9</v>
      </c>
      <c r="B7" s="8" t="s">
        <v>238</v>
      </c>
      <c r="C7" s="8" t="s">
        <v>136</v>
      </c>
      <c r="D7" s="8" t="s">
        <v>187</v>
      </c>
      <c r="E7" s="8">
        <v>11.7</v>
      </c>
      <c r="F7" s="8" t="s">
        <v>272</v>
      </c>
      <c r="G7" s="19" t="s">
        <v>273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8</v>
      </c>
      <c r="BL7" s="10">
        <f>COUNTIFS(Tracking!G:G,A7,Tracking!D:D,C7,Tracking!C:C,"5v4")</f>
        <v>4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3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</v>
      </c>
      <c r="CK7" s="2">
        <f t="shared" si="2"/>
        <v>0.32</v>
      </c>
      <c r="CL7" s="2">
        <f t="shared" si="3"/>
        <v>0</v>
      </c>
      <c r="CM7" s="2">
        <f t="shared" si="9"/>
        <v>0</v>
      </c>
      <c r="CN7" s="2">
        <f t="shared" si="4"/>
        <v>0</v>
      </c>
      <c r="CO7" s="2">
        <f t="shared" si="5"/>
        <v>1.4999999999999999E-2</v>
      </c>
      <c r="CP7" s="2">
        <f t="shared" si="6"/>
        <v>0.16500000000000001</v>
      </c>
      <c r="CQ7" s="2">
        <f t="shared" si="7"/>
        <v>0.33500000000000002</v>
      </c>
    </row>
    <row r="8" spans="1:126" x14ac:dyDescent="0.35">
      <c r="A8" s="8">
        <v>88</v>
      </c>
      <c r="B8" s="8" t="s">
        <v>239</v>
      </c>
      <c r="C8" s="8" t="s">
        <v>136</v>
      </c>
      <c r="D8" s="8" t="s">
        <v>183</v>
      </c>
      <c r="E8" s="8">
        <v>11.016666666667</v>
      </c>
      <c r="F8" s="8" t="s">
        <v>272</v>
      </c>
      <c r="G8" s="19" t="s">
        <v>273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0.26500000000000001</v>
      </c>
      <c r="CK8" s="2">
        <f t="shared" si="2"/>
        <v>0.20499999999999999</v>
      </c>
      <c r="CL8" s="2">
        <f t="shared" si="3"/>
        <v>0</v>
      </c>
      <c r="CM8" s="2">
        <f t="shared" si="9"/>
        <v>0</v>
      </c>
      <c r="CN8" s="2">
        <f t="shared" si="4"/>
        <v>0</v>
      </c>
      <c r="CO8" s="2">
        <f t="shared" si="5"/>
        <v>0.06</v>
      </c>
      <c r="CP8" s="2">
        <f t="shared" si="6"/>
        <v>0</v>
      </c>
      <c r="CQ8" s="2">
        <f t="shared" si="7"/>
        <v>0.26500000000000001</v>
      </c>
    </row>
    <row r="9" spans="1:126" x14ac:dyDescent="0.35">
      <c r="A9" s="8">
        <v>5</v>
      </c>
      <c r="B9" s="8" t="s">
        <v>240</v>
      </c>
      <c r="C9" s="8" t="s">
        <v>136</v>
      </c>
      <c r="D9" s="8" t="s">
        <v>183</v>
      </c>
      <c r="E9" s="8">
        <v>14.45</v>
      </c>
      <c r="F9" s="8" t="s">
        <v>272</v>
      </c>
      <c r="G9" s="19" t="s">
        <v>273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12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0.55499999999999994</v>
      </c>
      <c r="CK9" s="2">
        <f t="shared" si="2"/>
        <v>0.375</v>
      </c>
      <c r="CL9" s="2">
        <f t="shared" si="3"/>
        <v>0</v>
      </c>
      <c r="CM9" s="2">
        <f t="shared" si="9"/>
        <v>0</v>
      </c>
      <c r="CN9" s="2">
        <f t="shared" si="4"/>
        <v>0</v>
      </c>
      <c r="CO9" s="2">
        <f t="shared" si="5"/>
        <v>0.18</v>
      </c>
      <c r="CP9" s="2">
        <f t="shared" si="6"/>
        <v>0</v>
      </c>
      <c r="CQ9" s="2">
        <f t="shared" si="7"/>
        <v>0.55499999999999994</v>
      </c>
    </row>
    <row r="10" spans="1:126" x14ac:dyDescent="0.35">
      <c r="A10" s="8">
        <v>6</v>
      </c>
      <c r="B10" s="8" t="s">
        <v>241</v>
      </c>
      <c r="C10" s="8" t="s">
        <v>136</v>
      </c>
      <c r="D10" s="8" t="s">
        <v>183</v>
      </c>
      <c r="E10" s="8">
        <v>16.183333333333</v>
      </c>
      <c r="F10" s="8" t="s">
        <v>272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5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0.21500000000000002</v>
      </c>
      <c r="CK10" s="2">
        <f t="shared" si="2"/>
        <v>0.14000000000000001</v>
      </c>
      <c r="CL10" s="2">
        <f t="shared" si="3"/>
        <v>0</v>
      </c>
      <c r="CM10" s="2">
        <f t="shared" si="9"/>
        <v>0</v>
      </c>
      <c r="CN10" s="2">
        <f t="shared" si="4"/>
        <v>0</v>
      </c>
      <c r="CO10" s="2">
        <f t="shared" si="5"/>
        <v>7.4999999999999997E-2</v>
      </c>
      <c r="CP10" s="2">
        <f t="shared" si="6"/>
        <v>0</v>
      </c>
      <c r="CQ10" s="2">
        <f t="shared" si="7"/>
        <v>0.21500000000000002</v>
      </c>
    </row>
    <row r="11" spans="1:126" x14ac:dyDescent="0.35">
      <c r="A11" s="8">
        <v>55</v>
      </c>
      <c r="B11" s="8" t="s">
        <v>242</v>
      </c>
      <c r="C11" s="8" t="s">
        <v>136</v>
      </c>
      <c r="D11" s="8" t="s">
        <v>175</v>
      </c>
      <c r="E11" s="8">
        <v>9.8666666666666991</v>
      </c>
      <c r="F11" s="8" t="s">
        <v>272</v>
      </c>
      <c r="G11" s="19" t="s">
        <v>273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1.4999999999999999E-2</v>
      </c>
      <c r="CK11" s="2">
        <f t="shared" si="2"/>
        <v>0</v>
      </c>
      <c r="CL11" s="2">
        <f t="shared" si="3"/>
        <v>0</v>
      </c>
      <c r="CM11" s="2">
        <f t="shared" si="9"/>
        <v>0</v>
      </c>
      <c r="CN11" s="2">
        <f t="shared" si="4"/>
        <v>0</v>
      </c>
      <c r="CO11" s="2">
        <f t="shared" si="5"/>
        <v>1.4999999999999999E-2</v>
      </c>
      <c r="CP11" s="2">
        <f t="shared" si="6"/>
        <v>0</v>
      </c>
      <c r="CQ11" s="2">
        <f t="shared" si="7"/>
        <v>1.4999999999999999E-2</v>
      </c>
    </row>
    <row r="12" spans="1:126" x14ac:dyDescent="0.35">
      <c r="A12" s="8">
        <v>61</v>
      </c>
      <c r="B12" s="8" t="s">
        <v>243</v>
      </c>
      <c r="C12" s="8" t="s">
        <v>136</v>
      </c>
      <c r="D12" s="8" t="s">
        <v>175</v>
      </c>
      <c r="E12" s="8">
        <v>11.883333333333001</v>
      </c>
      <c r="F12" s="8" t="s">
        <v>272</v>
      </c>
      <c r="G12" s="19" t="s">
        <v>273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1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0.28500000000000003</v>
      </c>
      <c r="CK12" s="2">
        <f t="shared" si="2"/>
        <v>0.125</v>
      </c>
      <c r="CL12" s="2">
        <f t="shared" si="3"/>
        <v>0</v>
      </c>
      <c r="CM12" s="2">
        <f t="shared" si="9"/>
        <v>0</v>
      </c>
      <c r="CN12" s="2">
        <f t="shared" si="4"/>
        <v>0</v>
      </c>
      <c r="CO12" s="2">
        <f t="shared" si="5"/>
        <v>1.4999999999999999E-2</v>
      </c>
      <c r="CP12" s="2">
        <f t="shared" si="6"/>
        <v>0.14500000000000002</v>
      </c>
      <c r="CQ12" s="2">
        <f t="shared" si="7"/>
        <v>0.14000000000000001</v>
      </c>
    </row>
    <row r="13" spans="1:126" x14ac:dyDescent="0.35">
      <c r="A13" s="8">
        <v>93</v>
      </c>
      <c r="B13" s="8" t="s">
        <v>244</v>
      </c>
      <c r="C13" s="8" t="s">
        <v>136</v>
      </c>
      <c r="D13" s="8" t="s">
        <v>175</v>
      </c>
      <c r="E13" s="8">
        <v>9.7333333333333005</v>
      </c>
      <c r="F13" s="8" t="s">
        <v>272</v>
      </c>
      <c r="G13" s="19" t="s">
        <v>273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2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4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0.54500000000000004</v>
      </c>
      <c r="CK13" s="2">
        <f t="shared" si="2"/>
        <v>0.49</v>
      </c>
      <c r="CL13" s="2">
        <f t="shared" si="3"/>
        <v>0</v>
      </c>
      <c r="CM13" s="2">
        <f t="shared" si="9"/>
        <v>0</v>
      </c>
      <c r="CN13" s="2">
        <f t="shared" si="4"/>
        <v>0</v>
      </c>
      <c r="CO13" s="2">
        <f t="shared" si="5"/>
        <v>0</v>
      </c>
      <c r="CP13" s="2">
        <f t="shared" si="6"/>
        <v>5.5E-2</v>
      </c>
      <c r="CQ13" s="2">
        <f t="shared" si="7"/>
        <v>0.49</v>
      </c>
    </row>
    <row r="14" spans="1:126" x14ac:dyDescent="0.35">
      <c r="A14" s="8">
        <v>15</v>
      </c>
      <c r="B14" s="8" t="s">
        <v>245</v>
      </c>
      <c r="C14" s="8" t="s">
        <v>136</v>
      </c>
      <c r="D14" s="8" t="s">
        <v>183</v>
      </c>
      <c r="E14" s="8">
        <v>16.933333333333</v>
      </c>
      <c r="F14" s="8" t="s">
        <v>272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5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0.46</v>
      </c>
      <c r="CK14" s="2">
        <f t="shared" si="2"/>
        <v>0.38500000000000001</v>
      </c>
      <c r="CL14" s="2">
        <f t="shared" si="3"/>
        <v>0</v>
      </c>
      <c r="CM14" s="2">
        <f t="shared" si="9"/>
        <v>0</v>
      </c>
      <c r="CN14" s="2">
        <f t="shared" si="4"/>
        <v>0</v>
      </c>
      <c r="CO14" s="2">
        <f t="shared" si="5"/>
        <v>7.4999999999999997E-2</v>
      </c>
      <c r="CP14" s="2">
        <f t="shared" si="6"/>
        <v>0</v>
      </c>
      <c r="CQ14" s="2">
        <f t="shared" si="7"/>
        <v>0.46</v>
      </c>
    </row>
    <row r="15" spans="1:126" x14ac:dyDescent="0.35">
      <c r="A15" s="8">
        <v>16</v>
      </c>
      <c r="B15" s="8" t="s">
        <v>246</v>
      </c>
      <c r="C15" s="8" t="s">
        <v>136</v>
      </c>
      <c r="D15" s="8" t="s">
        <v>175</v>
      </c>
      <c r="E15" s="8">
        <v>8.4499999999999993</v>
      </c>
      <c r="F15" s="8" t="s">
        <v>272</v>
      </c>
      <c r="G15" s="19" t="s">
        <v>273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2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0.505</v>
      </c>
      <c r="CK15" s="2">
        <f t="shared" si="2"/>
        <v>0.39500000000000002</v>
      </c>
      <c r="CL15" s="2">
        <f t="shared" si="3"/>
        <v>0</v>
      </c>
      <c r="CM15" s="2">
        <f t="shared" si="9"/>
        <v>0</v>
      </c>
      <c r="CN15" s="2">
        <f t="shared" si="4"/>
        <v>0</v>
      </c>
      <c r="CO15" s="2">
        <f t="shared" si="5"/>
        <v>0</v>
      </c>
      <c r="CP15" s="2">
        <f t="shared" si="6"/>
        <v>0.11</v>
      </c>
      <c r="CQ15" s="2">
        <f t="shared" si="7"/>
        <v>0.39500000000000002</v>
      </c>
    </row>
    <row r="16" spans="1:126" x14ac:dyDescent="0.35">
      <c r="A16" s="8">
        <v>19</v>
      </c>
      <c r="B16" s="8" t="s">
        <v>247</v>
      </c>
      <c r="C16" s="8" t="s">
        <v>136</v>
      </c>
      <c r="D16" s="8" t="s">
        <v>175</v>
      </c>
      <c r="E16" s="8">
        <v>11.15</v>
      </c>
      <c r="F16" s="8" t="s">
        <v>272</v>
      </c>
      <c r="G16" s="19" t="s">
        <v>273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0.26</v>
      </c>
      <c r="CK16" s="2">
        <f t="shared" si="2"/>
        <v>0.245</v>
      </c>
      <c r="CL16" s="2">
        <f t="shared" si="3"/>
        <v>0</v>
      </c>
      <c r="CM16" s="2">
        <f t="shared" si="9"/>
        <v>0</v>
      </c>
      <c r="CN16" s="2">
        <f t="shared" si="4"/>
        <v>0</v>
      </c>
      <c r="CO16" s="2">
        <f t="shared" si="5"/>
        <v>1.4999999999999999E-2</v>
      </c>
      <c r="CP16" s="2">
        <f t="shared" si="6"/>
        <v>0</v>
      </c>
      <c r="CQ16" s="2">
        <f t="shared" si="7"/>
        <v>0.26</v>
      </c>
    </row>
    <row r="17" spans="1:95" x14ac:dyDescent="0.35">
      <c r="A17" s="8">
        <v>27</v>
      </c>
      <c r="B17" s="8" t="s">
        <v>248</v>
      </c>
      <c r="C17" s="8" t="s">
        <v>136</v>
      </c>
      <c r="D17" s="8" t="s">
        <v>183</v>
      </c>
      <c r="E17" s="8">
        <v>15.8</v>
      </c>
      <c r="F17" s="8" t="s">
        <v>272</v>
      </c>
      <c r="G17" s="19" t="s">
        <v>273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5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0.14500000000000002</v>
      </c>
      <c r="CK17" s="2">
        <f t="shared" si="2"/>
        <v>7.0000000000000007E-2</v>
      </c>
      <c r="CL17" s="2">
        <f t="shared" si="3"/>
        <v>0</v>
      </c>
      <c r="CM17" s="2">
        <f t="shared" si="9"/>
        <v>0</v>
      </c>
      <c r="CN17" s="2">
        <f t="shared" si="4"/>
        <v>0</v>
      </c>
      <c r="CO17" s="2">
        <f t="shared" si="5"/>
        <v>7.4999999999999997E-2</v>
      </c>
      <c r="CP17" s="2">
        <f t="shared" si="6"/>
        <v>0</v>
      </c>
      <c r="CQ17" s="2">
        <f t="shared" si="7"/>
        <v>0.14500000000000002</v>
      </c>
    </row>
    <row r="18" spans="1:95" x14ac:dyDescent="0.35">
      <c r="A18" s="8">
        <v>28</v>
      </c>
      <c r="B18" s="8" t="s">
        <v>249</v>
      </c>
      <c r="C18" s="8" t="s">
        <v>136</v>
      </c>
      <c r="D18" s="8" t="s">
        <v>187</v>
      </c>
      <c r="E18" s="8">
        <v>10.916666666667</v>
      </c>
      <c r="F18" s="8" t="s">
        <v>272</v>
      </c>
      <c r="G18" s="19" t="s">
        <v>273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3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0.63500000000000001</v>
      </c>
      <c r="CK18" s="2">
        <f t="shared" si="2"/>
        <v>0.63500000000000001</v>
      </c>
      <c r="CL18" s="2">
        <f t="shared" si="3"/>
        <v>0</v>
      </c>
      <c r="CM18" s="2">
        <f t="shared" si="9"/>
        <v>0</v>
      </c>
      <c r="CN18" s="2">
        <f t="shared" si="4"/>
        <v>0</v>
      </c>
      <c r="CO18" s="2">
        <f t="shared" si="5"/>
        <v>0</v>
      </c>
      <c r="CP18" s="2">
        <f t="shared" si="6"/>
        <v>0</v>
      </c>
      <c r="CQ18" s="2">
        <f t="shared" si="7"/>
        <v>0.63500000000000001</v>
      </c>
    </row>
    <row r="19" spans="1:95" x14ac:dyDescent="0.35">
      <c r="A19" s="8">
        <v>48</v>
      </c>
      <c r="B19" s="8" t="s">
        <v>250</v>
      </c>
      <c r="C19" s="8" t="s">
        <v>136</v>
      </c>
      <c r="D19" s="8" t="s">
        <v>187</v>
      </c>
      <c r="E19" s="8">
        <v>10.933333333333</v>
      </c>
      <c r="F19" s="8" t="s">
        <v>272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0.16500000000000001</v>
      </c>
      <c r="CK19" s="2">
        <f t="shared" si="2"/>
        <v>0</v>
      </c>
      <c r="CL19" s="2">
        <f t="shared" si="3"/>
        <v>0</v>
      </c>
      <c r="CM19" s="2">
        <f t="shared" si="9"/>
        <v>0</v>
      </c>
      <c r="CN19" s="2">
        <f t="shared" si="4"/>
        <v>0</v>
      </c>
      <c r="CO19" s="2">
        <f t="shared" si="5"/>
        <v>0</v>
      </c>
      <c r="CP19" s="2">
        <f t="shared" si="6"/>
        <v>0.16500000000000001</v>
      </c>
      <c r="CQ19" s="2">
        <f t="shared" si="7"/>
        <v>0</v>
      </c>
    </row>
    <row r="20" spans="1:95" x14ac:dyDescent="0.35">
      <c r="A20" s="8">
        <v>10</v>
      </c>
      <c r="B20" s="8" t="s">
        <v>251</v>
      </c>
      <c r="C20" s="8" t="s">
        <v>145</v>
      </c>
      <c r="D20" s="8" t="s">
        <v>175</v>
      </c>
      <c r="E20" s="8">
        <v>11.15</v>
      </c>
      <c r="F20" s="8" t="s">
        <v>272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0.47500000000000003</v>
      </c>
      <c r="CK20" s="2">
        <f t="shared" si="2"/>
        <v>0.47500000000000003</v>
      </c>
      <c r="CL20" s="2">
        <f t="shared" si="3"/>
        <v>0</v>
      </c>
      <c r="CM20" s="2">
        <f t="shared" si="9"/>
        <v>0</v>
      </c>
      <c r="CN20" s="2">
        <f t="shared" si="4"/>
        <v>0</v>
      </c>
      <c r="CO20" s="2">
        <f t="shared" si="5"/>
        <v>0</v>
      </c>
      <c r="CP20" s="2">
        <f t="shared" si="6"/>
        <v>0</v>
      </c>
      <c r="CQ20" s="2">
        <f t="shared" si="7"/>
        <v>0.47500000000000003</v>
      </c>
    </row>
    <row r="21" spans="1:95" x14ac:dyDescent="0.35">
      <c r="A21" s="8">
        <v>8</v>
      </c>
      <c r="B21" s="8" t="s">
        <v>252</v>
      </c>
      <c r="C21" s="8" t="s">
        <v>145</v>
      </c>
      <c r="D21" s="8" t="s">
        <v>183</v>
      </c>
      <c r="E21" s="8">
        <v>12.766666666667</v>
      </c>
      <c r="F21" s="8" t="s">
        <v>272</v>
      </c>
      <c r="G21" s="19" t="s">
        <v>273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2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0.35000000000000003</v>
      </c>
      <c r="CK21" s="2">
        <f t="shared" si="2"/>
        <v>0.35000000000000003</v>
      </c>
      <c r="CL21" s="2">
        <f t="shared" si="3"/>
        <v>0</v>
      </c>
      <c r="CM21" s="2">
        <f t="shared" si="9"/>
        <v>0</v>
      </c>
      <c r="CN21" s="2">
        <f t="shared" si="4"/>
        <v>0</v>
      </c>
      <c r="CO21" s="2">
        <f t="shared" si="5"/>
        <v>0</v>
      </c>
      <c r="CP21" s="2">
        <f t="shared" si="6"/>
        <v>0</v>
      </c>
      <c r="CQ21" s="2">
        <f t="shared" si="7"/>
        <v>0.35000000000000003</v>
      </c>
    </row>
    <row r="22" spans="1:95" x14ac:dyDescent="0.35">
      <c r="A22" s="8">
        <v>91</v>
      </c>
      <c r="B22" s="8" t="s">
        <v>253</v>
      </c>
      <c r="C22" s="8" t="s">
        <v>145</v>
      </c>
      <c r="D22" s="8" t="s">
        <v>175</v>
      </c>
      <c r="E22" s="8">
        <v>11.166666666667</v>
      </c>
      <c r="F22" s="8" t="s">
        <v>272</v>
      </c>
      <c r="G22" s="19" t="s">
        <v>273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0.16499999999999998</v>
      </c>
      <c r="CK22" s="2">
        <f t="shared" si="2"/>
        <v>0.15</v>
      </c>
      <c r="CL22" s="2">
        <f t="shared" si="3"/>
        <v>0</v>
      </c>
      <c r="CM22" s="2">
        <f t="shared" si="9"/>
        <v>0</v>
      </c>
      <c r="CN22" s="2">
        <f t="shared" si="4"/>
        <v>0</v>
      </c>
      <c r="CO22" s="2">
        <f t="shared" si="5"/>
        <v>1.4999999999999999E-2</v>
      </c>
      <c r="CP22" s="2">
        <f t="shared" si="6"/>
        <v>0</v>
      </c>
      <c r="CQ22" s="2">
        <f t="shared" si="7"/>
        <v>0.16499999999999998</v>
      </c>
    </row>
    <row r="23" spans="1:95" x14ac:dyDescent="0.35">
      <c r="A23" s="8">
        <v>22</v>
      </c>
      <c r="B23" s="8" t="s">
        <v>254</v>
      </c>
      <c r="C23" s="8" t="s">
        <v>145</v>
      </c>
      <c r="D23" s="8" t="s">
        <v>187</v>
      </c>
      <c r="E23" s="8">
        <v>11.383333333333001</v>
      </c>
      <c r="F23" s="8" t="s">
        <v>272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1</v>
      </c>
      <c r="M23" s="9">
        <f>COUNTIFS(Tracking!H:H,A23,Tracking!D:D,C23,Tracking!C:C,"5v5")</f>
        <v>3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0.47500000000000003</v>
      </c>
      <c r="CK23" s="2">
        <f t="shared" si="2"/>
        <v>0.40500000000000003</v>
      </c>
      <c r="CL23" s="2">
        <f t="shared" si="3"/>
        <v>0</v>
      </c>
      <c r="CM23" s="2">
        <f t="shared" si="9"/>
        <v>0</v>
      </c>
      <c r="CN23" s="2">
        <f t="shared" si="4"/>
        <v>0</v>
      </c>
      <c r="CO23" s="2">
        <f t="shared" si="5"/>
        <v>1.4999999999999999E-2</v>
      </c>
      <c r="CP23" s="2">
        <f t="shared" si="6"/>
        <v>5.5E-2</v>
      </c>
      <c r="CQ23" s="2">
        <f t="shared" si="7"/>
        <v>0.42000000000000004</v>
      </c>
    </row>
    <row r="24" spans="1:95" x14ac:dyDescent="0.35">
      <c r="A24" s="8">
        <v>52</v>
      </c>
      <c r="B24" s="8" t="s">
        <v>255</v>
      </c>
      <c r="C24" s="8" t="s">
        <v>145</v>
      </c>
      <c r="D24" s="8" t="s">
        <v>187</v>
      </c>
      <c r="E24" s="8">
        <v>10.383333333333001</v>
      </c>
      <c r="F24" s="8" t="s">
        <v>272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0.14500000000000002</v>
      </c>
      <c r="CK24" s="2">
        <f t="shared" si="2"/>
        <v>0.13</v>
      </c>
      <c r="CL24" s="2">
        <f t="shared" si="3"/>
        <v>0</v>
      </c>
      <c r="CM24" s="2">
        <f t="shared" si="9"/>
        <v>0</v>
      </c>
      <c r="CN24" s="2">
        <f t="shared" si="4"/>
        <v>0</v>
      </c>
      <c r="CO24" s="2">
        <f t="shared" si="5"/>
        <v>1.4999999999999999E-2</v>
      </c>
      <c r="CP24" s="2">
        <f t="shared" si="6"/>
        <v>0</v>
      </c>
      <c r="CQ24" s="2">
        <f t="shared" si="7"/>
        <v>0.14500000000000002</v>
      </c>
    </row>
    <row r="25" spans="1:95" x14ac:dyDescent="0.35">
      <c r="A25" s="8">
        <v>36</v>
      </c>
      <c r="B25" s="8" t="s">
        <v>256</v>
      </c>
      <c r="C25" s="8" t="s">
        <v>145</v>
      </c>
      <c r="D25" s="8" t="s">
        <v>183</v>
      </c>
      <c r="E25" s="8">
        <v>14.033333333332999</v>
      </c>
      <c r="F25" s="8" t="s">
        <v>272</v>
      </c>
      <c r="G25" s="19" t="s">
        <v>273</v>
      </c>
      <c r="H25" s="9">
        <f>COUNTIFS(Tracking!E:E,A25,Tracking!D:D,C25,Tracking!C:C,"5v5")</f>
        <v>2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6</v>
      </c>
      <c r="L25" s="9">
        <f>COUNTIFS(Tracking!G:G,A25,Tracking!D:D,C25,Tracking!C:C,"5v5")</f>
        <v>4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3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6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8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4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0.84</v>
      </c>
      <c r="CK25" s="2">
        <f t="shared" si="2"/>
        <v>0.72</v>
      </c>
      <c r="CL25" s="2">
        <f t="shared" si="3"/>
        <v>0</v>
      </c>
      <c r="CM25" s="2">
        <f t="shared" si="9"/>
        <v>0</v>
      </c>
      <c r="CN25" s="2">
        <f t="shared" si="4"/>
        <v>0</v>
      </c>
      <c r="CO25" s="2">
        <f t="shared" si="5"/>
        <v>0.12</v>
      </c>
      <c r="CP25" s="2">
        <f t="shared" si="6"/>
        <v>0</v>
      </c>
      <c r="CQ25" s="2">
        <f t="shared" si="7"/>
        <v>0.84</v>
      </c>
    </row>
    <row r="26" spans="1:95" x14ac:dyDescent="0.35">
      <c r="A26" s="8">
        <v>19</v>
      </c>
      <c r="B26" s="8" t="s">
        <v>257</v>
      </c>
      <c r="C26" s="8" t="s">
        <v>145</v>
      </c>
      <c r="D26" s="8" t="s">
        <v>175</v>
      </c>
      <c r="E26" s="8">
        <v>8.0333333333332995</v>
      </c>
      <c r="F26" s="8" t="s">
        <v>272</v>
      </c>
      <c r="G26" s="19" t="s">
        <v>273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</v>
      </c>
      <c r="CK26" s="2">
        <f t="shared" si="2"/>
        <v>0</v>
      </c>
      <c r="CL26" s="2">
        <f t="shared" si="3"/>
        <v>0</v>
      </c>
      <c r="CM26" s="2">
        <f t="shared" si="9"/>
        <v>0</v>
      </c>
      <c r="CN26" s="2">
        <f t="shared" si="4"/>
        <v>0</v>
      </c>
      <c r="CO26" s="2">
        <f t="shared" si="5"/>
        <v>0</v>
      </c>
      <c r="CP26" s="2">
        <f t="shared" si="6"/>
        <v>0</v>
      </c>
      <c r="CQ26" s="2">
        <f t="shared" si="7"/>
        <v>0</v>
      </c>
    </row>
    <row r="27" spans="1:95" x14ac:dyDescent="0.35">
      <c r="A27" s="8">
        <v>9</v>
      </c>
      <c r="B27" s="8" t="s">
        <v>258</v>
      </c>
      <c r="C27" s="8" t="s">
        <v>145</v>
      </c>
      <c r="D27" s="8" t="s">
        <v>183</v>
      </c>
      <c r="E27" s="8">
        <v>16.850000000000001</v>
      </c>
      <c r="F27" s="8" t="s">
        <v>272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3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0.44</v>
      </c>
      <c r="CK27" s="2">
        <f t="shared" si="2"/>
        <v>0.34</v>
      </c>
      <c r="CL27" s="2">
        <f t="shared" si="3"/>
        <v>0</v>
      </c>
      <c r="CM27" s="2">
        <f t="shared" si="9"/>
        <v>0</v>
      </c>
      <c r="CN27" s="2">
        <f t="shared" si="4"/>
        <v>0</v>
      </c>
      <c r="CO27" s="2">
        <f t="shared" si="5"/>
        <v>4.4999999999999998E-2</v>
      </c>
      <c r="CP27" s="2">
        <f t="shared" si="6"/>
        <v>5.5E-2</v>
      </c>
      <c r="CQ27" s="2">
        <f t="shared" si="7"/>
        <v>0.38500000000000001</v>
      </c>
    </row>
    <row r="28" spans="1:95" x14ac:dyDescent="0.35">
      <c r="A28" s="8">
        <v>25</v>
      </c>
      <c r="B28" s="8" t="s">
        <v>259</v>
      </c>
      <c r="C28" s="8" t="s">
        <v>145</v>
      </c>
      <c r="D28" s="8" t="s">
        <v>187</v>
      </c>
      <c r="E28" s="8">
        <v>8.2166666666667005</v>
      </c>
      <c r="F28" s="8" t="s">
        <v>272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0.16000000000000003</v>
      </c>
      <c r="CK28" s="2">
        <f t="shared" si="2"/>
        <v>0.14500000000000002</v>
      </c>
      <c r="CL28" s="2">
        <f t="shared" si="3"/>
        <v>0</v>
      </c>
      <c r="CM28" s="2">
        <f t="shared" si="9"/>
        <v>0</v>
      </c>
      <c r="CN28" s="2">
        <f t="shared" si="4"/>
        <v>0</v>
      </c>
      <c r="CO28" s="2">
        <f t="shared" si="5"/>
        <v>1.4999999999999999E-2</v>
      </c>
      <c r="CP28" s="2">
        <f t="shared" si="6"/>
        <v>0</v>
      </c>
      <c r="CQ28" s="2">
        <f t="shared" si="7"/>
        <v>0.16000000000000003</v>
      </c>
    </row>
    <row r="29" spans="1:95" x14ac:dyDescent="0.35">
      <c r="A29" s="8">
        <v>39</v>
      </c>
      <c r="B29" s="8" t="s">
        <v>260</v>
      </c>
      <c r="C29" s="8" t="s">
        <v>145</v>
      </c>
      <c r="D29" s="8" t="s">
        <v>175</v>
      </c>
      <c r="E29" s="8">
        <v>10.9</v>
      </c>
      <c r="F29" s="8" t="s">
        <v>272</v>
      </c>
      <c r="G29" s="19" t="s">
        <v>273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0.13</v>
      </c>
      <c r="CK29" s="2">
        <f t="shared" si="2"/>
        <v>0.13</v>
      </c>
      <c r="CL29" s="2">
        <f t="shared" si="3"/>
        <v>0</v>
      </c>
      <c r="CM29" s="2">
        <f t="shared" si="9"/>
        <v>0</v>
      </c>
      <c r="CN29" s="2">
        <f t="shared" si="4"/>
        <v>0</v>
      </c>
      <c r="CO29" s="2">
        <f t="shared" si="5"/>
        <v>0</v>
      </c>
      <c r="CP29" s="2">
        <f t="shared" si="6"/>
        <v>0</v>
      </c>
      <c r="CQ29" s="2">
        <f t="shared" si="7"/>
        <v>0.13</v>
      </c>
    </row>
    <row r="30" spans="1:95" x14ac:dyDescent="0.35">
      <c r="A30" s="8">
        <v>24</v>
      </c>
      <c r="B30" s="8" t="s">
        <v>261</v>
      </c>
      <c r="C30" s="8" t="s">
        <v>145</v>
      </c>
      <c r="D30" s="8" t="s">
        <v>183</v>
      </c>
      <c r="E30" s="8">
        <v>14.383333333333001</v>
      </c>
      <c r="F30" s="8" t="s">
        <v>272</v>
      </c>
      <c r="G30" s="19" t="s">
        <v>273</v>
      </c>
      <c r="H30" s="9">
        <f>COUNTIFS(Tracking!E:E,A30,Tracking!D:D,C30,Tracking!C:C,"5v5")</f>
        <v>3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0.26999999999999996</v>
      </c>
      <c r="CK30" s="2">
        <f t="shared" si="2"/>
        <v>0.22499999999999998</v>
      </c>
      <c r="CL30" s="2">
        <f t="shared" si="3"/>
        <v>0</v>
      </c>
      <c r="CM30" s="2">
        <f t="shared" si="9"/>
        <v>0</v>
      </c>
      <c r="CN30" s="2">
        <f t="shared" si="4"/>
        <v>0</v>
      </c>
      <c r="CO30" s="2">
        <f t="shared" si="5"/>
        <v>4.4999999999999998E-2</v>
      </c>
      <c r="CP30" s="2">
        <f t="shared" si="6"/>
        <v>0</v>
      </c>
      <c r="CQ30" s="2">
        <f t="shared" si="7"/>
        <v>0.26999999999999996</v>
      </c>
    </row>
    <row r="31" spans="1:95" x14ac:dyDescent="0.35">
      <c r="A31" s="8">
        <v>27</v>
      </c>
      <c r="B31" s="8" t="s">
        <v>262</v>
      </c>
      <c r="C31" s="8" t="s">
        <v>145</v>
      </c>
      <c r="D31" s="8" t="s">
        <v>195</v>
      </c>
      <c r="E31" s="8">
        <v>10.416666666667</v>
      </c>
      <c r="F31" s="8" t="s">
        <v>272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0.14500000000000002</v>
      </c>
      <c r="CK31" s="2">
        <f t="shared" si="2"/>
        <v>0.13</v>
      </c>
      <c r="CL31" s="2">
        <f t="shared" si="3"/>
        <v>0</v>
      </c>
      <c r="CM31" s="2">
        <f t="shared" si="9"/>
        <v>0</v>
      </c>
      <c r="CN31" s="2">
        <f t="shared" si="4"/>
        <v>0</v>
      </c>
      <c r="CO31" s="2">
        <f t="shared" si="5"/>
        <v>1.4999999999999999E-2</v>
      </c>
      <c r="CP31" s="2">
        <f t="shared" si="6"/>
        <v>0</v>
      </c>
      <c r="CQ31" s="2">
        <f t="shared" si="7"/>
        <v>0.14500000000000002</v>
      </c>
    </row>
    <row r="32" spans="1:95" x14ac:dyDescent="0.35">
      <c r="A32" s="8">
        <v>47</v>
      </c>
      <c r="B32" s="8" t="s">
        <v>263</v>
      </c>
      <c r="C32" s="8" t="s">
        <v>145</v>
      </c>
      <c r="D32" s="8" t="s">
        <v>183</v>
      </c>
      <c r="E32" s="8">
        <v>13.8</v>
      </c>
      <c r="F32" s="8" t="s">
        <v>272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6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0.16</v>
      </c>
      <c r="CK32" s="2">
        <f t="shared" si="2"/>
        <v>7.0000000000000007E-2</v>
      </c>
      <c r="CL32" s="2">
        <f t="shared" si="3"/>
        <v>0</v>
      </c>
      <c r="CM32" s="2">
        <f t="shared" si="9"/>
        <v>0</v>
      </c>
      <c r="CN32" s="2">
        <f t="shared" si="4"/>
        <v>0</v>
      </c>
      <c r="CO32" s="2">
        <f t="shared" si="5"/>
        <v>0.09</v>
      </c>
      <c r="CP32" s="2">
        <f t="shared" si="6"/>
        <v>0</v>
      </c>
      <c r="CQ32" s="2">
        <f t="shared" si="7"/>
        <v>0.16</v>
      </c>
    </row>
    <row r="33" spans="1:95" x14ac:dyDescent="0.35">
      <c r="A33" s="8">
        <v>74</v>
      </c>
      <c r="B33" s="8" t="s">
        <v>264</v>
      </c>
      <c r="C33" s="8" t="s">
        <v>145</v>
      </c>
      <c r="D33" s="8" t="s">
        <v>175</v>
      </c>
      <c r="E33" s="8">
        <v>12.7</v>
      </c>
      <c r="F33" s="8" t="s">
        <v>272</v>
      </c>
      <c r="G33" s="19" t="s">
        <v>273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0.63</v>
      </c>
      <c r="CK33" s="2">
        <f t="shared" si="2"/>
        <v>0.63</v>
      </c>
      <c r="CL33" s="2">
        <f t="shared" si="3"/>
        <v>0</v>
      </c>
      <c r="CM33" s="2">
        <f t="shared" si="9"/>
        <v>0</v>
      </c>
      <c r="CN33" s="2">
        <f t="shared" si="4"/>
        <v>0</v>
      </c>
      <c r="CO33" s="2">
        <f t="shared" si="5"/>
        <v>0</v>
      </c>
      <c r="CP33" s="2">
        <f t="shared" si="6"/>
        <v>0</v>
      </c>
      <c r="CQ33" s="2">
        <f t="shared" si="7"/>
        <v>0.63</v>
      </c>
    </row>
    <row r="34" spans="1:95" x14ac:dyDescent="0.35">
      <c r="A34" s="8">
        <v>14</v>
      </c>
      <c r="B34" s="8" t="s">
        <v>265</v>
      </c>
      <c r="C34" s="8" t="s">
        <v>145</v>
      </c>
      <c r="D34" s="8" t="s">
        <v>187</v>
      </c>
      <c r="E34" s="8">
        <v>11.233333333333</v>
      </c>
      <c r="F34" s="8" t="s">
        <v>272</v>
      </c>
      <c r="G34" s="19" t="s">
        <v>273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0.37</v>
      </c>
      <c r="CK34" s="2">
        <f t="shared" si="2"/>
        <v>0.37</v>
      </c>
      <c r="CL34" s="2">
        <f t="shared" si="3"/>
        <v>0</v>
      </c>
      <c r="CM34" s="2">
        <f t="shared" si="9"/>
        <v>0</v>
      </c>
      <c r="CN34" s="2">
        <f t="shared" si="4"/>
        <v>0</v>
      </c>
      <c r="CO34" s="2">
        <f t="shared" si="5"/>
        <v>0</v>
      </c>
      <c r="CP34" s="2">
        <f t="shared" si="6"/>
        <v>0</v>
      </c>
      <c r="CQ34" s="2">
        <f t="shared" si="7"/>
        <v>0.37</v>
      </c>
    </row>
    <row r="35" spans="1:95" x14ac:dyDescent="0.35">
      <c r="A35" s="8">
        <v>11</v>
      </c>
      <c r="B35" s="8" t="s">
        <v>266</v>
      </c>
      <c r="C35" s="8" t="s">
        <v>145</v>
      </c>
      <c r="D35" s="8" t="s">
        <v>175</v>
      </c>
      <c r="E35" s="8">
        <v>11.033333333332999</v>
      </c>
      <c r="F35" s="8" t="s">
        <v>272</v>
      </c>
      <c r="G35" s="19" t="s">
        <v>273</v>
      </c>
      <c r="H35" s="9">
        <f>COUNTIFS(Tracking!E:E,A35,Tracking!D:D,C35,Tracking!C:C,"5v5")</f>
        <v>6</v>
      </c>
      <c r="I35" s="9">
        <f>COUNTIFS(Tracking!E:E,A35,Tracking!D:D,C35,Tracking!N:N,"y",Tracking!C:C,"5v5")</f>
        <v>5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0.92000000000000015</v>
      </c>
      <c r="CK35" s="2">
        <f t="shared" si="2"/>
        <v>0.90500000000000014</v>
      </c>
      <c r="CL35" s="2">
        <f t="shared" si="3"/>
        <v>0</v>
      </c>
      <c r="CM35" s="2">
        <f t="shared" si="9"/>
        <v>0</v>
      </c>
      <c r="CN35" s="2">
        <f t="shared" si="4"/>
        <v>0</v>
      </c>
      <c r="CO35" s="2">
        <f t="shared" si="5"/>
        <v>1.4999999999999999E-2</v>
      </c>
      <c r="CP35" s="2">
        <f t="shared" si="6"/>
        <v>0</v>
      </c>
      <c r="CQ35" s="2">
        <f t="shared" si="7"/>
        <v>0.92000000000000015</v>
      </c>
    </row>
    <row r="36" spans="1:95" x14ac:dyDescent="0.35">
      <c r="A36" s="8">
        <v>6</v>
      </c>
      <c r="B36" s="8" t="s">
        <v>267</v>
      </c>
      <c r="C36" s="8" t="s">
        <v>145</v>
      </c>
      <c r="D36" s="8" t="s">
        <v>183</v>
      </c>
      <c r="E36" s="8">
        <v>15.283333333332999</v>
      </c>
      <c r="F36" s="8" t="s">
        <v>272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9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0.43000000000000005</v>
      </c>
      <c r="CK36" s="2">
        <f t="shared" si="2"/>
        <v>0.29500000000000004</v>
      </c>
      <c r="CL36" s="2">
        <f t="shared" si="3"/>
        <v>0</v>
      </c>
      <c r="CM36" s="2">
        <f t="shared" si="9"/>
        <v>0</v>
      </c>
      <c r="CN36" s="2">
        <f t="shared" si="4"/>
        <v>0</v>
      </c>
      <c r="CO36" s="2">
        <f t="shared" si="5"/>
        <v>0.13500000000000001</v>
      </c>
      <c r="CP36" s="2">
        <f t="shared" si="6"/>
        <v>0</v>
      </c>
      <c r="CQ36" s="2">
        <f t="shared" si="7"/>
        <v>0.43000000000000005</v>
      </c>
    </row>
    <row r="37" spans="1:95" x14ac:dyDescent="0.35">
      <c r="A37" s="8">
        <v>46</v>
      </c>
      <c r="B37" s="8" t="s">
        <v>268</v>
      </c>
      <c r="C37" s="8" t="s">
        <v>145</v>
      </c>
      <c r="D37" s="8" t="s">
        <v>187</v>
      </c>
      <c r="E37" s="8">
        <v>11.85</v>
      </c>
      <c r="F37" s="8" t="s">
        <v>272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0.51</v>
      </c>
      <c r="CK37" s="2">
        <f t="shared" si="2"/>
        <v>0.43999999999999995</v>
      </c>
      <c r="CL37" s="2">
        <f t="shared" si="3"/>
        <v>0</v>
      </c>
      <c r="CM37" s="2">
        <f t="shared" si="9"/>
        <v>0</v>
      </c>
      <c r="CN37" s="2">
        <f t="shared" si="4"/>
        <v>0</v>
      </c>
      <c r="CO37" s="2">
        <f t="shared" si="5"/>
        <v>1.4999999999999999E-2</v>
      </c>
      <c r="CP37" s="2">
        <f t="shared" si="6"/>
        <v>5.5E-2</v>
      </c>
      <c r="CQ37" s="2">
        <f t="shared" si="7"/>
        <v>0.45499999999999996</v>
      </c>
    </row>
    <row r="38" spans="1:95" x14ac:dyDescent="0.35">
      <c r="A38" s="8">
        <v>33</v>
      </c>
      <c r="B38" s="8" t="s">
        <v>269</v>
      </c>
      <c r="C38" s="8" t="s">
        <v>145</v>
      </c>
      <c r="D38" s="8" t="s">
        <v>270</v>
      </c>
      <c r="E38" s="8">
        <v>43.116700000000002</v>
      </c>
      <c r="F38" s="8" t="s">
        <v>272</v>
      </c>
      <c r="G38" s="19" t="s">
        <v>273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271</v>
      </c>
      <c r="C39" s="8" t="s">
        <v>136</v>
      </c>
      <c r="D39" s="8" t="s">
        <v>270</v>
      </c>
      <c r="E39" s="8">
        <v>43.116700000000002</v>
      </c>
      <c r="F39" s="8" t="s">
        <v>272</v>
      </c>
      <c r="G39" s="19" t="s">
        <v>273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5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5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5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5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5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5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5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5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5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5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5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5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5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5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5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5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5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5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5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5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5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5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5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5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5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5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5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5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5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5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5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5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5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5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5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5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2026-02-19T22:19:24Z</dcterms:modified>
</cp:coreProperties>
</file>