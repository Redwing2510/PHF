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F084BE4-CC48-451D-86F7-530431E868A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24" i="2"/>
  <c r="CM19" i="2"/>
  <c r="CM6" i="2"/>
  <c r="CM36" i="2"/>
  <c r="CM33" i="2"/>
  <c r="CM30" i="2"/>
  <c r="CM4" i="2"/>
  <c r="CM12" i="2"/>
  <c r="CM9" i="2"/>
  <c r="CM15" i="2"/>
  <c r="CM5" i="2"/>
  <c r="CM26" i="2"/>
  <c r="CM23" i="2"/>
  <c r="CM16" i="2"/>
  <c r="CM18" i="2"/>
  <c r="CM8" i="2"/>
  <c r="CM35" i="2"/>
  <c r="CM32" i="2"/>
  <c r="CM29" i="2"/>
  <c r="CM11" i="2"/>
  <c r="CM20" i="2"/>
  <c r="CM14" i="2"/>
  <c r="CM25" i="2"/>
  <c r="CM22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<sst xmlns="http://schemas.openxmlformats.org/spreadsheetml/2006/main" count="2647" uniqueCount="274">
  <si>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</si>
  <si>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</si>
  <si>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</si>
  <si>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</si>
  <si>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</si>
  <si>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</si>
  <si>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</si>
  <si>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</si>
  <si>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</si>
  <si>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</si>
  <si>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</si>
  <si>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</si>
  <si>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</si>
  <si>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</si>
  <si>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</si>
  <si>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</si>
  <si>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</si>
  <si>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</si>
  <si>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</si>
  <si>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</si>
  <si>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</si>
  <si>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</si>
  <si>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</si>
  <si>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</si>
  <si>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</si>
  <si>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</si>
  <si>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</si>
  <si>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</si>
  <si>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</si>
  <si>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</si>
  <si>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</si>
  <si>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</si>
  <si>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</si>
  <si>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</si>
  <si>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</si>
  <si>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</si>
  <si>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</si>
  <si>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</si>
  <si>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</si>
  <si>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</si>
  <si>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</si>
  <si>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</si>
  <si>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</si>
  <si>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</si>
  <si>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</si>
  <si>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</si>
  <si>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</si>
  <si>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</si>
  <si>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</si>
  <si>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</si>
  <si>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</si>
  <si>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</si>
  <si>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</si>
  <si>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</si>
  <si>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</si>
  <si>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</si>
  <si>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</si>
  <si>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</si>
  <si>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</si>
  <si>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</si>
  <si>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</si>
  <si>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</si>
  <si>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</si>
  <si>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</si>
  <si>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</si>
  <si>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</si>
  <si>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</si>
  <si>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</si>
  <si>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</si>
  <si>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</si>
  <si>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</si>
  <si>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</si>
  <si>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</si>
  <si>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</si>
  <si>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</si>
  <si>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</si>
  <si>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</si>
  <si>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</si>
  <si>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</si>
  <si>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</si>
  <si>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</si>
  <si>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</si>
  <si>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</si>
  <si>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</si>
  <si>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</si>
  <si>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</si>
  <si>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</si>
  <si>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</si>
  <si>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</si>
  <si>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</si>
  <si>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</si>
  <si>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</si>
  <si>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</si>
  <si>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</si>
  <si>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</si>
  <si>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</si>
  <si>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</si>
  <si>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</si>
  <si>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</si>
  <si>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</si>
  <si>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</si>
  <si>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</si>
  <si>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</si>
  <si>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</si>
  <si>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</si>
  <si>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</si>
  <si>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</si>
  <si>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</si>
  <si>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</si>
  <si>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</si>
  <si>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</si>
  <si>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</si>
  <si>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</si>
  <si>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</si>
  <si>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</si>
  <si>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</si>
  <si>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</si>
  <si>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</si>
  <si>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</si>
  <si>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</si>
  <si>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</si>
  <si>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</si>
  <si>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</si>
  <si>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</si>
  <si>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</si>
  <si>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</si>
  <si>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</si>
  <si>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</si>
  <si>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</si>
  <si>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</si>
  <si>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</si>
  <si>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</si>
  <si>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MTL</t>
  </si>
  <si>
    <t>w</t>
  </si>
  <si>
    <t>y</t>
  </si>
  <si>
    <t>f</t>
  </si>
  <si>
    <t>oz</t>
  </si>
  <si>
    <t>VGK</t>
  </si>
  <si>
    <t>orrl</t>
  </si>
  <si>
    <t>nsr</t>
  </si>
  <si>
    <t>r</t>
  </si>
  <si>
    <t>nz</t>
  </si>
  <si>
    <t>nz reload</t>
  </si>
  <si>
    <t>W</t>
  </si>
  <si>
    <t>oc</t>
  </si>
  <si>
    <t>Y</t>
  </si>
  <si>
    <t>dz</t>
  </si>
  <si>
    <t>dz exit</t>
  </si>
  <si>
    <t>ol</t>
  </si>
  <si>
    <t>c</t>
  </si>
  <si>
    <t>O</t>
  </si>
  <si>
    <t>oell</t>
  </si>
  <si>
    <t>B</t>
  </si>
  <si>
    <t>dr</t>
  </si>
  <si>
    <t>nsc</t>
  </si>
  <si>
    <t>s</t>
  </si>
  <si>
    <t>opl</t>
  </si>
  <si>
    <t>nz regroup</t>
  </si>
  <si>
    <t>ofp</t>
  </si>
  <si>
    <t>oz faceoff</t>
  </si>
  <si>
    <t>or</t>
  </si>
  <si>
    <t>t</t>
  </si>
  <si>
    <t>1 on 0</t>
  </si>
  <si>
    <t>o</t>
  </si>
  <si>
    <t>nz recovery</t>
  </si>
  <si>
    <t>nl</t>
  </si>
  <si>
    <t>nr</t>
  </si>
  <si>
    <t>dl</t>
  </si>
  <si>
    <t>2 on 1</t>
  </si>
  <si>
    <t>oelpr</t>
  </si>
  <si>
    <t>5v4</t>
  </si>
  <si>
    <t>orrr</t>
  </si>
  <si>
    <t>nc</t>
  </si>
  <si>
    <t>controlled breakout</t>
  </si>
  <si>
    <t>nz turnover</t>
  </si>
  <si>
    <t>T</t>
  </si>
  <si>
    <t>dc</t>
  </si>
  <si>
    <t>oelc</t>
  </si>
  <si>
    <t>opr</t>
  </si>
  <si>
    <t>dz counter</t>
  </si>
  <si>
    <t>21MTL</t>
  </si>
  <si>
    <t>CLE</t>
  </si>
  <si>
    <t>15VGK</t>
  </si>
  <si>
    <t>EXC</t>
  </si>
  <si>
    <t>70VGK</t>
  </si>
  <si>
    <t>17MTL</t>
  </si>
  <si>
    <t>PEX</t>
  </si>
  <si>
    <t>D</t>
  </si>
  <si>
    <t>11MTL</t>
  </si>
  <si>
    <t>7VGK</t>
  </si>
  <si>
    <t>C</t>
  </si>
  <si>
    <t>N</t>
  </si>
  <si>
    <t>13MTL</t>
  </si>
  <si>
    <t>9VGK</t>
  </si>
  <si>
    <t>R</t>
  </si>
  <si>
    <t>33VGK</t>
  </si>
  <si>
    <t>FEX</t>
  </si>
  <si>
    <t>61VGK</t>
  </si>
  <si>
    <t>MEX</t>
  </si>
  <si>
    <t>48MTL</t>
  </si>
  <si>
    <t>F</t>
  </si>
  <si>
    <t>48VGK</t>
  </si>
  <si>
    <t>15MTL</t>
  </si>
  <si>
    <t>L</t>
  </si>
  <si>
    <t>CEX</t>
  </si>
  <si>
    <t>72MTL</t>
  </si>
  <si>
    <t>14VGK</t>
  </si>
  <si>
    <t>92MTL</t>
  </si>
  <si>
    <t>71VGK</t>
  </si>
  <si>
    <t>55VGK</t>
  </si>
  <si>
    <t>58MTL</t>
  </si>
  <si>
    <t>46VGK</t>
  </si>
  <si>
    <t>71MTL</t>
  </si>
  <si>
    <t>22VGK</t>
  </si>
  <si>
    <t>45MTL</t>
  </si>
  <si>
    <t>51MTL</t>
  </si>
  <si>
    <t>2VGK</t>
  </si>
  <si>
    <t>16VGK</t>
  </si>
  <si>
    <t>8MTL</t>
  </si>
  <si>
    <t>14MTL</t>
  </si>
  <si>
    <t>20MTL</t>
  </si>
  <si>
    <t>27VGK</t>
  </si>
  <si>
    <t>3VGK</t>
  </si>
  <si>
    <t>77MTL</t>
  </si>
  <si>
    <t>40MTL</t>
  </si>
  <si>
    <t>X</t>
  </si>
  <si>
    <t>21VGK</t>
  </si>
  <si>
    <t>26VGK</t>
  </si>
  <si>
    <t>35MTL</t>
  </si>
  <si>
    <t>28MTL</t>
  </si>
  <si>
    <t>BOT</t>
  </si>
  <si>
    <t>95VGK</t>
  </si>
  <si>
    <t>NN</t>
  </si>
  <si>
    <t>8TML</t>
  </si>
  <si>
    <t>Alex Pietrangelo</t>
  </si>
  <si>
    <t>Alexander Holtz</t>
  </si>
  <si>
    <t>Brayden McNabb</t>
  </si>
  <si>
    <t>Brett Howden</t>
  </si>
  <si>
    <t>Cole Schwindt</t>
  </si>
  <si>
    <t>Jack Eichel</t>
  </si>
  <si>
    <t>Jonas Rondbjerg</t>
  </si>
  <si>
    <t>Keegan Kolesar</t>
  </si>
  <si>
    <t>Mark Stone</t>
  </si>
  <si>
    <t>Nicolas Hague</t>
  </si>
  <si>
    <t>Noah Hanifin</t>
  </si>
  <si>
    <t>Pavel Dorofeyev</t>
  </si>
  <si>
    <t>Shea Theodore</t>
  </si>
  <si>
    <t>Tanner Pearson</t>
  </si>
  <si>
    <t>Tomas Hertl</t>
  </si>
  <si>
    <t>Victor Olofsson</t>
  </si>
  <si>
    <t>William Karlsson</t>
  </si>
  <si>
    <t>Zach Whitecloud</t>
  </si>
  <si>
    <t>Alex Newhook</t>
  </si>
  <si>
    <t>Alexandre Carrier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</si>
  <si>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</si>
  <si>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</si>
  <si>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</si>
  <si>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</si>
  <si>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</si>
  <si>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</si>
  <si>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</si>
  <si>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Joel Armia</t>
  </si>
  <si>
    <t>Josh Anderson</t>
  </si>
  <si>
    <t>Juraj Slafkovsky</t>
  </si>
  <si>
    <t>Kaiden Guhle</t>
  </si>
  <si>
    <t>Kirby Dach</t>
  </si>
  <si>
    <t>Lane Hutson</t>
  </si>
  <si>
    <t>Mike Matheson</t>
  </si>
  <si>
    <t>Nick Suzuki</t>
  </si>
  <si>
    <t>Patrik Laine</t>
  </si>
  <si>
    <t>Sam Montembeault</t>
  </si>
  <si>
    <t>G</t>
  </si>
  <si>
    <t>Adin Hill</t>
  </si>
  <si>
    <t>12/31/2024 VGK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</si>
</sst>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49" activePane="bottomRight" state="frozen"/>
      <selection pane="topRight" activeCell="D1" sqref="D1"/>
      <selection pane="bottomLeft" activeCell="A2" sqref="A2"/>
      <selection pane="bottomRight" activeCell="Q269" sqref="Q26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0.79027777777777775</v>
      </c>
      <c r="C2" s="21" t="s">
        <v>131</v>
      </c>
      <c r="D2" s="1" t="s">
        <v>132</v>
      </c>
      <c r="E2" s="1">
        <v>13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33</v>
      </c>
      <c r="W2" s="1">
        <v>20591</v>
      </c>
      <c r="X2" s="1">
        <v>45657</v>
      </c>
      <c r="AK2" s="7"/>
      <c r="AL2" s="7"/>
    </row>
    <row r="3" spans="1:40" x14ac:dyDescent="0.35">
      <c r="A3" s="2">
        <v>1</v>
      </c>
      <c r="B3" s="15">
        <v>0.78819444444444442</v>
      </c>
      <c r="C3" s="21" t="s">
        <v>131</v>
      </c>
      <c r="D3" s="1" t="s">
        <v>132</v>
      </c>
      <c r="E3" s="1">
        <v>14</v>
      </c>
      <c r="F3" s="1" t="s">
        <v>133</v>
      </c>
      <c r="N3" s="1" t="s">
        <v>134</v>
      </c>
      <c r="P3" s="1" t="s">
        <v>135</v>
      </c>
      <c r="Q3" s="1" t="s">
        <v>136</v>
      </c>
      <c r="U3" s="1">
        <v>0</v>
      </c>
      <c r="V3" s="1">
        <v>33</v>
      </c>
      <c r="W3" s="1">
        <v>20591</v>
      </c>
      <c r="X3" s="1">
        <v>45657</v>
      </c>
      <c r="AK3" s="7"/>
      <c r="AL3" s="7"/>
    </row>
    <row r="4" spans="1:40" x14ac:dyDescent="0.35">
      <c r="A4" s="7">
        <v>1</v>
      </c>
      <c r="B4" s="15">
        <v>0.75763888888888886</v>
      </c>
      <c r="C4" s="21" t="s">
        <v>131</v>
      </c>
      <c r="D4" s="1" t="s">
        <v>137</v>
      </c>
      <c r="E4" s="1">
        <v>55</v>
      </c>
      <c r="F4" s="1" t="s">
        <v>133</v>
      </c>
      <c r="G4" s="1">
        <v>48</v>
      </c>
      <c r="H4" s="1">
        <v>27</v>
      </c>
      <c r="J4" s="1" t="s">
        <v>138</v>
      </c>
      <c r="K4" s="1" t="s">
        <v>139</v>
      </c>
      <c r="M4" s="1" t="s">
        <v>134</v>
      </c>
      <c r="P4" s="1" t="s">
        <v>140</v>
      </c>
      <c r="Q4" s="1" t="s">
        <v>141</v>
      </c>
      <c r="R4" s="1" t="s">
        <v>142</v>
      </c>
      <c r="U4" s="1">
        <v>0</v>
      </c>
      <c r="V4" s="1">
        <v>35</v>
      </c>
      <c r="W4" s="1">
        <v>20591</v>
      </c>
      <c r="X4" s="1">
        <v>45657</v>
      </c>
      <c r="AK4" s="7"/>
      <c r="AL4" s="7"/>
    </row>
    <row r="5" spans="1:40" x14ac:dyDescent="0.35">
      <c r="A5" s="7">
        <v>1</v>
      </c>
      <c r="B5" s="14">
        <v>0.74305555555555558</v>
      </c>
      <c r="C5" s="21" t="s">
        <v>131</v>
      </c>
      <c r="D5" s="1" t="s">
        <v>132</v>
      </c>
      <c r="E5" s="1">
        <v>72</v>
      </c>
      <c r="F5" s="1" t="s">
        <v>133</v>
      </c>
      <c r="M5" s="1" t="s">
        <v>134</v>
      </c>
      <c r="P5" s="1" t="s">
        <v>135</v>
      </c>
      <c r="Q5" s="1" t="s">
        <v>136</v>
      </c>
      <c r="U5" s="1">
        <v>0</v>
      </c>
      <c r="V5" s="1">
        <v>33</v>
      </c>
      <c r="W5" s="1">
        <v>20591</v>
      </c>
      <c r="X5" s="1">
        <v>45657</v>
      </c>
      <c r="AK5" s="7"/>
      <c r="AL5" s="7"/>
    </row>
    <row r="6" spans="1:40" x14ac:dyDescent="0.35">
      <c r="A6" s="2">
        <v>1</v>
      </c>
      <c r="B6" s="15">
        <v>0.73263888888888884</v>
      </c>
      <c r="C6" s="21" t="s">
        <v>131</v>
      </c>
      <c r="D6" s="1" t="s">
        <v>137</v>
      </c>
      <c r="E6" s="1">
        <v>2</v>
      </c>
      <c r="F6" s="1" t="s">
        <v>143</v>
      </c>
      <c r="G6" s="1">
        <v>48</v>
      </c>
      <c r="H6" s="1">
        <v>71</v>
      </c>
      <c r="J6" s="1" t="s">
        <v>144</v>
      </c>
      <c r="K6" s="1" t="s">
        <v>144</v>
      </c>
      <c r="M6" s="1" t="s">
        <v>145</v>
      </c>
      <c r="N6" s="1" t="s">
        <v>145</v>
      </c>
      <c r="P6" s="1" t="s">
        <v>140</v>
      </c>
      <c r="Q6" s="1" t="s">
        <v>146</v>
      </c>
      <c r="R6" s="1" t="s">
        <v>147</v>
      </c>
      <c r="T6" s="1" t="s">
        <v>134</v>
      </c>
      <c r="U6" s="1">
        <v>0</v>
      </c>
      <c r="V6" s="1">
        <v>35</v>
      </c>
      <c r="W6" s="1">
        <v>20591</v>
      </c>
      <c r="X6" s="1">
        <v>45657</v>
      </c>
      <c r="AK6" s="7"/>
      <c r="AL6" s="7"/>
    </row>
    <row r="7" spans="1:40" x14ac:dyDescent="0.35">
      <c r="A7" s="2">
        <v>1</v>
      </c>
      <c r="B7" s="15">
        <v>0.70763888888888893</v>
      </c>
      <c r="C7" s="21" t="s">
        <v>131</v>
      </c>
      <c r="D7" s="1" t="s">
        <v>132</v>
      </c>
      <c r="E7" s="1">
        <v>40</v>
      </c>
      <c r="F7" s="1" t="s">
        <v>133</v>
      </c>
      <c r="N7" s="1" t="s">
        <v>134</v>
      </c>
      <c r="P7" s="1" t="s">
        <v>135</v>
      </c>
      <c r="Q7" s="1" t="s">
        <v>136</v>
      </c>
      <c r="U7" s="1">
        <v>1</v>
      </c>
      <c r="V7" s="1">
        <v>33</v>
      </c>
      <c r="W7" s="1">
        <v>20591</v>
      </c>
      <c r="X7" s="1">
        <v>45657</v>
      </c>
      <c r="AK7" s="7"/>
      <c r="AL7" s="7"/>
    </row>
    <row r="8" spans="1:40" x14ac:dyDescent="0.35">
      <c r="A8" s="7">
        <v>1</v>
      </c>
      <c r="B8" s="15">
        <v>0.68472222222222223</v>
      </c>
      <c r="C8" s="21" t="s">
        <v>131</v>
      </c>
      <c r="D8" s="1" t="s">
        <v>137</v>
      </c>
      <c r="E8" s="1">
        <v>16</v>
      </c>
      <c r="F8" s="1" t="s">
        <v>133</v>
      </c>
      <c r="G8" s="1">
        <v>70</v>
      </c>
      <c r="J8" s="1" t="s">
        <v>148</v>
      </c>
      <c r="N8" s="1" t="s">
        <v>134</v>
      </c>
      <c r="P8" s="1" t="s">
        <v>149</v>
      </c>
      <c r="Q8" s="1" t="s">
        <v>136</v>
      </c>
      <c r="U8" s="1">
        <v>1</v>
      </c>
      <c r="V8" s="1">
        <v>35</v>
      </c>
      <c r="W8" s="1">
        <v>20591</v>
      </c>
      <c r="X8" s="1">
        <v>45657</v>
      </c>
      <c r="AK8" s="7"/>
      <c r="AL8" s="7"/>
    </row>
    <row r="9" spans="1:40" x14ac:dyDescent="0.35">
      <c r="A9" s="2">
        <v>1</v>
      </c>
      <c r="B9" s="15">
        <v>0.67708333333333337</v>
      </c>
      <c r="C9" s="21" t="s">
        <v>131</v>
      </c>
      <c r="D9" s="1" t="s">
        <v>137</v>
      </c>
      <c r="E9" s="1">
        <v>70</v>
      </c>
      <c r="F9" s="1" t="s">
        <v>150</v>
      </c>
      <c r="G9" s="1">
        <v>21</v>
      </c>
      <c r="H9" s="1">
        <v>70</v>
      </c>
      <c r="J9" s="1" t="s">
        <v>151</v>
      </c>
      <c r="K9" s="1" t="s">
        <v>148</v>
      </c>
      <c r="M9" s="1" t="s">
        <v>145</v>
      </c>
      <c r="N9" s="1" t="s">
        <v>145</v>
      </c>
      <c r="P9" s="1" t="s">
        <v>135</v>
      </c>
      <c r="Q9" s="1" t="s">
        <v>136</v>
      </c>
      <c r="U9" s="1">
        <v>1</v>
      </c>
      <c r="V9" s="1">
        <v>35</v>
      </c>
      <c r="W9" s="1">
        <v>20591</v>
      </c>
      <c r="X9" s="1">
        <v>45657</v>
      </c>
      <c r="AK9" s="7"/>
      <c r="AL9" s="7"/>
    </row>
    <row r="10" spans="1:40" x14ac:dyDescent="0.35">
      <c r="A10" s="2">
        <v>1</v>
      </c>
      <c r="B10" s="15">
        <v>0.67083333333333328</v>
      </c>
      <c r="C10" s="21" t="s">
        <v>131</v>
      </c>
      <c r="D10" s="1" t="s">
        <v>132</v>
      </c>
      <c r="E10" s="1">
        <v>17</v>
      </c>
      <c r="F10" s="1" t="s">
        <v>152</v>
      </c>
      <c r="G10" s="1">
        <v>48</v>
      </c>
      <c r="H10" s="1">
        <v>11</v>
      </c>
      <c r="I10" s="1">
        <v>48</v>
      </c>
      <c r="J10" s="1" t="s">
        <v>144</v>
      </c>
      <c r="K10" s="1" t="s">
        <v>153</v>
      </c>
      <c r="L10" s="1" t="s">
        <v>153</v>
      </c>
      <c r="M10" s="1" t="s">
        <v>145</v>
      </c>
      <c r="N10" s="1" t="s">
        <v>145</v>
      </c>
      <c r="P10" s="1" t="s">
        <v>140</v>
      </c>
      <c r="Q10" s="1" t="s">
        <v>146</v>
      </c>
      <c r="R10" s="1" t="s">
        <v>147</v>
      </c>
      <c r="U10" s="1">
        <v>1</v>
      </c>
      <c r="V10" s="1">
        <v>33</v>
      </c>
      <c r="W10" s="1">
        <v>20591</v>
      </c>
      <c r="X10" s="1">
        <v>45657</v>
      </c>
      <c r="AK10" s="7"/>
      <c r="AL10" s="7"/>
    </row>
    <row r="11" spans="1:40" x14ac:dyDescent="0.35">
      <c r="A11" s="2">
        <v>1</v>
      </c>
      <c r="B11" s="15">
        <v>0.64722222222222225</v>
      </c>
      <c r="C11" s="21" t="s">
        <v>131</v>
      </c>
      <c r="D11" s="1" t="s">
        <v>137</v>
      </c>
      <c r="E11" s="1">
        <v>9</v>
      </c>
      <c r="F11" s="1" t="s">
        <v>133</v>
      </c>
      <c r="G11" s="1">
        <v>95</v>
      </c>
      <c r="H11" s="1">
        <v>61</v>
      </c>
      <c r="J11" s="1" t="s">
        <v>154</v>
      </c>
      <c r="K11" s="1" t="s">
        <v>153</v>
      </c>
      <c r="M11" s="1" t="s">
        <v>134</v>
      </c>
      <c r="N11" s="1" t="s">
        <v>134</v>
      </c>
      <c r="P11" s="1" t="s">
        <v>140</v>
      </c>
      <c r="Q11" s="1" t="s">
        <v>146</v>
      </c>
      <c r="R11" s="1" t="s">
        <v>147</v>
      </c>
      <c r="U11" s="1">
        <v>1</v>
      </c>
      <c r="V11" s="1">
        <v>35</v>
      </c>
      <c r="W11" s="1">
        <v>20591</v>
      </c>
      <c r="X11" s="1">
        <v>45657</v>
      </c>
      <c r="AK11" s="7"/>
      <c r="AL11" s="7"/>
    </row>
    <row r="12" spans="1:40" x14ac:dyDescent="0.35">
      <c r="A12" s="2">
        <v>1</v>
      </c>
      <c r="B12" s="15">
        <v>0.61319444444444449</v>
      </c>
      <c r="C12" s="21" t="s">
        <v>131</v>
      </c>
      <c r="D12" s="1" t="s">
        <v>137</v>
      </c>
      <c r="E12" s="1">
        <v>7</v>
      </c>
      <c r="F12" s="1" t="s">
        <v>155</v>
      </c>
      <c r="G12" s="1">
        <v>15</v>
      </c>
      <c r="H12" s="1">
        <v>48</v>
      </c>
      <c r="I12" s="1">
        <v>15</v>
      </c>
      <c r="J12" s="1" t="s">
        <v>148</v>
      </c>
      <c r="K12" s="1" t="s">
        <v>156</v>
      </c>
      <c r="L12" s="1" t="s">
        <v>153</v>
      </c>
      <c r="N12" s="1" t="s">
        <v>134</v>
      </c>
      <c r="P12" s="1" t="s">
        <v>149</v>
      </c>
      <c r="Q12" s="1" t="s">
        <v>141</v>
      </c>
      <c r="R12" s="1" t="s">
        <v>157</v>
      </c>
      <c r="U12" s="1">
        <v>1</v>
      </c>
      <c r="V12" s="1">
        <v>35</v>
      </c>
      <c r="W12" s="1">
        <v>20591</v>
      </c>
      <c r="X12" s="1">
        <v>45657</v>
      </c>
      <c r="AK12" s="7"/>
      <c r="AL12" s="7"/>
    </row>
    <row r="13" spans="1:40" x14ac:dyDescent="0.35">
      <c r="A13" s="7">
        <v>1</v>
      </c>
      <c r="B13" s="15">
        <v>0.60624999999999996</v>
      </c>
      <c r="C13" s="21" t="s">
        <v>131</v>
      </c>
      <c r="D13" s="1" t="s">
        <v>137</v>
      </c>
      <c r="E13" s="1">
        <v>7</v>
      </c>
      <c r="F13" s="1" t="s">
        <v>133</v>
      </c>
      <c r="G13" s="1">
        <v>71</v>
      </c>
      <c r="J13" s="1" t="s">
        <v>158</v>
      </c>
      <c r="N13" s="1" t="s">
        <v>134</v>
      </c>
      <c r="Q13" s="1" t="s">
        <v>136</v>
      </c>
      <c r="R13" s="1" t="s">
        <v>159</v>
      </c>
      <c r="U13" s="1">
        <v>1</v>
      </c>
      <c r="V13" s="1">
        <v>35</v>
      </c>
      <c r="W13" s="1">
        <v>20591</v>
      </c>
      <c r="X13" s="1">
        <v>45657</v>
      </c>
      <c r="AK13" s="7"/>
      <c r="AL13" s="7"/>
    </row>
    <row r="14" spans="1:40" x14ac:dyDescent="0.35">
      <c r="A14" s="2">
        <v>1</v>
      </c>
      <c r="B14" s="15">
        <v>0.5805555555555556</v>
      </c>
      <c r="C14" s="21" t="s">
        <v>131</v>
      </c>
      <c r="D14" s="1" t="s">
        <v>132</v>
      </c>
      <c r="E14" s="1">
        <v>15</v>
      </c>
      <c r="F14" s="1" t="s">
        <v>133</v>
      </c>
      <c r="G14" s="1">
        <v>58</v>
      </c>
      <c r="H14" s="1">
        <v>15</v>
      </c>
      <c r="J14" s="1" t="s">
        <v>160</v>
      </c>
      <c r="K14" s="1" t="s">
        <v>156</v>
      </c>
      <c r="M14" s="1" t="s">
        <v>134</v>
      </c>
      <c r="P14" s="1" t="s">
        <v>149</v>
      </c>
      <c r="Q14" s="1" t="s">
        <v>136</v>
      </c>
      <c r="U14" s="1">
        <v>1</v>
      </c>
      <c r="V14" s="1">
        <v>33</v>
      </c>
      <c r="W14" s="1">
        <v>20591</v>
      </c>
      <c r="X14" s="1">
        <v>45657</v>
      </c>
      <c r="AK14" s="7"/>
      <c r="AL14" s="7"/>
    </row>
    <row r="15" spans="1:40" x14ac:dyDescent="0.35">
      <c r="A15" s="2">
        <v>1</v>
      </c>
      <c r="B15" s="15">
        <v>0.54027777777777775</v>
      </c>
      <c r="C15" s="21" t="s">
        <v>131</v>
      </c>
      <c r="D15" s="1" t="s">
        <v>132</v>
      </c>
      <c r="E15" s="1">
        <v>40</v>
      </c>
      <c r="F15" s="1" t="s">
        <v>161</v>
      </c>
      <c r="G15" s="1">
        <v>8</v>
      </c>
      <c r="H15" s="1">
        <v>71</v>
      </c>
      <c r="J15" s="1" t="s">
        <v>155</v>
      </c>
      <c r="K15" s="1" t="s">
        <v>156</v>
      </c>
      <c r="P15" s="1" t="s">
        <v>149</v>
      </c>
      <c r="Q15" s="1" t="s">
        <v>136</v>
      </c>
      <c r="U15" s="1">
        <v>1</v>
      </c>
      <c r="V15" s="1">
        <v>33</v>
      </c>
      <c r="W15" s="1">
        <v>20591</v>
      </c>
      <c r="X15" s="1">
        <v>45657</v>
      </c>
      <c r="AK15" s="7"/>
      <c r="AL15" s="7"/>
    </row>
    <row r="16" spans="1:40" x14ac:dyDescent="0.35">
      <c r="A16" s="2">
        <v>1</v>
      </c>
      <c r="B16" s="15">
        <v>0.41805555555555557</v>
      </c>
      <c r="C16" s="21" t="s">
        <v>131</v>
      </c>
      <c r="D16" s="1" t="s">
        <v>132</v>
      </c>
      <c r="E16" s="1">
        <v>58</v>
      </c>
      <c r="F16" s="1" t="s">
        <v>133</v>
      </c>
      <c r="G16" s="1">
        <v>92</v>
      </c>
      <c r="J16" s="1" t="s">
        <v>156</v>
      </c>
      <c r="P16" s="1" t="s">
        <v>135</v>
      </c>
      <c r="Q16" s="1" t="s">
        <v>136</v>
      </c>
      <c r="U16" s="1">
        <v>1</v>
      </c>
      <c r="V16" s="1">
        <v>33</v>
      </c>
      <c r="W16" s="1">
        <v>20591</v>
      </c>
      <c r="X16" s="1">
        <v>45657</v>
      </c>
      <c r="AK16" s="7"/>
      <c r="AL16" s="7"/>
    </row>
    <row r="17" spans="1:38" x14ac:dyDescent="0.35">
      <c r="A17" s="2">
        <v>1</v>
      </c>
      <c r="B17" s="15">
        <v>0.33402777777777776</v>
      </c>
      <c r="C17" s="21" t="s">
        <v>131</v>
      </c>
      <c r="D17" s="1" t="s">
        <v>132</v>
      </c>
      <c r="E17" s="1">
        <v>17</v>
      </c>
      <c r="F17" s="1" t="s">
        <v>152</v>
      </c>
      <c r="G17" s="1">
        <v>28</v>
      </c>
      <c r="J17" s="1" t="s">
        <v>153</v>
      </c>
      <c r="M17" s="1" t="s">
        <v>134</v>
      </c>
      <c r="N17" s="1" t="s">
        <v>134</v>
      </c>
      <c r="P17" s="1" t="s">
        <v>140</v>
      </c>
      <c r="Q17" s="1" t="s">
        <v>146</v>
      </c>
      <c r="R17" s="1" t="s">
        <v>147</v>
      </c>
      <c r="S17" s="1" t="s">
        <v>162</v>
      </c>
      <c r="U17" s="1">
        <v>1</v>
      </c>
      <c r="V17" s="1">
        <v>33</v>
      </c>
      <c r="W17" s="1">
        <v>20591</v>
      </c>
      <c r="X17" s="1">
        <v>45657</v>
      </c>
      <c r="AK17" s="7"/>
      <c r="AL17" s="7"/>
    </row>
    <row r="18" spans="1:38" x14ac:dyDescent="0.35">
      <c r="A18" s="2">
        <v>1</v>
      </c>
      <c r="B18" s="15">
        <v>0.23958333333333334</v>
      </c>
      <c r="C18" s="21" t="s">
        <v>131</v>
      </c>
      <c r="D18" s="1" t="s">
        <v>132</v>
      </c>
      <c r="E18" s="1">
        <v>45</v>
      </c>
      <c r="F18" s="1" t="s">
        <v>133</v>
      </c>
      <c r="G18" s="1">
        <v>21</v>
      </c>
      <c r="H18" s="1">
        <v>92</v>
      </c>
      <c r="J18" s="1" t="s">
        <v>144</v>
      </c>
      <c r="K18" s="1" t="s">
        <v>156</v>
      </c>
      <c r="N18" s="1" t="s">
        <v>134</v>
      </c>
      <c r="P18" s="1" t="s">
        <v>135</v>
      </c>
      <c r="Q18" s="1" t="s">
        <v>136</v>
      </c>
      <c r="U18" s="1">
        <v>1</v>
      </c>
      <c r="V18" s="1">
        <v>33</v>
      </c>
      <c r="W18" s="1">
        <v>20591</v>
      </c>
      <c r="X18" s="1">
        <v>45657</v>
      </c>
      <c r="AK18" s="7"/>
      <c r="AL18" s="7"/>
    </row>
    <row r="19" spans="1:38" x14ac:dyDescent="0.35">
      <c r="A19" s="7">
        <v>1</v>
      </c>
      <c r="B19" s="15">
        <v>0.2388888888888889</v>
      </c>
      <c r="C19" s="21" t="s">
        <v>131</v>
      </c>
      <c r="D19" s="1" t="s">
        <v>132</v>
      </c>
      <c r="E19" s="1">
        <v>45</v>
      </c>
      <c r="F19" s="1" t="s">
        <v>140</v>
      </c>
      <c r="P19" s="1" t="s">
        <v>135</v>
      </c>
      <c r="Q19" s="1" t="s">
        <v>136</v>
      </c>
      <c r="U19" s="1">
        <v>1</v>
      </c>
      <c r="V19" s="1">
        <v>33</v>
      </c>
      <c r="W19" s="1">
        <v>20591</v>
      </c>
      <c r="X19" s="1">
        <v>45657</v>
      </c>
      <c r="AK19" s="7"/>
      <c r="AL19" s="7"/>
    </row>
    <row r="20" spans="1:38" x14ac:dyDescent="0.35">
      <c r="A20" s="2">
        <v>1</v>
      </c>
      <c r="B20" s="15">
        <v>0.17986111111111111</v>
      </c>
      <c r="C20" s="21" t="s">
        <v>131</v>
      </c>
      <c r="D20" s="1" t="s">
        <v>132</v>
      </c>
      <c r="E20" s="1">
        <v>51</v>
      </c>
      <c r="F20" s="1" t="s">
        <v>133</v>
      </c>
      <c r="P20" s="1" t="s">
        <v>140</v>
      </c>
      <c r="Q20" s="1" t="s">
        <v>141</v>
      </c>
      <c r="R20" s="1" t="s">
        <v>142</v>
      </c>
      <c r="U20" s="1">
        <v>1</v>
      </c>
      <c r="V20" s="1">
        <v>33</v>
      </c>
      <c r="W20" s="1">
        <v>20591</v>
      </c>
      <c r="X20" s="1">
        <v>45657</v>
      </c>
      <c r="AK20" s="7"/>
      <c r="AL20" s="7"/>
    </row>
    <row r="21" spans="1:38" x14ac:dyDescent="0.35">
      <c r="A21" s="7">
        <v>1</v>
      </c>
      <c r="B21" s="15">
        <v>0.13472222222222222</v>
      </c>
      <c r="C21" s="21" t="s">
        <v>131</v>
      </c>
      <c r="D21" s="1" t="s">
        <v>132</v>
      </c>
      <c r="E21" s="1">
        <v>13</v>
      </c>
      <c r="F21" s="1" t="s">
        <v>133</v>
      </c>
      <c r="G21" s="1">
        <v>48</v>
      </c>
      <c r="J21" s="1" t="s">
        <v>160</v>
      </c>
      <c r="N21" s="1" t="s">
        <v>134</v>
      </c>
      <c r="P21" s="1" t="s">
        <v>140</v>
      </c>
      <c r="Q21" s="1" t="s">
        <v>141</v>
      </c>
      <c r="R21" s="1" t="s">
        <v>142</v>
      </c>
      <c r="U21" s="1">
        <v>1</v>
      </c>
      <c r="V21" s="1">
        <v>33</v>
      </c>
      <c r="W21" s="1">
        <v>20591</v>
      </c>
      <c r="X21" s="1">
        <v>45657</v>
      </c>
      <c r="AK21" s="7"/>
      <c r="AL21" s="7"/>
    </row>
    <row r="22" spans="1:38" x14ac:dyDescent="0.35">
      <c r="A22" s="7">
        <v>1</v>
      </c>
      <c r="B22" s="15">
        <v>0.11388888888888889</v>
      </c>
      <c r="C22" s="21" t="s">
        <v>131</v>
      </c>
      <c r="D22" s="1" t="s">
        <v>132</v>
      </c>
      <c r="E22" s="1">
        <v>48</v>
      </c>
      <c r="F22" s="1" t="s">
        <v>143</v>
      </c>
      <c r="N22" s="1" t="s">
        <v>134</v>
      </c>
      <c r="P22" s="1" t="s">
        <v>135</v>
      </c>
      <c r="Q22" s="1" t="s">
        <v>136</v>
      </c>
      <c r="U22" s="1">
        <v>1</v>
      </c>
      <c r="V22" s="1">
        <v>33</v>
      </c>
      <c r="W22" s="1">
        <v>20591</v>
      </c>
      <c r="X22" s="1">
        <v>45657</v>
      </c>
      <c r="AK22" s="7"/>
      <c r="AL22" s="7"/>
    </row>
    <row r="23" spans="1:38" x14ac:dyDescent="0.35">
      <c r="A23" s="2">
        <v>1</v>
      </c>
      <c r="B23" s="15">
        <v>7.6388888888888886E-3</v>
      </c>
      <c r="C23" s="21" t="s">
        <v>131</v>
      </c>
      <c r="D23" s="1" t="s">
        <v>137</v>
      </c>
      <c r="E23" s="1">
        <v>15</v>
      </c>
      <c r="F23" s="1" t="s">
        <v>133</v>
      </c>
      <c r="G23" s="1">
        <v>21</v>
      </c>
      <c r="J23" s="1" t="s">
        <v>144</v>
      </c>
      <c r="M23" s="1" t="s">
        <v>134</v>
      </c>
      <c r="N23" s="1" t="s">
        <v>134</v>
      </c>
      <c r="P23" s="1" t="s">
        <v>135</v>
      </c>
      <c r="Q23" s="1" t="s">
        <v>136</v>
      </c>
      <c r="T23" s="1" t="s">
        <v>134</v>
      </c>
      <c r="U23" s="1">
        <v>1</v>
      </c>
      <c r="V23" s="1">
        <v>35</v>
      </c>
      <c r="W23" s="1">
        <v>20591</v>
      </c>
      <c r="X23" s="1">
        <v>45657</v>
      </c>
      <c r="AK23" s="7"/>
      <c r="AL23" s="7"/>
    </row>
    <row r="24" spans="1:38" x14ac:dyDescent="0.35">
      <c r="A24" s="7">
        <v>2</v>
      </c>
      <c r="B24" s="15">
        <v>0.81736111111111109</v>
      </c>
      <c r="C24" s="21" t="s">
        <v>131</v>
      </c>
      <c r="D24" s="1" t="s">
        <v>132</v>
      </c>
      <c r="E24" s="1">
        <v>13</v>
      </c>
      <c r="F24" s="1" t="s">
        <v>163</v>
      </c>
      <c r="G24" s="1">
        <v>45</v>
      </c>
      <c r="J24" s="1" t="s">
        <v>144</v>
      </c>
      <c r="N24" s="1" t="s">
        <v>134</v>
      </c>
      <c r="P24" s="1" t="s">
        <v>135</v>
      </c>
      <c r="Q24" s="1" t="s">
        <v>136</v>
      </c>
      <c r="U24" s="1">
        <v>2</v>
      </c>
      <c r="V24" s="1">
        <v>33</v>
      </c>
      <c r="W24" s="1">
        <v>20591</v>
      </c>
      <c r="X24" s="1">
        <v>45657</v>
      </c>
      <c r="AK24" s="7"/>
      <c r="AL24" s="7"/>
    </row>
    <row r="25" spans="1:38" x14ac:dyDescent="0.35">
      <c r="A25" s="2">
        <v>2</v>
      </c>
      <c r="B25" s="15">
        <v>0.78402777777777777</v>
      </c>
      <c r="C25" s="21" t="s">
        <v>131</v>
      </c>
      <c r="D25" s="1" t="s">
        <v>132</v>
      </c>
      <c r="E25" s="1">
        <v>11</v>
      </c>
      <c r="F25" s="1" t="s">
        <v>133</v>
      </c>
      <c r="P25" s="1" t="s">
        <v>140</v>
      </c>
      <c r="Q25" s="1" t="s">
        <v>141</v>
      </c>
      <c r="R25" s="1" t="s">
        <v>164</v>
      </c>
      <c r="U25" s="1">
        <v>2</v>
      </c>
      <c r="V25" s="1">
        <v>33</v>
      </c>
      <c r="W25" s="1">
        <v>20591</v>
      </c>
      <c r="X25" s="1">
        <v>45657</v>
      </c>
      <c r="AK25" s="7"/>
      <c r="AL25" s="7"/>
    </row>
    <row r="26" spans="1:38" x14ac:dyDescent="0.35">
      <c r="A26" s="7">
        <v>2</v>
      </c>
      <c r="B26" s="15">
        <v>0.75763888888888886</v>
      </c>
      <c r="C26" s="21" t="s">
        <v>131</v>
      </c>
      <c r="D26" s="1" t="s">
        <v>132</v>
      </c>
      <c r="E26" s="1">
        <v>71</v>
      </c>
      <c r="F26" s="1" t="s">
        <v>133</v>
      </c>
      <c r="G26" s="1">
        <v>40</v>
      </c>
      <c r="J26" s="1" t="s">
        <v>148</v>
      </c>
      <c r="P26" s="1" t="s">
        <v>135</v>
      </c>
      <c r="Q26" s="1" t="s">
        <v>136</v>
      </c>
      <c r="U26" s="1">
        <v>2</v>
      </c>
      <c r="V26" s="1">
        <v>33</v>
      </c>
      <c r="W26" s="1">
        <v>20591</v>
      </c>
      <c r="X26" s="1">
        <v>45657</v>
      </c>
      <c r="AK26" s="7"/>
      <c r="AL26" s="7"/>
    </row>
    <row r="27" spans="1:38" x14ac:dyDescent="0.35">
      <c r="A27" s="2">
        <v>2</v>
      </c>
      <c r="B27" s="15">
        <v>0.74027777777777781</v>
      </c>
      <c r="C27" s="21" t="s">
        <v>131</v>
      </c>
      <c r="D27" s="1" t="s">
        <v>137</v>
      </c>
      <c r="E27" s="1">
        <v>71</v>
      </c>
      <c r="F27" s="1" t="s">
        <v>161</v>
      </c>
      <c r="G27" s="1">
        <v>14</v>
      </c>
      <c r="J27" s="1" t="s">
        <v>155</v>
      </c>
      <c r="P27" s="1" t="s">
        <v>135</v>
      </c>
      <c r="Q27" s="1" t="s">
        <v>136</v>
      </c>
      <c r="U27" s="1">
        <v>2</v>
      </c>
      <c r="V27" s="1">
        <v>35</v>
      </c>
      <c r="W27" s="1">
        <v>20591</v>
      </c>
      <c r="X27" s="1">
        <v>45657</v>
      </c>
      <c r="AK27" s="7"/>
      <c r="AL27" s="7"/>
    </row>
    <row r="28" spans="1:38" x14ac:dyDescent="0.35">
      <c r="A28" s="7">
        <v>2</v>
      </c>
      <c r="B28" s="14">
        <v>0.69166666666666665</v>
      </c>
      <c r="C28" s="21" t="s">
        <v>131</v>
      </c>
      <c r="D28" s="1" t="s">
        <v>132</v>
      </c>
      <c r="E28" s="1">
        <v>92</v>
      </c>
      <c r="F28" s="1" t="s">
        <v>133</v>
      </c>
      <c r="G28" s="1">
        <v>15</v>
      </c>
      <c r="H28" s="1">
        <v>21</v>
      </c>
      <c r="I28" s="1">
        <v>45</v>
      </c>
      <c r="J28" s="1" t="s">
        <v>148</v>
      </c>
      <c r="K28" s="1" t="s">
        <v>165</v>
      </c>
      <c r="L28" s="1" t="s">
        <v>166</v>
      </c>
      <c r="P28" s="1" t="s">
        <v>149</v>
      </c>
      <c r="Q28" s="1" t="s">
        <v>141</v>
      </c>
      <c r="R28" s="1" t="s">
        <v>142</v>
      </c>
      <c r="U28" s="1">
        <v>2</v>
      </c>
      <c r="V28" s="1">
        <v>33</v>
      </c>
      <c r="W28" s="1">
        <v>20591</v>
      </c>
      <c r="X28" s="1">
        <v>45657</v>
      </c>
      <c r="AK28" s="7"/>
      <c r="AL28" s="7"/>
    </row>
    <row r="29" spans="1:38" x14ac:dyDescent="0.35">
      <c r="A29" s="7">
        <v>2</v>
      </c>
      <c r="B29" s="14">
        <v>0.68472222222222223</v>
      </c>
      <c r="C29" s="21" t="s">
        <v>131</v>
      </c>
      <c r="D29" s="1" t="s">
        <v>132</v>
      </c>
      <c r="E29" s="1">
        <v>15</v>
      </c>
      <c r="F29" s="1" t="s">
        <v>133</v>
      </c>
      <c r="G29" s="1">
        <v>8</v>
      </c>
      <c r="J29" s="1" t="s">
        <v>160</v>
      </c>
      <c r="P29" s="1" t="s">
        <v>149</v>
      </c>
      <c r="Q29" s="1" t="s">
        <v>136</v>
      </c>
      <c r="U29" s="1">
        <v>2</v>
      </c>
      <c r="V29" s="1">
        <v>33</v>
      </c>
      <c r="W29" s="1">
        <v>20591</v>
      </c>
      <c r="X29" s="1">
        <v>45657</v>
      </c>
      <c r="AK29" s="7"/>
      <c r="AL29" s="7"/>
    </row>
    <row r="30" spans="1:38" x14ac:dyDescent="0.35">
      <c r="A30" s="2">
        <v>2</v>
      </c>
      <c r="B30" s="15">
        <v>0.58819444444444446</v>
      </c>
      <c r="C30" s="21" t="s">
        <v>131</v>
      </c>
      <c r="D30" s="1" t="s">
        <v>137</v>
      </c>
      <c r="E30" s="1">
        <v>9</v>
      </c>
      <c r="F30" s="1" t="s">
        <v>143</v>
      </c>
      <c r="G30" s="1">
        <v>70</v>
      </c>
      <c r="H30" s="1">
        <v>2</v>
      </c>
      <c r="J30" s="1" t="s">
        <v>167</v>
      </c>
      <c r="K30" s="1" t="s">
        <v>167</v>
      </c>
      <c r="M30" s="1" t="s">
        <v>145</v>
      </c>
      <c r="N30" s="1" t="s">
        <v>145</v>
      </c>
      <c r="P30" s="1" t="s">
        <v>140</v>
      </c>
      <c r="Q30" s="1" t="s">
        <v>146</v>
      </c>
      <c r="R30" s="1" t="s">
        <v>147</v>
      </c>
      <c r="S30" s="1" t="s">
        <v>168</v>
      </c>
      <c r="U30" s="1">
        <v>2</v>
      </c>
      <c r="V30" s="1">
        <v>35</v>
      </c>
      <c r="W30" s="1">
        <v>20591</v>
      </c>
      <c r="X30" s="1">
        <v>45657</v>
      </c>
      <c r="AK30" s="7"/>
      <c r="AL30" s="7"/>
    </row>
    <row r="31" spans="1:38" x14ac:dyDescent="0.35">
      <c r="A31" s="7">
        <v>2</v>
      </c>
      <c r="B31" s="14">
        <v>0.56597222222222221</v>
      </c>
      <c r="C31" s="21" t="s">
        <v>131</v>
      </c>
      <c r="D31" s="1" t="s">
        <v>137</v>
      </c>
      <c r="E31" s="1">
        <v>22</v>
      </c>
      <c r="F31" s="1" t="s">
        <v>133</v>
      </c>
      <c r="G31" s="1">
        <v>7</v>
      </c>
      <c r="H31" s="1">
        <v>26</v>
      </c>
      <c r="I31" s="1">
        <v>22</v>
      </c>
      <c r="J31" s="1" t="s">
        <v>138</v>
      </c>
      <c r="K31" s="1" t="s">
        <v>148</v>
      </c>
      <c r="L31" s="1" t="s">
        <v>167</v>
      </c>
      <c r="M31" s="1" t="s">
        <v>134</v>
      </c>
      <c r="N31" s="1" t="s">
        <v>134</v>
      </c>
      <c r="P31" s="1" t="s">
        <v>140</v>
      </c>
      <c r="Q31" s="1" t="s">
        <v>146</v>
      </c>
      <c r="R31" s="1" t="s">
        <v>147</v>
      </c>
      <c r="U31" s="1">
        <v>2</v>
      </c>
      <c r="V31" s="1">
        <v>35</v>
      </c>
      <c r="W31" s="1">
        <v>20591</v>
      </c>
      <c r="X31" s="1">
        <v>45657</v>
      </c>
      <c r="AK31" s="7"/>
      <c r="AL31" s="7"/>
    </row>
    <row r="32" spans="1:38" x14ac:dyDescent="0.35">
      <c r="A32" s="2">
        <v>2</v>
      </c>
      <c r="B32" s="15">
        <v>0.5444444444444444</v>
      </c>
      <c r="C32" s="21" t="s">
        <v>131</v>
      </c>
      <c r="D32" s="1" t="s">
        <v>137</v>
      </c>
      <c r="E32" s="1">
        <v>48</v>
      </c>
      <c r="F32" s="1" t="s">
        <v>143</v>
      </c>
      <c r="P32" s="1" t="s">
        <v>135</v>
      </c>
      <c r="Q32" s="1" t="s">
        <v>136</v>
      </c>
      <c r="U32" s="1">
        <v>2</v>
      </c>
      <c r="V32" s="1">
        <v>35</v>
      </c>
      <c r="W32" s="1">
        <v>20591</v>
      </c>
      <c r="X32" s="1">
        <v>45657</v>
      </c>
      <c r="AK32" s="7"/>
      <c r="AL32" s="7"/>
    </row>
    <row r="33" spans="1:38" x14ac:dyDescent="0.35">
      <c r="A33" s="2">
        <v>2</v>
      </c>
      <c r="B33" s="15">
        <v>0.52569444444444446</v>
      </c>
      <c r="C33" s="21" t="s">
        <v>131</v>
      </c>
      <c r="D33" s="1" t="s">
        <v>137</v>
      </c>
      <c r="E33" s="1">
        <v>27</v>
      </c>
      <c r="F33" s="1" t="s">
        <v>133</v>
      </c>
      <c r="G33" s="1">
        <v>48</v>
      </c>
      <c r="J33" s="1" t="s">
        <v>169</v>
      </c>
      <c r="N33" s="1" t="s">
        <v>134</v>
      </c>
      <c r="P33" s="1" t="s">
        <v>135</v>
      </c>
      <c r="Q33" s="1" t="s">
        <v>136</v>
      </c>
      <c r="U33" s="1">
        <v>2</v>
      </c>
      <c r="V33" s="1">
        <v>35</v>
      </c>
      <c r="W33" s="1">
        <v>20591</v>
      </c>
      <c r="X33" s="1">
        <v>45657</v>
      </c>
      <c r="AK33" s="7"/>
      <c r="AL33" s="7"/>
    </row>
    <row r="34" spans="1:38" x14ac:dyDescent="0.35">
      <c r="A34" s="7">
        <v>2</v>
      </c>
      <c r="B34" s="15">
        <v>0.47569444444444442</v>
      </c>
      <c r="C34" s="21" t="s">
        <v>131</v>
      </c>
      <c r="D34" s="1" t="s">
        <v>137</v>
      </c>
      <c r="E34" s="1">
        <v>21</v>
      </c>
      <c r="F34" s="1" t="s">
        <v>143</v>
      </c>
      <c r="G34" s="1">
        <v>70</v>
      </c>
      <c r="J34" s="1" t="s">
        <v>148</v>
      </c>
      <c r="P34" s="1" t="s">
        <v>135</v>
      </c>
      <c r="Q34" s="1" t="s">
        <v>136</v>
      </c>
      <c r="U34" s="1">
        <v>2</v>
      </c>
      <c r="V34" s="1">
        <v>35</v>
      </c>
      <c r="W34" s="1">
        <v>20591</v>
      </c>
      <c r="X34" s="1">
        <v>45657</v>
      </c>
      <c r="AK34" s="7"/>
      <c r="AL34" s="7"/>
    </row>
    <row r="35" spans="1:38" x14ac:dyDescent="0.35">
      <c r="A35" s="2">
        <v>2</v>
      </c>
      <c r="B35" s="15">
        <v>0.47222222222222221</v>
      </c>
      <c r="C35" s="21" t="s">
        <v>131</v>
      </c>
      <c r="D35" s="1" t="s">
        <v>137</v>
      </c>
      <c r="E35" s="1">
        <v>14</v>
      </c>
      <c r="F35" s="1" t="s">
        <v>163</v>
      </c>
      <c r="G35" s="1">
        <v>70</v>
      </c>
      <c r="H35" s="1">
        <v>2</v>
      </c>
      <c r="J35" s="1" t="s">
        <v>148</v>
      </c>
      <c r="K35" s="1" t="s">
        <v>156</v>
      </c>
      <c r="N35" s="1" t="s">
        <v>134</v>
      </c>
      <c r="P35" s="1" t="s">
        <v>135</v>
      </c>
      <c r="Q35" s="1" t="s">
        <v>136</v>
      </c>
      <c r="U35" s="1">
        <v>2</v>
      </c>
      <c r="V35" s="1">
        <v>35</v>
      </c>
      <c r="W35" s="1">
        <v>20591</v>
      </c>
      <c r="X35" s="1">
        <v>45657</v>
      </c>
      <c r="AK35" s="7"/>
      <c r="AL35" s="7"/>
    </row>
    <row r="36" spans="1:38" x14ac:dyDescent="0.35">
      <c r="A36" s="7">
        <v>2</v>
      </c>
      <c r="B36" s="15">
        <v>0.43263888888888891</v>
      </c>
      <c r="C36" s="21" t="s">
        <v>170</v>
      </c>
      <c r="D36" s="1" t="s">
        <v>137</v>
      </c>
      <c r="E36" s="1">
        <v>48</v>
      </c>
      <c r="F36" s="1" t="s">
        <v>143</v>
      </c>
      <c r="G36" s="1">
        <v>9</v>
      </c>
      <c r="H36" s="1">
        <v>95</v>
      </c>
      <c r="I36" s="1">
        <v>27</v>
      </c>
      <c r="J36" s="1" t="s">
        <v>148</v>
      </c>
      <c r="K36" s="1" t="s">
        <v>148</v>
      </c>
      <c r="L36" s="1" t="s">
        <v>160</v>
      </c>
      <c r="M36" s="1" t="s">
        <v>145</v>
      </c>
      <c r="N36" s="1" t="s">
        <v>145</v>
      </c>
      <c r="P36" s="1" t="s">
        <v>149</v>
      </c>
      <c r="Q36" s="1" t="s">
        <v>136</v>
      </c>
      <c r="U36" s="1">
        <v>2</v>
      </c>
      <c r="V36" s="1">
        <v>35</v>
      </c>
      <c r="W36" s="1">
        <v>20591</v>
      </c>
      <c r="X36" s="1">
        <v>45657</v>
      </c>
      <c r="AK36" s="7"/>
      <c r="AL36" s="7"/>
    </row>
    <row r="37" spans="1:38" x14ac:dyDescent="0.35">
      <c r="A37" s="7">
        <v>2</v>
      </c>
      <c r="B37" s="15">
        <v>0.42499999999999999</v>
      </c>
      <c r="C37" s="21" t="s">
        <v>170</v>
      </c>
      <c r="D37" s="1" t="s">
        <v>137</v>
      </c>
      <c r="E37" s="1">
        <v>95</v>
      </c>
      <c r="F37" s="1" t="s">
        <v>150</v>
      </c>
      <c r="G37" s="1">
        <v>27</v>
      </c>
      <c r="H37" s="1">
        <v>9</v>
      </c>
      <c r="J37" s="1" t="s">
        <v>144</v>
      </c>
      <c r="K37" s="1" t="s">
        <v>156</v>
      </c>
      <c r="N37" s="1" t="s">
        <v>145</v>
      </c>
      <c r="O37" s="1" t="s">
        <v>145</v>
      </c>
      <c r="U37" s="1">
        <v>2</v>
      </c>
      <c r="V37" s="1">
        <v>35</v>
      </c>
      <c r="W37" s="1">
        <v>20591</v>
      </c>
      <c r="X37" s="1">
        <v>45657</v>
      </c>
      <c r="AK37" s="7"/>
      <c r="AL37" s="7"/>
    </row>
    <row r="38" spans="1:38" x14ac:dyDescent="0.35">
      <c r="A38" s="7">
        <v>2</v>
      </c>
      <c r="B38" s="15">
        <v>0.40625</v>
      </c>
      <c r="C38" s="21" t="s">
        <v>170</v>
      </c>
      <c r="D38" s="1" t="s">
        <v>137</v>
      </c>
      <c r="E38" s="1">
        <v>9</v>
      </c>
      <c r="F38" s="1" t="s">
        <v>163</v>
      </c>
      <c r="G38" s="1">
        <v>61</v>
      </c>
      <c r="H38" s="1">
        <v>48</v>
      </c>
      <c r="J38" s="1" t="s">
        <v>171</v>
      </c>
      <c r="K38" s="1" t="s">
        <v>144</v>
      </c>
      <c r="M38" s="1" t="s">
        <v>134</v>
      </c>
      <c r="N38" s="1" t="s">
        <v>134</v>
      </c>
      <c r="U38" s="1">
        <v>2</v>
      </c>
      <c r="V38" s="1">
        <v>35</v>
      </c>
      <c r="W38" s="1">
        <v>20591</v>
      </c>
      <c r="X38" s="1">
        <v>45657</v>
      </c>
      <c r="AK38" s="7"/>
      <c r="AL38" s="7"/>
    </row>
    <row r="39" spans="1:38" x14ac:dyDescent="0.35">
      <c r="A39" s="2">
        <v>2</v>
      </c>
      <c r="B39" s="15">
        <v>0.36180555555555555</v>
      </c>
      <c r="C39" s="21" t="s">
        <v>131</v>
      </c>
      <c r="D39" s="1" t="s">
        <v>137</v>
      </c>
      <c r="E39" s="1">
        <v>26</v>
      </c>
      <c r="F39" s="1" t="s">
        <v>133</v>
      </c>
      <c r="G39" s="1">
        <v>71</v>
      </c>
      <c r="H39" s="1">
        <v>7</v>
      </c>
      <c r="I39" s="1">
        <v>27</v>
      </c>
      <c r="J39" s="1" t="s">
        <v>148</v>
      </c>
      <c r="K39" s="1" t="s">
        <v>172</v>
      </c>
      <c r="L39" s="1" t="s">
        <v>166</v>
      </c>
      <c r="M39" s="1" t="s">
        <v>134</v>
      </c>
      <c r="N39" s="1" t="s">
        <v>134</v>
      </c>
      <c r="P39" s="1" t="s">
        <v>140</v>
      </c>
      <c r="Q39" s="1" t="s">
        <v>146</v>
      </c>
      <c r="R39" s="1" t="s">
        <v>173</v>
      </c>
      <c r="U39" s="1">
        <v>2</v>
      </c>
      <c r="V39" s="1">
        <v>35</v>
      </c>
      <c r="W39" s="1">
        <v>20591</v>
      </c>
      <c r="X39" s="1">
        <v>45657</v>
      </c>
      <c r="AK39" s="7"/>
      <c r="AL39" s="7"/>
    </row>
    <row r="40" spans="1:38" x14ac:dyDescent="0.35">
      <c r="A40" s="7">
        <v>2</v>
      </c>
      <c r="B40" s="15">
        <v>0.34583333333333333</v>
      </c>
      <c r="C40" s="21" t="s">
        <v>131</v>
      </c>
      <c r="D40" s="1" t="s">
        <v>137</v>
      </c>
      <c r="E40" s="1">
        <v>7</v>
      </c>
      <c r="F40" s="1" t="s">
        <v>133</v>
      </c>
      <c r="G40" s="1">
        <v>71</v>
      </c>
      <c r="H40" s="1">
        <v>15</v>
      </c>
      <c r="J40" s="1" t="s">
        <v>148</v>
      </c>
      <c r="K40" s="1" t="s">
        <v>148</v>
      </c>
      <c r="M40" s="1" t="s">
        <v>134</v>
      </c>
      <c r="P40" s="1" t="s">
        <v>149</v>
      </c>
      <c r="Q40" s="1" t="s">
        <v>136</v>
      </c>
      <c r="U40" s="1">
        <v>2</v>
      </c>
      <c r="V40" s="1">
        <v>35</v>
      </c>
      <c r="W40" s="1">
        <v>20591</v>
      </c>
      <c r="X40" s="1">
        <v>45657</v>
      </c>
      <c r="AK40" s="7"/>
      <c r="AL40" s="7"/>
    </row>
    <row r="41" spans="1:38" x14ac:dyDescent="0.35">
      <c r="A41" s="7">
        <v>2</v>
      </c>
      <c r="B41" s="14">
        <v>0.28333333333333333</v>
      </c>
      <c r="C41" s="21" t="s">
        <v>131</v>
      </c>
      <c r="D41" s="1" t="s">
        <v>137</v>
      </c>
      <c r="E41" s="1">
        <v>9</v>
      </c>
      <c r="F41" s="1" t="s">
        <v>143</v>
      </c>
      <c r="G41" s="1">
        <v>70</v>
      </c>
      <c r="J41" s="1" t="s">
        <v>151</v>
      </c>
      <c r="M41" s="1" t="s">
        <v>145</v>
      </c>
      <c r="N41" s="1" t="s">
        <v>145</v>
      </c>
      <c r="P41" s="1" t="s">
        <v>135</v>
      </c>
      <c r="Q41" s="1" t="s">
        <v>136</v>
      </c>
      <c r="U41" s="1">
        <v>2</v>
      </c>
      <c r="V41" s="1">
        <v>35</v>
      </c>
      <c r="W41" s="1">
        <v>20591</v>
      </c>
      <c r="X41" s="1">
        <v>45657</v>
      </c>
      <c r="AK41" s="7"/>
      <c r="AL41" s="7"/>
    </row>
    <row r="42" spans="1:38" x14ac:dyDescent="0.35">
      <c r="A42" s="2">
        <v>2</v>
      </c>
      <c r="B42" s="15">
        <v>0.22777777777777777</v>
      </c>
      <c r="C42" s="21" t="s">
        <v>131</v>
      </c>
      <c r="D42" s="1" t="s">
        <v>132</v>
      </c>
      <c r="E42" s="1">
        <v>20</v>
      </c>
      <c r="F42" s="1" t="s">
        <v>161</v>
      </c>
      <c r="G42" s="1">
        <v>21</v>
      </c>
      <c r="H42" s="1">
        <v>13</v>
      </c>
      <c r="J42" s="1" t="s">
        <v>155</v>
      </c>
      <c r="K42" s="1" t="s">
        <v>156</v>
      </c>
      <c r="P42" s="1" t="s">
        <v>140</v>
      </c>
      <c r="Q42" s="1" t="s">
        <v>141</v>
      </c>
      <c r="R42" s="1" t="s">
        <v>174</v>
      </c>
      <c r="U42" s="1">
        <v>2</v>
      </c>
      <c r="V42" s="1">
        <v>33</v>
      </c>
      <c r="W42" s="1">
        <v>20591</v>
      </c>
      <c r="X42" s="1">
        <v>45657</v>
      </c>
      <c r="AK42" s="7"/>
      <c r="AL42" s="7"/>
    </row>
    <row r="43" spans="1:38" x14ac:dyDescent="0.35">
      <c r="A43" s="7">
        <v>2</v>
      </c>
      <c r="B43" s="15">
        <v>0.1986111111111111</v>
      </c>
      <c r="C43" s="21" t="s">
        <v>131</v>
      </c>
      <c r="D43" s="1" t="s">
        <v>137</v>
      </c>
      <c r="E43" s="1">
        <v>70</v>
      </c>
      <c r="F43" s="1" t="s">
        <v>161</v>
      </c>
      <c r="G43" s="1">
        <v>2</v>
      </c>
      <c r="J43" s="1" t="s">
        <v>155</v>
      </c>
      <c r="P43" s="1" t="s">
        <v>135</v>
      </c>
      <c r="Q43" s="1" t="s">
        <v>136</v>
      </c>
      <c r="U43" s="1">
        <v>2</v>
      </c>
      <c r="V43" s="1">
        <v>35</v>
      </c>
      <c r="W43" s="1">
        <v>20591</v>
      </c>
      <c r="X43" s="1">
        <v>45657</v>
      </c>
      <c r="AK43" s="7"/>
      <c r="AL43" s="7"/>
    </row>
    <row r="44" spans="1:38" x14ac:dyDescent="0.35">
      <c r="A44" s="2">
        <v>2</v>
      </c>
      <c r="B44" s="15">
        <v>0.14791666666666667</v>
      </c>
      <c r="C44" s="21" t="s">
        <v>131</v>
      </c>
      <c r="D44" s="1" t="s">
        <v>132</v>
      </c>
      <c r="E44" s="1">
        <v>77</v>
      </c>
      <c r="F44" s="1" t="s">
        <v>133</v>
      </c>
      <c r="G44" s="1">
        <v>15</v>
      </c>
      <c r="J44" s="1" t="s">
        <v>171</v>
      </c>
      <c r="M44" s="1" t="s">
        <v>134</v>
      </c>
      <c r="N44" s="1" t="s">
        <v>134</v>
      </c>
      <c r="P44" s="1" t="s">
        <v>135</v>
      </c>
      <c r="Q44" s="1" t="s">
        <v>136</v>
      </c>
      <c r="U44" s="1">
        <v>2</v>
      </c>
      <c r="V44" s="1">
        <v>33</v>
      </c>
      <c r="W44" s="1">
        <v>20591</v>
      </c>
      <c r="X44" s="1">
        <v>45657</v>
      </c>
      <c r="AK44" s="7"/>
      <c r="AL44" s="7"/>
    </row>
    <row r="45" spans="1:38" x14ac:dyDescent="0.35">
      <c r="A45" s="7">
        <v>2</v>
      </c>
      <c r="B45" s="14">
        <v>0.1361111111111111</v>
      </c>
      <c r="C45" s="21" t="s">
        <v>131</v>
      </c>
      <c r="D45" s="1" t="s">
        <v>137</v>
      </c>
      <c r="E45" s="1">
        <v>55</v>
      </c>
      <c r="F45" s="1" t="s">
        <v>175</v>
      </c>
      <c r="G45" s="1">
        <v>71</v>
      </c>
      <c r="H45" s="1">
        <v>48</v>
      </c>
      <c r="I45" s="1">
        <v>27</v>
      </c>
      <c r="J45" s="1" t="s">
        <v>138</v>
      </c>
      <c r="K45" s="1" t="s">
        <v>144</v>
      </c>
      <c r="L45" s="1" t="s">
        <v>176</v>
      </c>
      <c r="P45" s="1" t="s">
        <v>140</v>
      </c>
      <c r="Q45" s="1" t="s">
        <v>146</v>
      </c>
      <c r="R45" s="1" t="s">
        <v>147</v>
      </c>
      <c r="U45" s="1">
        <v>2</v>
      </c>
      <c r="V45" s="1">
        <v>35</v>
      </c>
      <c r="W45" s="1">
        <v>20591</v>
      </c>
      <c r="X45" s="1">
        <v>45657</v>
      </c>
      <c r="AK45" s="7"/>
      <c r="AL45" s="7"/>
    </row>
    <row r="46" spans="1:38" x14ac:dyDescent="0.35">
      <c r="A46" s="7">
        <v>2</v>
      </c>
      <c r="B46" s="15">
        <v>0.10555555555555556</v>
      </c>
      <c r="C46" s="21" t="s">
        <v>131</v>
      </c>
      <c r="D46" s="1" t="s">
        <v>132</v>
      </c>
      <c r="E46" s="1">
        <v>13</v>
      </c>
      <c r="F46" s="1" t="s">
        <v>150</v>
      </c>
      <c r="G46" s="1">
        <v>14</v>
      </c>
      <c r="H46" s="1">
        <v>20</v>
      </c>
      <c r="J46" s="1" t="s">
        <v>171</v>
      </c>
      <c r="K46" s="1" t="s">
        <v>160</v>
      </c>
      <c r="M46" s="1" t="s">
        <v>145</v>
      </c>
      <c r="N46" s="1" t="s">
        <v>145</v>
      </c>
      <c r="P46" s="1" t="s">
        <v>135</v>
      </c>
      <c r="Q46" s="1" t="s">
        <v>136</v>
      </c>
      <c r="T46" s="1" t="s">
        <v>145</v>
      </c>
      <c r="U46" s="1">
        <v>2</v>
      </c>
      <c r="V46" s="1">
        <v>33</v>
      </c>
      <c r="W46" s="1">
        <v>20591</v>
      </c>
      <c r="X46" s="1">
        <v>45657</v>
      </c>
      <c r="AK46" s="7"/>
      <c r="AL46" s="7"/>
    </row>
    <row r="47" spans="1:38" x14ac:dyDescent="0.35">
      <c r="A47" s="2">
        <v>2</v>
      </c>
      <c r="B47" s="15">
        <v>7.5694444444444439E-2</v>
      </c>
      <c r="C47" s="21" t="s">
        <v>131</v>
      </c>
      <c r="D47" s="1" t="s">
        <v>132</v>
      </c>
      <c r="E47" s="1">
        <v>13</v>
      </c>
      <c r="F47" s="1" t="s">
        <v>143</v>
      </c>
      <c r="G47" s="1">
        <v>71</v>
      </c>
      <c r="H47" s="1">
        <v>20</v>
      </c>
      <c r="I47" s="1">
        <v>13</v>
      </c>
      <c r="J47" s="1" t="s">
        <v>177</v>
      </c>
      <c r="K47" s="1" t="s">
        <v>160</v>
      </c>
      <c r="L47" s="1" t="s">
        <v>144</v>
      </c>
      <c r="M47" s="1" t="s">
        <v>145</v>
      </c>
      <c r="P47" s="1" t="s">
        <v>149</v>
      </c>
      <c r="Q47" s="1" t="s">
        <v>136</v>
      </c>
      <c r="U47" s="1">
        <v>1</v>
      </c>
      <c r="V47" s="1">
        <v>33</v>
      </c>
      <c r="W47" s="1">
        <v>20591</v>
      </c>
      <c r="X47" s="1">
        <v>45657</v>
      </c>
      <c r="AK47" s="7"/>
      <c r="AL47" s="7"/>
    </row>
    <row r="48" spans="1:38" x14ac:dyDescent="0.35">
      <c r="A48" s="7">
        <v>3</v>
      </c>
      <c r="B48" s="14">
        <v>0.81666666666666665</v>
      </c>
      <c r="C48" s="21" t="s">
        <v>131</v>
      </c>
      <c r="D48" s="1" t="s">
        <v>137</v>
      </c>
      <c r="E48" s="1">
        <v>14</v>
      </c>
      <c r="F48" s="1" t="s">
        <v>133</v>
      </c>
      <c r="P48" s="1" t="s">
        <v>135</v>
      </c>
      <c r="Q48" s="1" t="s">
        <v>136</v>
      </c>
      <c r="U48" s="1">
        <v>1</v>
      </c>
      <c r="V48" s="1">
        <v>35</v>
      </c>
      <c r="W48" s="1">
        <v>20591</v>
      </c>
      <c r="X48" s="1">
        <v>45657</v>
      </c>
      <c r="AK48" s="7"/>
      <c r="AL48" s="7"/>
    </row>
    <row r="49" spans="1:38" x14ac:dyDescent="0.35">
      <c r="A49" s="7">
        <v>3</v>
      </c>
      <c r="B49" s="15">
        <v>0.79305555555555551</v>
      </c>
      <c r="C49" s="21" t="s">
        <v>131</v>
      </c>
      <c r="D49" s="1" t="s">
        <v>132</v>
      </c>
      <c r="E49" s="1">
        <v>48</v>
      </c>
      <c r="F49" s="1" t="s">
        <v>133</v>
      </c>
      <c r="G49" s="1">
        <v>13</v>
      </c>
      <c r="J49" s="1" t="s">
        <v>156</v>
      </c>
      <c r="N49" s="1" t="s">
        <v>134</v>
      </c>
      <c r="P49" s="1" t="s">
        <v>135</v>
      </c>
      <c r="Q49" s="1" t="s">
        <v>136</v>
      </c>
      <c r="U49" s="1">
        <v>1</v>
      </c>
      <c r="V49" s="1">
        <v>33</v>
      </c>
      <c r="W49" s="1">
        <v>20591</v>
      </c>
      <c r="X49" s="1">
        <v>45657</v>
      </c>
      <c r="AK49" s="7"/>
      <c r="AL49" s="7"/>
    </row>
    <row r="50" spans="1:38" x14ac:dyDescent="0.35">
      <c r="A50" s="7">
        <v>3</v>
      </c>
      <c r="B50" s="15">
        <v>0.78611111111111109</v>
      </c>
      <c r="C50" s="21" t="s">
        <v>131</v>
      </c>
      <c r="D50" s="1" t="s">
        <v>132</v>
      </c>
      <c r="E50" s="1">
        <v>8</v>
      </c>
      <c r="F50" s="1" t="s">
        <v>163</v>
      </c>
      <c r="G50" s="1">
        <v>48</v>
      </c>
      <c r="H50" s="1">
        <v>14</v>
      </c>
      <c r="J50" s="1" t="s">
        <v>148</v>
      </c>
      <c r="K50" s="1" t="s">
        <v>156</v>
      </c>
      <c r="P50" s="1" t="s">
        <v>135</v>
      </c>
      <c r="Q50" s="1" t="s">
        <v>136</v>
      </c>
      <c r="U50" s="1">
        <v>1</v>
      </c>
      <c r="V50" s="1">
        <v>33</v>
      </c>
      <c r="W50" s="1">
        <v>20591</v>
      </c>
      <c r="X50" s="1">
        <v>45657</v>
      </c>
      <c r="AK50" s="7"/>
      <c r="AL50" s="7"/>
    </row>
    <row r="51" spans="1:38" x14ac:dyDescent="0.35">
      <c r="A51" s="2">
        <v>3</v>
      </c>
      <c r="B51" s="15">
        <v>0.75555555555555554</v>
      </c>
      <c r="C51" s="21" t="s">
        <v>131</v>
      </c>
      <c r="D51" s="1" t="s">
        <v>137</v>
      </c>
      <c r="E51" s="1">
        <v>27</v>
      </c>
      <c r="F51" s="1" t="s">
        <v>133</v>
      </c>
      <c r="G51" s="1">
        <v>48</v>
      </c>
      <c r="J51" s="1" t="s">
        <v>178</v>
      </c>
      <c r="P51" s="1" t="s">
        <v>149</v>
      </c>
      <c r="Q51" s="1" t="s">
        <v>146</v>
      </c>
      <c r="R51" s="1" t="s">
        <v>147</v>
      </c>
      <c r="U51" s="1">
        <v>1</v>
      </c>
      <c r="V51" s="1">
        <v>35</v>
      </c>
      <c r="W51" s="1">
        <v>20591</v>
      </c>
      <c r="X51" s="1">
        <v>45657</v>
      </c>
      <c r="AK51" s="7"/>
      <c r="AL51" s="7"/>
    </row>
    <row r="52" spans="1:38" x14ac:dyDescent="0.35">
      <c r="A52" s="7">
        <v>3</v>
      </c>
      <c r="B52" s="14">
        <v>0.73402777777777772</v>
      </c>
      <c r="C52" s="21" t="s">
        <v>131</v>
      </c>
      <c r="D52" s="1" t="s">
        <v>137</v>
      </c>
      <c r="E52" s="1">
        <v>3</v>
      </c>
      <c r="F52" s="1" t="s">
        <v>155</v>
      </c>
      <c r="G52" s="1">
        <v>27</v>
      </c>
      <c r="H52" s="1">
        <v>48</v>
      </c>
      <c r="J52" s="1" t="s">
        <v>178</v>
      </c>
      <c r="K52" s="1" t="s">
        <v>160</v>
      </c>
      <c r="P52" s="1" t="s">
        <v>135</v>
      </c>
      <c r="Q52" s="1" t="s">
        <v>136</v>
      </c>
      <c r="U52" s="1">
        <v>1</v>
      </c>
      <c r="V52" s="1">
        <v>35</v>
      </c>
      <c r="W52" s="1">
        <v>20591</v>
      </c>
      <c r="X52" s="1">
        <v>45657</v>
      </c>
      <c r="AK52" s="7"/>
      <c r="AL52" s="7"/>
    </row>
    <row r="53" spans="1:38" x14ac:dyDescent="0.35">
      <c r="A53" s="7">
        <v>3</v>
      </c>
      <c r="B53" s="14">
        <v>0.69444444444444442</v>
      </c>
      <c r="C53" s="21" t="s">
        <v>131</v>
      </c>
      <c r="D53" s="1" t="s">
        <v>137</v>
      </c>
      <c r="E53" s="1">
        <v>7</v>
      </c>
      <c r="F53" s="1" t="s">
        <v>133</v>
      </c>
      <c r="G53" s="1">
        <v>16</v>
      </c>
      <c r="J53" s="1" t="s">
        <v>178</v>
      </c>
      <c r="P53" s="1" t="s">
        <v>135</v>
      </c>
      <c r="Q53" s="1" t="s">
        <v>136</v>
      </c>
      <c r="U53" s="1">
        <v>1</v>
      </c>
      <c r="V53" s="1">
        <v>35</v>
      </c>
      <c r="W53" s="1">
        <v>20591</v>
      </c>
      <c r="X53" s="1">
        <v>45657</v>
      </c>
      <c r="AK53" s="7"/>
      <c r="AL53" s="7"/>
    </row>
    <row r="54" spans="1:38" x14ac:dyDescent="0.35">
      <c r="A54" s="2">
        <v>3</v>
      </c>
      <c r="B54" s="15">
        <v>0.61736111111111114</v>
      </c>
      <c r="C54" s="21" t="s">
        <v>131</v>
      </c>
      <c r="D54" s="1" t="s">
        <v>137</v>
      </c>
      <c r="E54" s="1">
        <v>95</v>
      </c>
      <c r="F54" s="1" t="s">
        <v>133</v>
      </c>
      <c r="G54" s="1">
        <v>61</v>
      </c>
      <c r="J54" s="1" t="s">
        <v>160</v>
      </c>
      <c r="M54" s="1" t="s">
        <v>134</v>
      </c>
      <c r="N54" s="1" t="s">
        <v>134</v>
      </c>
      <c r="P54" s="1" t="s">
        <v>135</v>
      </c>
      <c r="Q54" s="1" t="s">
        <v>136</v>
      </c>
      <c r="U54" s="1">
        <v>1</v>
      </c>
      <c r="V54" s="1">
        <v>35</v>
      </c>
      <c r="W54" s="1">
        <v>20591</v>
      </c>
      <c r="X54" s="1">
        <v>45657</v>
      </c>
      <c r="AK54" s="7"/>
      <c r="AL54" s="7"/>
    </row>
    <row r="55" spans="1:38" x14ac:dyDescent="0.35">
      <c r="A55" s="7">
        <v>3</v>
      </c>
      <c r="B55" s="15">
        <v>0.56180555555555556</v>
      </c>
      <c r="C55" s="21" t="s">
        <v>131</v>
      </c>
      <c r="D55" s="1" t="s">
        <v>132</v>
      </c>
      <c r="E55" s="1">
        <v>77</v>
      </c>
      <c r="F55" s="1" t="s">
        <v>143</v>
      </c>
      <c r="G55" s="1">
        <v>15</v>
      </c>
      <c r="H55" s="1">
        <v>45</v>
      </c>
      <c r="J55" s="1" t="s">
        <v>160</v>
      </c>
      <c r="K55" s="1" t="s">
        <v>160</v>
      </c>
      <c r="M55" s="1" t="s">
        <v>145</v>
      </c>
      <c r="N55" s="1" t="s">
        <v>145</v>
      </c>
      <c r="P55" s="1" t="s">
        <v>149</v>
      </c>
      <c r="Q55" s="1" t="s">
        <v>136</v>
      </c>
      <c r="U55" s="1">
        <v>1</v>
      </c>
      <c r="V55" s="1">
        <v>33</v>
      </c>
      <c r="W55" s="1">
        <v>20591</v>
      </c>
      <c r="X55" s="1">
        <v>45657</v>
      </c>
      <c r="AK55" s="7"/>
      <c r="AL55" s="7"/>
    </row>
    <row r="56" spans="1:38" x14ac:dyDescent="0.35">
      <c r="A56" s="7">
        <v>3</v>
      </c>
      <c r="B56" s="15">
        <v>0.51736111111111116</v>
      </c>
      <c r="C56" s="21" t="s">
        <v>131</v>
      </c>
      <c r="D56" s="1" t="s">
        <v>132</v>
      </c>
      <c r="E56" s="1">
        <v>48</v>
      </c>
      <c r="F56" s="1" t="s">
        <v>133</v>
      </c>
      <c r="G56" s="1">
        <v>20</v>
      </c>
      <c r="H56" s="1">
        <v>48</v>
      </c>
      <c r="I56" s="1">
        <v>8</v>
      </c>
      <c r="J56" s="1" t="s">
        <v>144</v>
      </c>
      <c r="K56" s="1" t="s">
        <v>167</v>
      </c>
      <c r="L56" s="1" t="s">
        <v>153</v>
      </c>
      <c r="N56" s="1" t="s">
        <v>134</v>
      </c>
      <c r="P56" s="1" t="s">
        <v>140</v>
      </c>
      <c r="Q56" s="1" t="s">
        <v>146</v>
      </c>
      <c r="R56" s="1" t="s">
        <v>173</v>
      </c>
      <c r="U56" s="1">
        <v>1</v>
      </c>
      <c r="V56" s="1">
        <v>33</v>
      </c>
      <c r="W56" s="1">
        <v>20591</v>
      </c>
      <c r="X56" s="1">
        <v>45657</v>
      </c>
      <c r="AK56" s="7"/>
      <c r="AL56" s="7"/>
    </row>
    <row r="57" spans="1:38" x14ac:dyDescent="0.35">
      <c r="A57" s="7">
        <v>3</v>
      </c>
      <c r="B57" s="14">
        <v>0.50972222222222219</v>
      </c>
      <c r="C57" s="21" t="s">
        <v>131</v>
      </c>
      <c r="D57" s="1" t="s">
        <v>132</v>
      </c>
      <c r="E57" s="1">
        <v>20</v>
      </c>
      <c r="F57" s="1" t="s">
        <v>163</v>
      </c>
      <c r="G57" s="1">
        <v>14</v>
      </c>
      <c r="H57" s="1">
        <v>8</v>
      </c>
      <c r="I57" s="1">
        <v>13</v>
      </c>
      <c r="J57" s="1" t="s">
        <v>148</v>
      </c>
      <c r="K57" s="1" t="s">
        <v>160</v>
      </c>
      <c r="L57" s="1" t="s">
        <v>148</v>
      </c>
      <c r="M57" s="1" t="s">
        <v>134</v>
      </c>
      <c r="N57" s="1" t="s">
        <v>134</v>
      </c>
      <c r="P57" s="1" t="s">
        <v>149</v>
      </c>
      <c r="Q57" s="1" t="s">
        <v>136</v>
      </c>
      <c r="U57" s="1">
        <v>1</v>
      </c>
      <c r="V57" s="1">
        <v>33</v>
      </c>
      <c r="W57" s="1">
        <v>20591</v>
      </c>
      <c r="X57" s="1">
        <v>45657</v>
      </c>
      <c r="AK57" s="7"/>
      <c r="AL57" s="7"/>
    </row>
    <row r="58" spans="1:38" x14ac:dyDescent="0.35">
      <c r="A58" s="7">
        <v>3</v>
      </c>
      <c r="B58" s="14">
        <v>0.50208333333333333</v>
      </c>
      <c r="C58" s="21" t="s">
        <v>131</v>
      </c>
      <c r="D58" s="1" t="s">
        <v>132</v>
      </c>
      <c r="E58" s="1">
        <v>58</v>
      </c>
      <c r="F58" s="1" t="s">
        <v>143</v>
      </c>
      <c r="N58" s="1" t="s">
        <v>134</v>
      </c>
      <c r="O58" s="1" t="s">
        <v>134</v>
      </c>
      <c r="P58" s="1" t="s">
        <v>135</v>
      </c>
      <c r="Q58" s="1" t="s">
        <v>136</v>
      </c>
      <c r="U58" s="1">
        <v>1</v>
      </c>
      <c r="V58" s="1">
        <v>33</v>
      </c>
      <c r="W58" s="1">
        <v>20591</v>
      </c>
      <c r="X58" s="1">
        <v>45657</v>
      </c>
      <c r="AK58" s="7"/>
      <c r="AL58" s="7"/>
    </row>
    <row r="59" spans="1:38" x14ac:dyDescent="0.35">
      <c r="A59" s="2">
        <v>3</v>
      </c>
      <c r="B59" s="15">
        <v>0.50694444444444442</v>
      </c>
      <c r="C59" s="21" t="s">
        <v>131</v>
      </c>
      <c r="D59" s="1" t="s">
        <v>132</v>
      </c>
      <c r="E59" s="1">
        <v>51</v>
      </c>
      <c r="F59" s="1" t="s">
        <v>140</v>
      </c>
      <c r="M59" s="1" t="s">
        <v>134</v>
      </c>
      <c r="N59" s="1" t="s">
        <v>134</v>
      </c>
      <c r="P59" s="1" t="s">
        <v>135</v>
      </c>
      <c r="Q59" s="1" t="s">
        <v>136</v>
      </c>
      <c r="T59" s="1" t="s">
        <v>134</v>
      </c>
      <c r="U59" s="1">
        <v>1</v>
      </c>
      <c r="V59" s="1">
        <v>33</v>
      </c>
      <c r="W59" s="1">
        <v>20591</v>
      </c>
      <c r="X59" s="1">
        <v>45657</v>
      </c>
      <c r="AK59" s="7"/>
      <c r="AL59" s="7"/>
    </row>
    <row r="60" spans="1:38" x14ac:dyDescent="0.35">
      <c r="A60" s="7">
        <v>3</v>
      </c>
      <c r="B60" s="15">
        <v>0.46319444444444446</v>
      </c>
      <c r="C60" s="21" t="s">
        <v>131</v>
      </c>
      <c r="D60" s="1" t="s">
        <v>132</v>
      </c>
      <c r="E60" s="1">
        <v>11</v>
      </c>
      <c r="F60" s="1" t="s">
        <v>133</v>
      </c>
      <c r="M60" s="1" t="s">
        <v>134</v>
      </c>
      <c r="N60" s="1" t="s">
        <v>134</v>
      </c>
      <c r="P60" s="1" t="s">
        <v>135</v>
      </c>
      <c r="Q60" s="1" t="s">
        <v>136</v>
      </c>
      <c r="U60" s="1">
        <v>0</v>
      </c>
      <c r="V60" s="1">
        <v>33</v>
      </c>
      <c r="W60" s="1">
        <v>20591</v>
      </c>
      <c r="X60" s="1">
        <v>45657</v>
      </c>
      <c r="AK60" s="7"/>
      <c r="AL60" s="7"/>
    </row>
    <row r="61" spans="1:38" x14ac:dyDescent="0.35">
      <c r="A61" s="2">
        <v>3</v>
      </c>
      <c r="B61" s="15">
        <v>0.40972222222222221</v>
      </c>
      <c r="C61" s="21" t="s">
        <v>131</v>
      </c>
      <c r="D61" s="1" t="s">
        <v>132</v>
      </c>
      <c r="E61" s="1">
        <v>77</v>
      </c>
      <c r="F61" s="1" t="s">
        <v>152</v>
      </c>
      <c r="G61" s="1">
        <v>17</v>
      </c>
      <c r="J61" s="1" t="s">
        <v>167</v>
      </c>
      <c r="M61" s="1" t="s">
        <v>134</v>
      </c>
      <c r="N61" s="1" t="s">
        <v>134</v>
      </c>
      <c r="P61" s="1" t="s">
        <v>140</v>
      </c>
      <c r="Q61" s="1" t="s">
        <v>146</v>
      </c>
      <c r="R61" s="1" t="s">
        <v>179</v>
      </c>
      <c r="S61" s="1" t="s">
        <v>168</v>
      </c>
      <c r="T61" s="1" t="s">
        <v>134</v>
      </c>
      <c r="U61" s="1">
        <v>0</v>
      </c>
      <c r="V61" s="1">
        <v>33</v>
      </c>
      <c r="W61" s="1">
        <v>20591</v>
      </c>
      <c r="X61" s="1">
        <v>45657</v>
      </c>
      <c r="AK61" s="7"/>
      <c r="AL61" s="7"/>
    </row>
    <row r="62" spans="1:38" x14ac:dyDescent="0.35">
      <c r="A62" s="2">
        <v>3</v>
      </c>
      <c r="B62" s="15">
        <v>0.3923611111111111</v>
      </c>
      <c r="C62" s="21" t="s">
        <v>131</v>
      </c>
      <c r="D62" s="1" t="s">
        <v>137</v>
      </c>
      <c r="E62" s="1">
        <v>70</v>
      </c>
      <c r="F62" s="1" t="s">
        <v>143</v>
      </c>
      <c r="G62" s="1">
        <v>21</v>
      </c>
      <c r="H62" s="1">
        <v>15</v>
      </c>
      <c r="J62" s="1" t="s">
        <v>172</v>
      </c>
      <c r="K62" s="1" t="s">
        <v>167</v>
      </c>
      <c r="P62" s="1" t="s">
        <v>140</v>
      </c>
      <c r="Q62" s="1" t="s">
        <v>146</v>
      </c>
      <c r="R62" s="1" t="s">
        <v>179</v>
      </c>
      <c r="U62" s="1">
        <v>-1</v>
      </c>
      <c r="V62" s="1">
        <v>35</v>
      </c>
      <c r="W62" s="1">
        <v>20591</v>
      </c>
      <c r="X62" s="1">
        <v>45657</v>
      </c>
      <c r="AK62" s="7"/>
      <c r="AL62" s="7"/>
    </row>
    <row r="63" spans="1:38" x14ac:dyDescent="0.35">
      <c r="A63" s="7">
        <v>3</v>
      </c>
      <c r="B63" s="14">
        <v>0.27500000000000002</v>
      </c>
      <c r="C63" s="21" t="s">
        <v>131</v>
      </c>
      <c r="D63" s="1" t="s">
        <v>137</v>
      </c>
      <c r="E63" s="1">
        <v>70</v>
      </c>
      <c r="F63" s="1" t="s">
        <v>133</v>
      </c>
      <c r="G63" s="1">
        <v>2</v>
      </c>
      <c r="H63" s="1">
        <v>70</v>
      </c>
      <c r="I63" s="1">
        <v>14</v>
      </c>
      <c r="J63" s="1" t="s">
        <v>153</v>
      </c>
      <c r="K63" s="1" t="s">
        <v>167</v>
      </c>
      <c r="L63" s="1" t="s">
        <v>167</v>
      </c>
      <c r="N63" s="1" t="s">
        <v>134</v>
      </c>
      <c r="P63" s="1" t="s">
        <v>140</v>
      </c>
      <c r="Q63" s="1" t="s">
        <v>146</v>
      </c>
      <c r="R63" s="1" t="s">
        <v>147</v>
      </c>
      <c r="U63" s="1">
        <v>-1</v>
      </c>
      <c r="V63" s="1">
        <v>35</v>
      </c>
      <c r="W63" s="1">
        <v>20591</v>
      </c>
      <c r="X63" s="1">
        <v>45657</v>
      </c>
      <c r="AK63" s="7"/>
      <c r="AL63" s="7"/>
    </row>
    <row r="64" spans="1:38" x14ac:dyDescent="0.35">
      <c r="A64" s="7">
        <v>3</v>
      </c>
      <c r="B64" s="15">
        <v>0.27152777777777776</v>
      </c>
      <c r="C64" s="21" t="s">
        <v>131</v>
      </c>
      <c r="D64" s="1" t="s">
        <v>137</v>
      </c>
      <c r="E64" s="1">
        <v>15</v>
      </c>
      <c r="F64" s="1" t="s">
        <v>163</v>
      </c>
      <c r="G64" s="1">
        <v>7</v>
      </c>
      <c r="J64" s="1" t="s">
        <v>148</v>
      </c>
      <c r="Q64" s="1" t="s">
        <v>136</v>
      </c>
      <c r="R64" s="1" t="s">
        <v>159</v>
      </c>
      <c r="U64" s="1">
        <v>-1</v>
      </c>
      <c r="V64" s="1">
        <v>35</v>
      </c>
      <c r="W64" s="1">
        <v>20591</v>
      </c>
      <c r="X64" s="1">
        <v>45657</v>
      </c>
      <c r="AK64" s="7"/>
      <c r="AL64" s="7"/>
    </row>
    <row r="65" spans="1:38" x14ac:dyDescent="0.35">
      <c r="A65" s="2">
        <v>3</v>
      </c>
      <c r="B65" s="15">
        <v>0.25416666666666665</v>
      </c>
      <c r="C65" s="21" t="s">
        <v>131</v>
      </c>
      <c r="D65" s="1" t="s">
        <v>132</v>
      </c>
      <c r="E65" s="1">
        <v>71</v>
      </c>
      <c r="F65" s="1" t="s">
        <v>133</v>
      </c>
      <c r="N65" s="1" t="s">
        <v>134</v>
      </c>
      <c r="P65" s="1" t="s">
        <v>140</v>
      </c>
      <c r="Q65" s="1" t="s">
        <v>141</v>
      </c>
      <c r="R65" s="1" t="s">
        <v>142</v>
      </c>
      <c r="U65" s="1">
        <v>-1</v>
      </c>
      <c r="V65" s="1">
        <v>33</v>
      </c>
      <c r="W65" s="1">
        <v>20591</v>
      </c>
      <c r="X65" s="1">
        <v>45657</v>
      </c>
      <c r="AK65" s="7"/>
      <c r="AL65" s="7"/>
    </row>
    <row r="66" spans="1:38" x14ac:dyDescent="0.35">
      <c r="A66" s="7">
        <v>3</v>
      </c>
      <c r="B66" s="15">
        <v>0.23680555555555555</v>
      </c>
      <c r="C66" s="21" t="s">
        <v>131</v>
      </c>
      <c r="D66" s="1" t="s">
        <v>132</v>
      </c>
      <c r="E66" s="1">
        <v>48</v>
      </c>
      <c r="F66" s="1" t="s">
        <v>163</v>
      </c>
      <c r="G66" s="1">
        <v>40</v>
      </c>
      <c r="J66" s="1" t="s">
        <v>156</v>
      </c>
      <c r="P66" s="1" t="s">
        <v>135</v>
      </c>
      <c r="Q66" s="1" t="s">
        <v>136</v>
      </c>
      <c r="U66" s="1">
        <v>-1</v>
      </c>
      <c r="AK66" s="7"/>
      <c r="AL66" s="7"/>
    </row>
    <row r="67" spans="1:38" x14ac:dyDescent="0.35">
      <c r="A67" s="7">
        <v>3</v>
      </c>
      <c r="B67" s="15">
        <v>0.16388888888888889</v>
      </c>
      <c r="C67" s="21" t="s">
        <v>131</v>
      </c>
      <c r="D67" s="1" t="s">
        <v>137</v>
      </c>
      <c r="E67" s="1">
        <v>14</v>
      </c>
      <c r="F67" s="1" t="s">
        <v>143</v>
      </c>
      <c r="P67" s="1" t="s">
        <v>135</v>
      </c>
      <c r="Q67" s="1" t="s">
        <v>136</v>
      </c>
      <c r="U67" s="1">
        <v>-1</v>
      </c>
      <c r="V67" s="1">
        <v>35</v>
      </c>
      <c r="W67" s="1">
        <v>20591</v>
      </c>
      <c r="X67" s="1">
        <v>45657</v>
      </c>
      <c r="AK67" s="7"/>
      <c r="AL67" s="7"/>
    </row>
    <row r="68" spans="1:38" x14ac:dyDescent="0.35">
      <c r="A68" s="2">
        <v>3</v>
      </c>
      <c r="B68" s="15">
        <v>0.12152777777777778</v>
      </c>
      <c r="C68" s="21" t="s">
        <v>131</v>
      </c>
      <c r="D68" s="1" t="s">
        <v>137</v>
      </c>
      <c r="E68" s="1">
        <v>27</v>
      </c>
      <c r="F68" s="1" t="s">
        <v>143</v>
      </c>
      <c r="G68" s="1">
        <v>61</v>
      </c>
      <c r="H68" s="1">
        <v>15</v>
      </c>
      <c r="J68" s="1" t="s">
        <v>160</v>
      </c>
      <c r="K68" s="1" t="s">
        <v>148</v>
      </c>
      <c r="N68" s="1" t="s">
        <v>134</v>
      </c>
      <c r="P68" s="1" t="s">
        <v>149</v>
      </c>
      <c r="Q68" s="1" t="s">
        <v>136</v>
      </c>
      <c r="U68" s="1">
        <v>-1</v>
      </c>
      <c r="V68" s="1">
        <v>35</v>
      </c>
      <c r="W68" s="1">
        <v>20591</v>
      </c>
      <c r="X68" s="1">
        <v>45657</v>
      </c>
      <c r="AK68" s="7"/>
      <c r="AL68" s="7"/>
    </row>
    <row r="69" spans="1:38" x14ac:dyDescent="0.35">
      <c r="A69" s="7">
        <v>1</v>
      </c>
      <c r="B69" s="14">
        <v>0.82638888888888884</v>
      </c>
      <c r="C69" s="21" t="s">
        <v>131</v>
      </c>
      <c r="AF69" s="5" t="s">
        <v>180</v>
      </c>
      <c r="AG69" s="5" t="s">
        <v>181</v>
      </c>
      <c r="AH69" s="5" t="s">
        <v>182</v>
      </c>
      <c r="AK69" s="7"/>
      <c r="AL69" s="7"/>
    </row>
    <row r="70" spans="1:38" x14ac:dyDescent="0.35">
      <c r="A70" s="7">
        <v>1</v>
      </c>
      <c r="B70" s="14">
        <v>0.81597222222222221</v>
      </c>
      <c r="C70" s="21" t="s">
        <v>131</v>
      </c>
      <c r="AF70" s="5" t="s">
        <v>180</v>
      </c>
      <c r="AG70" s="5" t="s">
        <v>183</v>
      </c>
      <c r="AH70" s="5" t="s">
        <v>184</v>
      </c>
      <c r="AI70" s="5" t="s">
        <v>185</v>
      </c>
      <c r="AJ70" s="5" t="s">
        <v>186</v>
      </c>
      <c r="AK70" s="7"/>
      <c r="AL70" s="7"/>
    </row>
    <row r="71" spans="1:38" x14ac:dyDescent="0.35">
      <c r="A71" s="2">
        <v>1</v>
      </c>
      <c r="B71" s="15">
        <v>0.80833333333333335</v>
      </c>
      <c r="C71" s="21" t="s">
        <v>131</v>
      </c>
      <c r="Y71" s="16" t="s">
        <v>187</v>
      </c>
      <c r="Z71" s="16" t="s">
        <v>188</v>
      </c>
      <c r="AA71" s="16" t="s">
        <v>189</v>
      </c>
      <c r="AC71" s="16" t="s">
        <v>190</v>
      </c>
      <c r="AD71" s="16" t="s">
        <v>191</v>
      </c>
      <c r="AE71" s="16" t="s">
        <v>191</v>
      </c>
      <c r="AK71" s="7"/>
      <c r="AL71" s="7"/>
    </row>
    <row r="72" spans="1:38" x14ac:dyDescent="0.35">
      <c r="A72" s="2">
        <v>1</v>
      </c>
      <c r="B72" s="15">
        <v>0.79236111111111107</v>
      </c>
      <c r="C72" s="21" t="s">
        <v>131</v>
      </c>
      <c r="Y72" s="16" t="s">
        <v>187</v>
      </c>
      <c r="Z72" s="16" t="s">
        <v>192</v>
      </c>
      <c r="AA72" s="16" t="s">
        <v>193</v>
      </c>
      <c r="AC72" s="16" t="s">
        <v>194</v>
      </c>
      <c r="AD72" s="16" t="s">
        <v>191</v>
      </c>
      <c r="AE72" s="16" t="s">
        <v>191</v>
      </c>
      <c r="AF72" s="5" t="s">
        <v>195</v>
      </c>
      <c r="AG72" s="5" t="s">
        <v>196</v>
      </c>
      <c r="AK72" s="7"/>
      <c r="AL72" s="7"/>
    </row>
    <row r="73" spans="1:38" x14ac:dyDescent="0.35">
      <c r="A73" s="7">
        <v>1</v>
      </c>
      <c r="B73" s="15">
        <v>0.78541666666666665</v>
      </c>
      <c r="C73" s="21" t="s">
        <v>131</v>
      </c>
      <c r="AF73" s="5" t="s">
        <v>197</v>
      </c>
      <c r="AG73" s="5" t="s">
        <v>198</v>
      </c>
      <c r="AH73" s="5" t="s">
        <v>199</v>
      </c>
      <c r="AK73" s="7"/>
      <c r="AL73" s="7"/>
    </row>
    <row r="74" spans="1:38" x14ac:dyDescent="0.35">
      <c r="A74" s="2">
        <v>1</v>
      </c>
      <c r="B74" s="15">
        <v>0.77222222222222225</v>
      </c>
      <c r="C74" s="21" t="s">
        <v>131</v>
      </c>
      <c r="Y74" s="16" t="s">
        <v>200</v>
      </c>
      <c r="Z74" s="16" t="s">
        <v>197</v>
      </c>
      <c r="AA74" s="16" t="s">
        <v>185</v>
      </c>
      <c r="AB74" s="16" t="s">
        <v>191</v>
      </c>
      <c r="AC74" s="16" t="s">
        <v>190</v>
      </c>
      <c r="AD74" s="16" t="s">
        <v>191</v>
      </c>
      <c r="AE74" s="16" t="s">
        <v>191</v>
      </c>
      <c r="AK74" s="7"/>
      <c r="AL74" s="7"/>
    </row>
    <row r="75" spans="1:38" x14ac:dyDescent="0.35">
      <c r="A75" s="7">
        <v>1</v>
      </c>
      <c r="B75" s="15">
        <v>0.75972222222222219</v>
      </c>
      <c r="C75" s="21" t="s">
        <v>131</v>
      </c>
      <c r="Y75" s="16" t="s">
        <v>190</v>
      </c>
      <c r="Z75" s="16" t="s">
        <v>201</v>
      </c>
      <c r="AA75" s="16" t="s">
        <v>202</v>
      </c>
      <c r="AB75" s="16" t="s">
        <v>145</v>
      </c>
      <c r="AC75" s="16" t="s">
        <v>203</v>
      </c>
      <c r="AD75" s="16" t="s">
        <v>191</v>
      </c>
      <c r="AE75" s="16" t="s">
        <v>145</v>
      </c>
      <c r="AF75" s="5" t="s">
        <v>202</v>
      </c>
      <c r="AG75" s="5" t="s">
        <v>204</v>
      </c>
      <c r="AK75" s="7"/>
      <c r="AL75" s="7"/>
    </row>
    <row r="76" spans="1:38" x14ac:dyDescent="0.35">
      <c r="A76" s="2">
        <v>1</v>
      </c>
      <c r="B76" s="15">
        <v>0.75069444444444444</v>
      </c>
      <c r="C76" s="21" t="s">
        <v>131</v>
      </c>
      <c r="Y76" s="16" t="s">
        <v>187</v>
      </c>
      <c r="Z76" s="16" t="s">
        <v>205</v>
      </c>
      <c r="AA76" s="16" t="s">
        <v>191</v>
      </c>
      <c r="AC76" s="16" t="s">
        <v>203</v>
      </c>
      <c r="AD76" s="16" t="s">
        <v>191</v>
      </c>
      <c r="AE76" s="16" t="s">
        <v>134</v>
      </c>
      <c r="AF76" s="5" t="s">
        <v>206</v>
      </c>
      <c r="AG76" s="5" t="s">
        <v>183</v>
      </c>
      <c r="AH76" s="5" t="s">
        <v>207</v>
      </c>
      <c r="AI76" s="5" t="s">
        <v>208</v>
      </c>
      <c r="AJ76" s="5" t="s">
        <v>196</v>
      </c>
      <c r="AK76" s="7"/>
      <c r="AL76" s="7"/>
    </row>
    <row r="77" spans="1:38" x14ac:dyDescent="0.35">
      <c r="A77" s="7">
        <v>1</v>
      </c>
      <c r="B77" s="15">
        <v>0.7368055555555556</v>
      </c>
      <c r="C77" s="21" t="s">
        <v>131</v>
      </c>
      <c r="Y77" s="16" t="s">
        <v>190</v>
      </c>
      <c r="Z77" s="16" t="s">
        <v>209</v>
      </c>
      <c r="AA77" s="16" t="s">
        <v>210</v>
      </c>
      <c r="AB77" s="16" t="s">
        <v>145</v>
      </c>
      <c r="AC77" s="16" t="s">
        <v>190</v>
      </c>
      <c r="AD77" s="16" t="s">
        <v>191</v>
      </c>
      <c r="AE77" s="16" t="s">
        <v>145</v>
      </c>
      <c r="AK77" s="7"/>
      <c r="AL77" s="7"/>
    </row>
    <row r="78" spans="1:38" x14ac:dyDescent="0.35">
      <c r="A78" s="2">
        <v>1</v>
      </c>
      <c r="B78" s="15">
        <v>0.72916666666666663</v>
      </c>
      <c r="C78" s="21" t="s">
        <v>131</v>
      </c>
      <c r="Y78" s="16" t="s">
        <v>187</v>
      </c>
      <c r="Z78" s="16" t="s">
        <v>211</v>
      </c>
      <c r="AA78" s="16" t="s">
        <v>180</v>
      </c>
      <c r="AC78" s="16" t="s">
        <v>194</v>
      </c>
      <c r="AD78" s="16" t="s">
        <v>191</v>
      </c>
      <c r="AE78" s="16" t="s">
        <v>191</v>
      </c>
      <c r="AF78" s="5" t="s">
        <v>212</v>
      </c>
      <c r="AG78" s="5" t="s">
        <v>196</v>
      </c>
      <c r="AH78" s="5" t="s">
        <v>213</v>
      </c>
      <c r="AK78" s="7"/>
      <c r="AL78" s="7"/>
    </row>
    <row r="79" spans="1:38" x14ac:dyDescent="0.35">
      <c r="A79" s="2">
        <v>1</v>
      </c>
      <c r="B79" s="15">
        <v>0.72222222222222221</v>
      </c>
      <c r="C79" s="21" t="s">
        <v>131</v>
      </c>
      <c r="AF79" s="5" t="s">
        <v>214</v>
      </c>
      <c r="AG79" s="5" t="s">
        <v>183</v>
      </c>
      <c r="AH79" s="5" t="s">
        <v>191</v>
      </c>
      <c r="AI79" s="5" t="s">
        <v>215</v>
      </c>
      <c r="AJ79" s="5" t="s">
        <v>181</v>
      </c>
      <c r="AK79" s="7"/>
      <c r="AL79" s="7"/>
    </row>
    <row r="80" spans="1:38" x14ac:dyDescent="0.35">
      <c r="A80" s="7">
        <v>1</v>
      </c>
      <c r="B80" s="14">
        <v>0.71527777777777779</v>
      </c>
      <c r="C80" s="21" t="s">
        <v>131</v>
      </c>
      <c r="AF80" s="5" t="s">
        <v>211</v>
      </c>
      <c r="AG80" s="5" t="s">
        <v>196</v>
      </c>
      <c r="AH80" s="5" t="s">
        <v>212</v>
      </c>
      <c r="AK80" s="7"/>
      <c r="AL80" s="7"/>
    </row>
    <row r="81" spans="1:38" x14ac:dyDescent="0.35">
      <c r="A81" s="2">
        <v>1</v>
      </c>
      <c r="B81" s="15">
        <v>0.70138888888888884</v>
      </c>
      <c r="C81" s="21" t="s">
        <v>131</v>
      </c>
      <c r="AF81" s="5" t="s">
        <v>216</v>
      </c>
      <c r="AG81" s="5" t="s">
        <v>183</v>
      </c>
      <c r="AH81" s="5" t="s">
        <v>191</v>
      </c>
      <c r="AI81" s="5" t="s">
        <v>217</v>
      </c>
      <c r="AJ81" s="5" t="s">
        <v>186</v>
      </c>
      <c r="AK81" s="7"/>
      <c r="AL81" s="7"/>
    </row>
    <row r="82" spans="1:38" x14ac:dyDescent="0.35">
      <c r="A82" s="7">
        <v>1</v>
      </c>
      <c r="B82" s="15">
        <v>0.69791666666666663</v>
      </c>
      <c r="C82" s="21" t="s">
        <v>131</v>
      </c>
      <c r="Y82" s="16" t="s">
        <v>190</v>
      </c>
      <c r="Z82" s="16" t="s">
        <v>217</v>
      </c>
      <c r="AA82" s="16" t="s">
        <v>199</v>
      </c>
      <c r="AB82" s="16" t="s">
        <v>191</v>
      </c>
      <c r="AC82" s="16" t="s">
        <v>194</v>
      </c>
      <c r="AD82" s="16" t="s">
        <v>191</v>
      </c>
      <c r="AE82" s="16" t="s">
        <v>145</v>
      </c>
      <c r="AK82" s="7"/>
      <c r="AL82" s="7"/>
    </row>
    <row r="83" spans="1:38" x14ac:dyDescent="0.35">
      <c r="A83" s="2">
        <v>1</v>
      </c>
      <c r="B83" s="15">
        <v>0.67986111111111114</v>
      </c>
      <c r="C83" s="21" t="s">
        <v>131</v>
      </c>
      <c r="AF83" s="5" t="s">
        <v>218</v>
      </c>
      <c r="AG83" s="5" t="s">
        <v>196</v>
      </c>
      <c r="AH83" s="5" t="s">
        <v>184</v>
      </c>
      <c r="AK83" s="7"/>
      <c r="AL83" s="7"/>
    </row>
    <row r="84" spans="1:38" x14ac:dyDescent="0.35">
      <c r="A84" s="7">
        <v>1</v>
      </c>
      <c r="B84" s="15">
        <v>0.67569444444444449</v>
      </c>
      <c r="C84" s="21" t="s">
        <v>131</v>
      </c>
      <c r="AF84" s="5" t="s">
        <v>199</v>
      </c>
      <c r="AG84" s="5" t="s">
        <v>183</v>
      </c>
      <c r="AH84" s="5" t="s">
        <v>191</v>
      </c>
      <c r="AI84" s="5" t="s">
        <v>188</v>
      </c>
      <c r="AJ84" s="5" t="s">
        <v>204</v>
      </c>
      <c r="AK84" s="7"/>
      <c r="AL84" s="7"/>
    </row>
    <row r="85" spans="1:38" x14ac:dyDescent="0.35">
      <c r="A85" s="7">
        <v>1</v>
      </c>
      <c r="B85" s="15">
        <v>0.67291666666666672</v>
      </c>
      <c r="C85" s="21" t="s">
        <v>131</v>
      </c>
      <c r="Y85" s="16" t="s">
        <v>190</v>
      </c>
      <c r="Z85" s="16" t="s">
        <v>199</v>
      </c>
      <c r="AA85" s="16" t="s">
        <v>206</v>
      </c>
      <c r="AB85" s="16" t="s">
        <v>145</v>
      </c>
      <c r="AC85" s="16" t="s">
        <v>194</v>
      </c>
      <c r="AD85" s="16" t="s">
        <v>191</v>
      </c>
      <c r="AE85" s="16" t="s">
        <v>145</v>
      </c>
      <c r="AK85" s="7"/>
      <c r="AL85" s="7"/>
    </row>
    <row r="86" spans="1:38" x14ac:dyDescent="0.35">
      <c r="A86" s="7">
        <v>1</v>
      </c>
      <c r="B86" s="15">
        <v>0.66319444444444442</v>
      </c>
      <c r="C86" s="21" t="s">
        <v>131</v>
      </c>
      <c r="AF86" s="5" t="s">
        <v>184</v>
      </c>
      <c r="AG86" s="5" t="s">
        <v>186</v>
      </c>
      <c r="AK86" s="7"/>
      <c r="AL86" s="7"/>
    </row>
    <row r="87" spans="1:38" x14ac:dyDescent="0.35">
      <c r="A87" s="2">
        <v>1</v>
      </c>
      <c r="B87" s="15">
        <v>0.65486111111111112</v>
      </c>
      <c r="C87" s="21" t="s">
        <v>131</v>
      </c>
      <c r="Y87" s="16" t="s">
        <v>187</v>
      </c>
      <c r="Z87" s="16" t="s">
        <v>219</v>
      </c>
      <c r="AA87" s="16" t="s">
        <v>191</v>
      </c>
      <c r="AC87" s="16" t="s">
        <v>203</v>
      </c>
      <c r="AD87" s="16" t="s">
        <v>191</v>
      </c>
      <c r="AE87" s="16" t="s">
        <v>191</v>
      </c>
      <c r="AF87" s="5" t="s">
        <v>197</v>
      </c>
      <c r="AG87" s="5" t="s">
        <v>186</v>
      </c>
      <c r="AK87" s="7"/>
      <c r="AL87" s="7"/>
    </row>
    <row r="88" spans="1:38" x14ac:dyDescent="0.35">
      <c r="A88" s="7">
        <v>1</v>
      </c>
      <c r="B88" s="14">
        <v>0.64930555555555558</v>
      </c>
      <c r="C88" s="21" t="s">
        <v>131</v>
      </c>
      <c r="Y88" s="16" t="s">
        <v>190</v>
      </c>
      <c r="Z88" s="16" t="s">
        <v>193</v>
      </c>
      <c r="AA88" s="16" t="s">
        <v>180</v>
      </c>
      <c r="AB88" s="16" t="s">
        <v>191</v>
      </c>
      <c r="AC88" s="16" t="s">
        <v>190</v>
      </c>
      <c r="AD88" s="16" t="s">
        <v>191</v>
      </c>
      <c r="AE88" s="16" t="s">
        <v>145</v>
      </c>
      <c r="AF88" s="5" t="s">
        <v>192</v>
      </c>
      <c r="AG88" s="5" t="s">
        <v>183</v>
      </c>
      <c r="AH88" s="5" t="s">
        <v>191</v>
      </c>
      <c r="AI88" s="5" t="s">
        <v>220</v>
      </c>
      <c r="AJ88" s="5" t="s">
        <v>186</v>
      </c>
      <c r="AK88" s="7"/>
      <c r="AL88" s="7"/>
    </row>
    <row r="89" spans="1:38" x14ac:dyDescent="0.35">
      <c r="A89" s="2">
        <v>1</v>
      </c>
      <c r="B89" s="15">
        <v>0.64166666666666672</v>
      </c>
      <c r="C89" s="21" t="s">
        <v>131</v>
      </c>
      <c r="Y89" s="16" t="s">
        <v>190</v>
      </c>
      <c r="Z89" s="16" t="s">
        <v>180</v>
      </c>
      <c r="AA89" s="16" t="s">
        <v>221</v>
      </c>
      <c r="AB89" s="16" t="s">
        <v>191</v>
      </c>
      <c r="AC89" s="16" t="s">
        <v>203</v>
      </c>
      <c r="AD89" s="16" t="s">
        <v>191</v>
      </c>
      <c r="AE89" s="16" t="s">
        <v>191</v>
      </c>
      <c r="AF89" s="5" t="s">
        <v>222</v>
      </c>
      <c r="AG89" s="5" t="s">
        <v>181</v>
      </c>
      <c r="AH89" s="5" t="s">
        <v>220</v>
      </c>
      <c r="AK89" s="7"/>
      <c r="AL89" s="7"/>
    </row>
    <row r="90" spans="1:38" x14ac:dyDescent="0.35">
      <c r="A90" s="7">
        <v>1</v>
      </c>
      <c r="B90" s="15">
        <v>0.62361111111111112</v>
      </c>
      <c r="C90" s="21" t="s">
        <v>131</v>
      </c>
      <c r="Y90" s="16" t="s">
        <v>187</v>
      </c>
      <c r="Z90" s="16" t="s">
        <v>219</v>
      </c>
      <c r="AA90" s="16" t="s">
        <v>191</v>
      </c>
      <c r="AC90" s="16" t="s">
        <v>194</v>
      </c>
      <c r="AD90" s="16" t="s">
        <v>191</v>
      </c>
      <c r="AE90" s="16" t="s">
        <v>191</v>
      </c>
      <c r="AK90" s="7"/>
      <c r="AL90" s="7"/>
    </row>
    <row r="91" spans="1:38" x14ac:dyDescent="0.35">
      <c r="A91" s="15">
        <v>1</v>
      </c>
      <c r="B91" s="15">
        <v>0.61736111111111114</v>
      </c>
      <c r="C91" s="21" t="s">
        <v>131</v>
      </c>
      <c r="Y91" s="16" t="s">
        <v>190</v>
      </c>
      <c r="Z91" s="16" t="s">
        <v>201</v>
      </c>
      <c r="AA91" s="16" t="s">
        <v>210</v>
      </c>
      <c r="AB91" s="16" t="s">
        <v>145</v>
      </c>
      <c r="AC91" s="16" t="s">
        <v>203</v>
      </c>
      <c r="AD91" s="16" t="s">
        <v>191</v>
      </c>
      <c r="AE91" s="16" t="s">
        <v>191</v>
      </c>
      <c r="AK91" s="7"/>
      <c r="AL91" s="7"/>
    </row>
    <row r="92" spans="1:38" x14ac:dyDescent="0.35">
      <c r="A92" s="2">
        <v>1</v>
      </c>
      <c r="B92" s="15">
        <v>0.59375</v>
      </c>
      <c r="C92" s="21" t="s">
        <v>131</v>
      </c>
      <c r="Y92" s="16" t="s">
        <v>190</v>
      </c>
      <c r="Z92" s="16" t="s">
        <v>202</v>
      </c>
      <c r="AA92" s="16" t="s">
        <v>182</v>
      </c>
      <c r="AB92" s="16" t="s">
        <v>191</v>
      </c>
      <c r="AC92" s="16" t="s">
        <v>194</v>
      </c>
      <c r="AD92" s="16" t="s">
        <v>191</v>
      </c>
      <c r="AE92" s="16" t="s">
        <v>145</v>
      </c>
      <c r="AF92" s="5" t="s">
        <v>189</v>
      </c>
      <c r="AG92" s="5" t="s">
        <v>183</v>
      </c>
      <c r="AH92" s="5" t="s">
        <v>223</v>
      </c>
      <c r="AI92" s="5" t="s">
        <v>209</v>
      </c>
      <c r="AJ92" s="5" t="s">
        <v>196</v>
      </c>
      <c r="AK92" s="7"/>
      <c r="AL92" s="7"/>
    </row>
    <row r="93" spans="1:38" x14ac:dyDescent="0.35">
      <c r="A93" s="7">
        <v>1</v>
      </c>
      <c r="B93" s="15">
        <v>0.57291666666666663</v>
      </c>
      <c r="C93" s="21" t="s">
        <v>131</v>
      </c>
      <c r="AF93" s="5" t="s">
        <v>182</v>
      </c>
      <c r="AG93" s="5" t="s">
        <v>186</v>
      </c>
      <c r="AK93" s="7"/>
      <c r="AL93" s="7"/>
    </row>
    <row r="94" spans="1:38" x14ac:dyDescent="0.35">
      <c r="A94" s="2">
        <v>1</v>
      </c>
      <c r="B94" s="15">
        <v>0.57013888888888886</v>
      </c>
      <c r="C94" s="21" t="s">
        <v>131</v>
      </c>
      <c r="Y94" s="16" t="s">
        <v>187</v>
      </c>
      <c r="Z94" s="16" t="s">
        <v>201</v>
      </c>
      <c r="AA94" s="16" t="s">
        <v>210</v>
      </c>
      <c r="AB94" s="16" t="s">
        <v>191</v>
      </c>
      <c r="AC94" s="16" t="s">
        <v>203</v>
      </c>
      <c r="AD94" s="16" t="s">
        <v>191</v>
      </c>
      <c r="AE94" s="16" t="s">
        <v>191</v>
      </c>
      <c r="AF94" s="5" t="s">
        <v>205</v>
      </c>
      <c r="AG94" s="5" t="s">
        <v>186</v>
      </c>
      <c r="AK94" s="7"/>
      <c r="AL94" s="7"/>
    </row>
    <row r="95" spans="1:38" x14ac:dyDescent="0.35">
      <c r="A95" s="7">
        <v>1</v>
      </c>
      <c r="B95" s="15">
        <v>0.55833333333333335</v>
      </c>
      <c r="C95" s="21" t="s">
        <v>131</v>
      </c>
      <c r="Y95" s="16" t="s">
        <v>187</v>
      </c>
      <c r="Z95" s="16" t="s">
        <v>206</v>
      </c>
      <c r="AA95" s="16" t="s">
        <v>191</v>
      </c>
      <c r="AC95" s="16" t="s">
        <v>203</v>
      </c>
      <c r="AD95" s="16" t="s">
        <v>191</v>
      </c>
      <c r="AE95" s="16" t="s">
        <v>191</v>
      </c>
      <c r="AF95" s="5" t="s">
        <v>224</v>
      </c>
      <c r="AG95" s="5" t="s">
        <v>183</v>
      </c>
      <c r="AH95" s="5" t="s">
        <v>191</v>
      </c>
      <c r="AI95" s="5" t="s">
        <v>212</v>
      </c>
      <c r="AJ95" s="5" t="s">
        <v>198</v>
      </c>
      <c r="AK95" s="7"/>
      <c r="AL95" s="7"/>
    </row>
    <row r="96" spans="1:38" x14ac:dyDescent="0.35">
      <c r="A96" s="2">
        <v>1</v>
      </c>
      <c r="B96" s="15">
        <v>0.54861111111111116</v>
      </c>
      <c r="C96" s="21" t="s">
        <v>131</v>
      </c>
      <c r="Y96" s="16" t="s">
        <v>225</v>
      </c>
      <c r="Z96" s="16" t="s">
        <v>132</v>
      </c>
      <c r="AD96" s="16" t="s">
        <v>212</v>
      </c>
      <c r="AK96" s="7"/>
      <c r="AL96" s="7"/>
    </row>
    <row r="97" spans="1:38" x14ac:dyDescent="0.35">
      <c r="A97" s="7">
        <v>1</v>
      </c>
      <c r="B97" s="15">
        <v>0.52083333333333337</v>
      </c>
      <c r="C97" s="21" t="s">
        <v>131</v>
      </c>
      <c r="AF97" s="5" t="s">
        <v>206</v>
      </c>
      <c r="AG97" s="5" t="s">
        <v>183</v>
      </c>
      <c r="AH97" s="5" t="s">
        <v>191</v>
      </c>
      <c r="AI97" s="5" t="s">
        <v>206</v>
      </c>
      <c r="AJ97" s="5" t="s">
        <v>186</v>
      </c>
      <c r="AK97" s="7"/>
      <c r="AL97" s="7"/>
    </row>
    <row r="98" spans="1:38" x14ac:dyDescent="0.35">
      <c r="A98" s="2">
        <v>1</v>
      </c>
      <c r="B98" s="15">
        <v>0.50624999999999998</v>
      </c>
      <c r="C98" s="21" t="s">
        <v>131</v>
      </c>
      <c r="Y98" s="16" t="s">
        <v>187</v>
      </c>
      <c r="Z98" s="16" t="s">
        <v>188</v>
      </c>
      <c r="AA98" s="16" t="s">
        <v>191</v>
      </c>
      <c r="AC98" s="16" t="s">
        <v>194</v>
      </c>
      <c r="AD98" s="16" t="s">
        <v>191</v>
      </c>
      <c r="AE98" s="16" t="s">
        <v>191</v>
      </c>
      <c r="AF98" s="5" t="s">
        <v>221</v>
      </c>
      <c r="AG98" s="5" t="s">
        <v>183</v>
      </c>
      <c r="AH98" s="5" t="s">
        <v>191</v>
      </c>
      <c r="AI98" s="5" t="s">
        <v>222</v>
      </c>
      <c r="AJ98" s="5" t="s">
        <v>198</v>
      </c>
      <c r="AK98" s="7"/>
      <c r="AL98" s="7"/>
    </row>
    <row r="99" spans="1:38" x14ac:dyDescent="0.35">
      <c r="A99" s="7">
        <v>1</v>
      </c>
      <c r="B99" s="15">
        <v>0.49930555555555556</v>
      </c>
      <c r="C99" s="21" t="s">
        <v>131</v>
      </c>
      <c r="Y99" s="16" t="s">
        <v>200</v>
      </c>
      <c r="Z99" s="16" t="s">
        <v>226</v>
      </c>
      <c r="AA99" s="16" t="s">
        <v>214</v>
      </c>
      <c r="AC99" s="16" t="s">
        <v>203</v>
      </c>
      <c r="AD99" s="16" t="s">
        <v>191</v>
      </c>
      <c r="AE99" s="16" t="s">
        <v>191</v>
      </c>
      <c r="AK99" s="7"/>
      <c r="AL99" s="7"/>
    </row>
    <row r="100" spans="1:38" x14ac:dyDescent="0.35">
      <c r="A100" s="7">
        <v>1</v>
      </c>
      <c r="B100" s="15">
        <v>0.4861111111111111</v>
      </c>
      <c r="C100" s="21" t="s">
        <v>131</v>
      </c>
      <c r="AF100" s="5" t="s">
        <v>222</v>
      </c>
      <c r="AG100" s="5" t="s">
        <v>186</v>
      </c>
      <c r="AK100" s="7"/>
      <c r="AL100" s="7"/>
    </row>
    <row r="101" spans="1:38" x14ac:dyDescent="0.35">
      <c r="A101" s="7">
        <v>1</v>
      </c>
      <c r="B101" s="15">
        <v>0.4826388888888889</v>
      </c>
      <c r="C101" s="21" t="s">
        <v>131</v>
      </c>
      <c r="Y101" s="16" t="s">
        <v>200</v>
      </c>
      <c r="Z101" s="16" t="s">
        <v>197</v>
      </c>
      <c r="AA101" s="16" t="s">
        <v>191</v>
      </c>
      <c r="AC101" s="16" t="s">
        <v>203</v>
      </c>
      <c r="AD101" s="16" t="s">
        <v>191</v>
      </c>
      <c r="AE101" s="16" t="s">
        <v>191</v>
      </c>
      <c r="AK101" s="7"/>
      <c r="AL101" s="7"/>
    </row>
    <row r="102" spans="1:38" x14ac:dyDescent="0.35">
      <c r="A102" s="2">
        <v>1</v>
      </c>
      <c r="B102" s="15">
        <v>0.4777777777777778</v>
      </c>
      <c r="C102" s="21" t="s">
        <v>131</v>
      </c>
      <c r="Y102" s="16" t="s">
        <v>200</v>
      </c>
      <c r="Z102" s="16" t="s">
        <v>220</v>
      </c>
      <c r="AA102" s="16" t="s">
        <v>222</v>
      </c>
      <c r="AC102" s="16" t="s">
        <v>194</v>
      </c>
      <c r="AD102" s="16" t="s">
        <v>191</v>
      </c>
      <c r="AE102" s="16" t="s">
        <v>191</v>
      </c>
      <c r="AK102" s="7"/>
      <c r="AL102" s="7"/>
    </row>
    <row r="103" spans="1:38" x14ac:dyDescent="0.35">
      <c r="A103" s="7">
        <v>1</v>
      </c>
      <c r="B103" s="14">
        <v>0.47361111111111109</v>
      </c>
      <c r="C103" s="21" t="s">
        <v>131</v>
      </c>
      <c r="Y103" s="16" t="s">
        <v>190</v>
      </c>
      <c r="Z103" s="16" t="s">
        <v>197</v>
      </c>
      <c r="AA103" s="16" t="s">
        <v>218</v>
      </c>
      <c r="AB103" s="16" t="s">
        <v>191</v>
      </c>
      <c r="AC103" s="16" t="s">
        <v>203</v>
      </c>
      <c r="AD103" s="16" t="s">
        <v>191</v>
      </c>
      <c r="AE103" s="16" t="s">
        <v>191</v>
      </c>
      <c r="AK103" s="7"/>
      <c r="AL103" s="7"/>
    </row>
    <row r="104" spans="1:38" x14ac:dyDescent="0.35">
      <c r="A104" s="2">
        <v>1</v>
      </c>
      <c r="B104" s="15">
        <v>0.44444444444444442</v>
      </c>
      <c r="C104" s="21" t="s">
        <v>131</v>
      </c>
      <c r="Y104" s="16" t="s">
        <v>200</v>
      </c>
      <c r="Z104" s="16" t="s">
        <v>201</v>
      </c>
      <c r="AA104" s="16" t="s">
        <v>207</v>
      </c>
      <c r="AC104" s="16" t="s">
        <v>203</v>
      </c>
      <c r="AD104" s="16" t="s">
        <v>191</v>
      </c>
      <c r="AE104" s="16" t="s">
        <v>191</v>
      </c>
      <c r="AK104" s="7"/>
      <c r="AL104" s="7"/>
    </row>
    <row r="105" spans="1:38" x14ac:dyDescent="0.35">
      <c r="A105" s="7">
        <v>1</v>
      </c>
      <c r="B105" s="15">
        <v>0.44097222222222221</v>
      </c>
      <c r="C105" s="21" t="s">
        <v>131</v>
      </c>
      <c r="AF105" s="5" t="s">
        <v>189</v>
      </c>
      <c r="AG105" s="5" t="s">
        <v>183</v>
      </c>
      <c r="AH105" s="5" t="s">
        <v>191</v>
      </c>
      <c r="AI105" s="5" t="s">
        <v>227</v>
      </c>
      <c r="AJ105" s="5" t="s">
        <v>186</v>
      </c>
      <c r="AK105" s="7"/>
      <c r="AL105" s="7"/>
    </row>
    <row r="106" spans="1:38" x14ac:dyDescent="0.35">
      <c r="A106" s="7">
        <v>1</v>
      </c>
      <c r="B106" s="15">
        <v>0.4375</v>
      </c>
      <c r="C106" s="21" t="s">
        <v>131</v>
      </c>
      <c r="Y106" s="16" t="s">
        <v>187</v>
      </c>
      <c r="Z106" s="16" t="s">
        <v>208</v>
      </c>
      <c r="AA106" s="16" t="s">
        <v>180</v>
      </c>
      <c r="AC106" s="16" t="s">
        <v>194</v>
      </c>
      <c r="AD106" s="16" t="s">
        <v>191</v>
      </c>
      <c r="AE106" s="16" t="s">
        <v>191</v>
      </c>
      <c r="AF106" s="5" t="s">
        <v>228</v>
      </c>
      <c r="AG106" s="5" t="s">
        <v>183</v>
      </c>
      <c r="AH106" s="5" t="s">
        <v>208</v>
      </c>
      <c r="AI106" s="5" t="s">
        <v>202</v>
      </c>
      <c r="AJ106" s="5" t="s">
        <v>186</v>
      </c>
      <c r="AK106" s="7"/>
      <c r="AL106" s="7"/>
    </row>
    <row r="107" spans="1:38" x14ac:dyDescent="0.35">
      <c r="A107" s="7">
        <v>1</v>
      </c>
      <c r="B107" s="15">
        <v>0.4236111111111111</v>
      </c>
      <c r="C107" s="21" t="s">
        <v>131</v>
      </c>
      <c r="Y107" s="16" t="s">
        <v>187</v>
      </c>
      <c r="Z107" s="16" t="s">
        <v>207</v>
      </c>
      <c r="AA107" s="16" t="s">
        <v>182</v>
      </c>
      <c r="AC107" s="16" t="s">
        <v>190</v>
      </c>
      <c r="AD107" s="16" t="s">
        <v>202</v>
      </c>
      <c r="AE107" s="16" t="s">
        <v>191</v>
      </c>
      <c r="AK107" s="7"/>
      <c r="AL107" s="7"/>
    </row>
    <row r="108" spans="1:38" x14ac:dyDescent="0.35">
      <c r="A108" s="2">
        <v>1</v>
      </c>
      <c r="B108" s="15">
        <v>0.41249999999999998</v>
      </c>
      <c r="C108" s="21" t="s">
        <v>131</v>
      </c>
      <c r="AF108" s="5" t="s">
        <v>201</v>
      </c>
      <c r="AG108" s="5" t="s">
        <v>181</v>
      </c>
      <c r="AK108" s="7"/>
      <c r="AL108" s="7"/>
    </row>
    <row r="109" spans="1:38" x14ac:dyDescent="0.35">
      <c r="A109" s="7">
        <v>1</v>
      </c>
      <c r="B109" s="15">
        <v>0.40833333333333333</v>
      </c>
      <c r="C109" s="21" t="s">
        <v>131</v>
      </c>
      <c r="Y109" s="16" t="s">
        <v>187</v>
      </c>
      <c r="Z109" s="16" t="s">
        <v>210</v>
      </c>
      <c r="AA109" s="16" t="s">
        <v>191</v>
      </c>
      <c r="AC109" s="16" t="s">
        <v>194</v>
      </c>
      <c r="AD109" s="16" t="s">
        <v>191</v>
      </c>
      <c r="AE109" s="16" t="s">
        <v>191</v>
      </c>
      <c r="AF109" s="5" t="s">
        <v>206</v>
      </c>
      <c r="AG109" s="5" t="s">
        <v>183</v>
      </c>
      <c r="AH109" s="5" t="s">
        <v>191</v>
      </c>
      <c r="AI109" s="5" t="s">
        <v>201</v>
      </c>
      <c r="AJ109" s="5" t="s">
        <v>198</v>
      </c>
      <c r="AK109" s="7"/>
      <c r="AL109" s="7"/>
    </row>
    <row r="110" spans="1:38" x14ac:dyDescent="0.35">
      <c r="A110" s="7">
        <v>1</v>
      </c>
      <c r="B110" s="14">
        <v>0.39166666666666666</v>
      </c>
      <c r="C110" s="21" t="s">
        <v>131</v>
      </c>
      <c r="Y110" s="16" t="s">
        <v>200</v>
      </c>
      <c r="Z110" s="16" t="s">
        <v>215</v>
      </c>
      <c r="AA110" s="16" t="s">
        <v>216</v>
      </c>
      <c r="AB110" s="16" t="s">
        <v>191</v>
      </c>
      <c r="AC110" s="16" t="s">
        <v>203</v>
      </c>
      <c r="AD110" s="16" t="s">
        <v>191</v>
      </c>
      <c r="AE110" s="16" t="s">
        <v>191</v>
      </c>
      <c r="AK110" s="7"/>
      <c r="AL110" s="7"/>
    </row>
    <row r="111" spans="1:38" x14ac:dyDescent="0.35">
      <c r="A111" s="2">
        <v>1</v>
      </c>
      <c r="B111" s="15">
        <v>0.38472222222222224</v>
      </c>
      <c r="C111" s="21" t="s">
        <v>131</v>
      </c>
      <c r="Y111" s="16" t="s">
        <v>187</v>
      </c>
      <c r="Z111" s="16" t="s">
        <v>216</v>
      </c>
      <c r="AA111" s="16" t="s">
        <v>191</v>
      </c>
      <c r="AC111" s="16" t="s">
        <v>194</v>
      </c>
      <c r="AD111" s="16" t="s">
        <v>191</v>
      </c>
      <c r="AE111" s="16" t="s">
        <v>191</v>
      </c>
      <c r="AF111" s="5" t="s">
        <v>214</v>
      </c>
      <c r="AG111" s="5" t="s">
        <v>181</v>
      </c>
      <c r="AK111" s="7"/>
      <c r="AL111" s="7"/>
    </row>
    <row r="112" spans="1:38" x14ac:dyDescent="0.35">
      <c r="A112" s="7">
        <v>1</v>
      </c>
      <c r="B112" s="14">
        <v>0.37638888888888888</v>
      </c>
      <c r="C112" s="21" t="s">
        <v>131</v>
      </c>
      <c r="AF112" s="5" t="s">
        <v>206</v>
      </c>
      <c r="AG112" s="5" t="s">
        <v>183</v>
      </c>
      <c r="AH112" s="5" t="s">
        <v>191</v>
      </c>
      <c r="AI112" s="5" t="s">
        <v>216</v>
      </c>
      <c r="AJ112" s="5" t="s">
        <v>186</v>
      </c>
      <c r="AK112" s="7"/>
      <c r="AL112" s="7"/>
    </row>
    <row r="113" spans="1:38" x14ac:dyDescent="0.35">
      <c r="A113" s="2">
        <v>1</v>
      </c>
      <c r="B113" s="15">
        <v>0.37361111111111112</v>
      </c>
      <c r="C113" s="21" t="s">
        <v>131</v>
      </c>
      <c r="Y113" s="16" t="s">
        <v>187</v>
      </c>
      <c r="Z113" s="16" t="s">
        <v>217</v>
      </c>
      <c r="AA113" s="16" t="s">
        <v>180</v>
      </c>
      <c r="AC113" s="16" t="s">
        <v>190</v>
      </c>
      <c r="AD113" s="16" t="s">
        <v>191</v>
      </c>
      <c r="AE113" s="16" t="s">
        <v>191</v>
      </c>
      <c r="AF113" s="5" t="s">
        <v>180</v>
      </c>
      <c r="AG113" s="5" t="s">
        <v>196</v>
      </c>
      <c r="AK113" s="7"/>
      <c r="AL113" s="7"/>
    </row>
    <row r="114" spans="1:38" x14ac:dyDescent="0.35">
      <c r="A114" s="7">
        <v>1</v>
      </c>
      <c r="B114" s="14">
        <v>0.35416666666666669</v>
      </c>
      <c r="C114" s="21" t="s">
        <v>131</v>
      </c>
      <c r="AF114" s="5" t="s">
        <v>224</v>
      </c>
      <c r="AG114" s="5" t="s">
        <v>183</v>
      </c>
      <c r="AH114" s="5" t="s">
        <v>191</v>
      </c>
      <c r="AI114" s="5" t="s">
        <v>180</v>
      </c>
      <c r="AJ114" s="5" t="s">
        <v>198</v>
      </c>
      <c r="AK114" s="7"/>
      <c r="AL114" s="7"/>
    </row>
    <row r="115" spans="1:38" x14ac:dyDescent="0.35">
      <c r="A115" s="7">
        <v>1</v>
      </c>
      <c r="B115" s="14">
        <v>0.34722222222222221</v>
      </c>
      <c r="C115" s="21" t="s">
        <v>131</v>
      </c>
      <c r="Y115" s="16" t="s">
        <v>187</v>
      </c>
      <c r="Z115" s="16" t="s">
        <v>197</v>
      </c>
      <c r="AA115" s="16" t="s">
        <v>199</v>
      </c>
      <c r="AC115" s="16" t="s">
        <v>190</v>
      </c>
      <c r="AD115" s="16" t="s">
        <v>191</v>
      </c>
      <c r="AE115" s="16" t="s">
        <v>191</v>
      </c>
      <c r="AF115" s="5" t="s">
        <v>229</v>
      </c>
      <c r="AG115" s="5" t="s">
        <v>186</v>
      </c>
      <c r="AK115" s="7"/>
      <c r="AL115" s="7"/>
    </row>
    <row r="116" spans="1:38" x14ac:dyDescent="0.35">
      <c r="A116" s="2">
        <v>1</v>
      </c>
      <c r="B116" s="15">
        <v>0.33541666666666664</v>
      </c>
      <c r="C116" s="21" t="s">
        <v>131</v>
      </c>
      <c r="Y116" s="16" t="s">
        <v>190</v>
      </c>
      <c r="Z116" s="16" t="s">
        <v>185</v>
      </c>
      <c r="AA116" s="16" t="s">
        <v>222</v>
      </c>
      <c r="AB116" s="16" t="s">
        <v>191</v>
      </c>
      <c r="AC116" s="16" t="s">
        <v>194</v>
      </c>
      <c r="AD116" s="16" t="s">
        <v>191</v>
      </c>
      <c r="AE116" s="16" t="s">
        <v>145</v>
      </c>
      <c r="AK116" s="7"/>
      <c r="AL116" s="7"/>
    </row>
    <row r="117" spans="1:38" x14ac:dyDescent="0.35">
      <c r="A117" s="7">
        <v>1</v>
      </c>
      <c r="B117" s="15">
        <v>0.33124999999999999</v>
      </c>
      <c r="C117" s="21" t="s">
        <v>131</v>
      </c>
      <c r="AF117" s="5" t="s">
        <v>182</v>
      </c>
      <c r="AG117" s="5" t="s">
        <v>183</v>
      </c>
      <c r="AH117" s="5" t="s">
        <v>191</v>
      </c>
      <c r="AI117" s="5" t="s">
        <v>208</v>
      </c>
      <c r="AJ117" s="5" t="s">
        <v>198</v>
      </c>
      <c r="AK117" s="7"/>
      <c r="AL117" s="7"/>
    </row>
    <row r="118" spans="1:38" x14ac:dyDescent="0.35">
      <c r="A118" s="7">
        <v>1</v>
      </c>
      <c r="B118" s="15">
        <v>0.31597222222222221</v>
      </c>
      <c r="C118" s="21" t="s">
        <v>131</v>
      </c>
      <c r="Y118" s="16" t="s">
        <v>190</v>
      </c>
      <c r="Z118" s="16" t="s">
        <v>209</v>
      </c>
      <c r="AA118" s="16" t="s">
        <v>218</v>
      </c>
      <c r="AB118" s="16" t="s">
        <v>191</v>
      </c>
      <c r="AC118" s="16" t="s">
        <v>203</v>
      </c>
      <c r="AD118" s="16" t="s">
        <v>191</v>
      </c>
      <c r="AE118" s="16" t="s">
        <v>191</v>
      </c>
      <c r="AF118" s="5" t="s">
        <v>219</v>
      </c>
      <c r="AG118" s="5" t="s">
        <v>186</v>
      </c>
      <c r="AK118" s="7"/>
      <c r="AL118" s="7"/>
    </row>
    <row r="119" spans="1:38" x14ac:dyDescent="0.35">
      <c r="A119" s="2">
        <v>1</v>
      </c>
      <c r="B119" s="15">
        <v>0.31041666666666667</v>
      </c>
      <c r="C119" s="21" t="s">
        <v>131</v>
      </c>
      <c r="Y119" s="16" t="s">
        <v>187</v>
      </c>
      <c r="Z119" s="16" t="s">
        <v>192</v>
      </c>
      <c r="AA119" s="16" t="s">
        <v>189</v>
      </c>
      <c r="AC119" s="16" t="s">
        <v>203</v>
      </c>
      <c r="AD119" s="16" t="s">
        <v>191</v>
      </c>
      <c r="AE119" s="16" t="s">
        <v>191</v>
      </c>
      <c r="AK119" s="7"/>
      <c r="AL119" s="7"/>
    </row>
    <row r="120" spans="1:38" x14ac:dyDescent="0.35">
      <c r="A120" s="7">
        <v>1</v>
      </c>
      <c r="B120" s="15">
        <v>0.30208333333333331</v>
      </c>
      <c r="C120" s="21" t="s">
        <v>131</v>
      </c>
      <c r="Y120" s="16" t="s">
        <v>200</v>
      </c>
      <c r="Z120" s="16" t="s">
        <v>219</v>
      </c>
      <c r="AA120" s="16" t="s">
        <v>222</v>
      </c>
      <c r="AC120" s="16" t="s">
        <v>194</v>
      </c>
      <c r="AD120" s="16" t="s">
        <v>191</v>
      </c>
      <c r="AE120" s="16" t="s">
        <v>191</v>
      </c>
      <c r="AK120" s="7"/>
      <c r="AL120" s="7"/>
    </row>
    <row r="121" spans="1:38" x14ac:dyDescent="0.35">
      <c r="A121" s="7">
        <v>1</v>
      </c>
      <c r="B121" s="15">
        <v>0.2902777777777778</v>
      </c>
      <c r="C121" s="21" t="s">
        <v>131</v>
      </c>
      <c r="Y121" s="16" t="s">
        <v>200</v>
      </c>
      <c r="Z121" s="16" t="s">
        <v>188</v>
      </c>
      <c r="AA121" s="16" t="s">
        <v>197</v>
      </c>
      <c r="AC121" s="16" t="s">
        <v>203</v>
      </c>
      <c r="AD121" s="16" t="s">
        <v>191</v>
      </c>
      <c r="AE121" s="16" t="s">
        <v>191</v>
      </c>
      <c r="AK121" s="7"/>
      <c r="AL121" s="7"/>
    </row>
    <row r="122" spans="1:38" x14ac:dyDescent="0.35">
      <c r="A122" s="2">
        <v>1</v>
      </c>
      <c r="B122" s="15">
        <v>0.28472222222222221</v>
      </c>
      <c r="C122" s="21" t="s">
        <v>131</v>
      </c>
      <c r="Y122" s="16" t="s">
        <v>187</v>
      </c>
      <c r="Z122" s="16" t="s">
        <v>210</v>
      </c>
      <c r="AA122" s="16" t="s">
        <v>191</v>
      </c>
      <c r="AC122" s="16" t="s">
        <v>194</v>
      </c>
      <c r="AD122" s="16" t="s">
        <v>191</v>
      </c>
      <c r="AE122" s="16" t="s">
        <v>191</v>
      </c>
      <c r="AF122" s="5" t="s">
        <v>195</v>
      </c>
      <c r="AG122" s="5" t="s">
        <v>183</v>
      </c>
      <c r="AH122" s="5" t="s">
        <v>191</v>
      </c>
      <c r="AI122" s="5" t="s">
        <v>221</v>
      </c>
      <c r="AJ122" s="5" t="s">
        <v>198</v>
      </c>
      <c r="AK122" s="7"/>
      <c r="AL122" s="7"/>
    </row>
    <row r="123" spans="1:38" x14ac:dyDescent="0.35">
      <c r="A123" s="7">
        <v>1</v>
      </c>
      <c r="B123" s="15">
        <v>0.27430555555555558</v>
      </c>
      <c r="C123" s="21" t="s">
        <v>131</v>
      </c>
      <c r="Y123" s="16" t="s">
        <v>187</v>
      </c>
      <c r="Z123" s="16" t="s">
        <v>188</v>
      </c>
      <c r="AA123" s="16" t="s">
        <v>191</v>
      </c>
      <c r="AC123" s="16" t="s">
        <v>203</v>
      </c>
      <c r="AD123" s="16" t="s">
        <v>191</v>
      </c>
      <c r="AE123" s="16" t="s">
        <v>191</v>
      </c>
      <c r="AF123" s="5" t="s">
        <v>193</v>
      </c>
      <c r="AG123" s="5" t="s">
        <v>204</v>
      </c>
      <c r="AK123" s="7"/>
      <c r="AL123" s="7"/>
    </row>
    <row r="124" spans="1:38" x14ac:dyDescent="0.35">
      <c r="A124" s="7">
        <v>1</v>
      </c>
      <c r="B124" s="14">
        <v>0.26666666666666666</v>
      </c>
      <c r="C124" s="21" t="s">
        <v>131</v>
      </c>
      <c r="Y124" s="16" t="s">
        <v>190</v>
      </c>
      <c r="Z124" s="16" t="s">
        <v>193</v>
      </c>
      <c r="AA124" s="16" t="s">
        <v>205</v>
      </c>
      <c r="AB124" s="16" t="s">
        <v>191</v>
      </c>
      <c r="AC124" s="16" t="s">
        <v>194</v>
      </c>
      <c r="AD124" s="16" t="s">
        <v>191</v>
      </c>
      <c r="AE124" s="16" t="s">
        <v>191</v>
      </c>
      <c r="AF124" s="5" t="s">
        <v>207</v>
      </c>
      <c r="AG124" s="5" t="s">
        <v>196</v>
      </c>
      <c r="AH124" s="5" t="s">
        <v>206</v>
      </c>
      <c r="AK124" s="7"/>
      <c r="AL124" s="7"/>
    </row>
    <row r="125" spans="1:38" x14ac:dyDescent="0.35">
      <c r="A125" s="2">
        <v>1</v>
      </c>
      <c r="B125" s="15">
        <v>0.25069444444444444</v>
      </c>
      <c r="C125" s="21" t="s">
        <v>131</v>
      </c>
      <c r="Y125" s="16" t="s">
        <v>225</v>
      </c>
      <c r="Z125" s="16" t="s">
        <v>132</v>
      </c>
      <c r="AF125" s="5" t="s">
        <v>216</v>
      </c>
      <c r="AG125" s="5" t="s">
        <v>230</v>
      </c>
      <c r="AH125" s="5" t="s">
        <v>202</v>
      </c>
      <c r="AK125" s="7"/>
      <c r="AL125" s="7"/>
    </row>
    <row r="126" spans="1:38" x14ac:dyDescent="0.35">
      <c r="A126" s="7">
        <v>1</v>
      </c>
      <c r="B126" s="14">
        <v>0.23194444444444445</v>
      </c>
      <c r="C126" s="21" t="s">
        <v>131</v>
      </c>
      <c r="AF126" s="5" t="s">
        <v>227</v>
      </c>
      <c r="AG126" s="5" t="s">
        <v>198</v>
      </c>
      <c r="AH126" s="5" t="s">
        <v>207</v>
      </c>
      <c r="AK126" s="7"/>
      <c r="AL126" s="7"/>
    </row>
    <row r="127" spans="1:38" x14ac:dyDescent="0.35">
      <c r="A127" s="2">
        <v>1</v>
      </c>
      <c r="B127" s="15">
        <v>0.22708333333333333</v>
      </c>
      <c r="C127" s="21" t="s">
        <v>131</v>
      </c>
      <c r="Y127" s="16" t="s">
        <v>187</v>
      </c>
      <c r="Z127" s="16" t="s">
        <v>214</v>
      </c>
      <c r="AA127" s="16" t="s">
        <v>191</v>
      </c>
      <c r="AC127" s="16" t="s">
        <v>194</v>
      </c>
      <c r="AD127" s="16" t="s">
        <v>207</v>
      </c>
      <c r="AE127" s="16" t="s">
        <v>191</v>
      </c>
      <c r="AF127" s="5" t="s">
        <v>216</v>
      </c>
      <c r="AG127" s="5" t="s">
        <v>230</v>
      </c>
      <c r="AH127" s="5" t="s">
        <v>223</v>
      </c>
      <c r="AK127" s="7"/>
      <c r="AL127" s="7"/>
    </row>
    <row r="128" spans="1:38" x14ac:dyDescent="0.35">
      <c r="A128" s="7">
        <v>1</v>
      </c>
      <c r="B128" s="15">
        <v>0.19513888888888889</v>
      </c>
      <c r="C128" s="21" t="s">
        <v>131</v>
      </c>
      <c r="AF128" s="5" t="s">
        <v>216</v>
      </c>
      <c r="AG128" s="5" t="s">
        <v>181</v>
      </c>
      <c r="AK128" s="7"/>
      <c r="AL128" s="7"/>
    </row>
    <row r="129" spans="1:38" x14ac:dyDescent="0.35">
      <c r="A129" s="7">
        <v>1</v>
      </c>
      <c r="B129" s="14">
        <v>0.19305555555555556</v>
      </c>
      <c r="C129" s="21" t="s">
        <v>131</v>
      </c>
      <c r="Y129" s="16" t="s">
        <v>190</v>
      </c>
      <c r="Z129" s="16" t="s">
        <v>214</v>
      </c>
      <c r="AA129" s="16" t="s">
        <v>206</v>
      </c>
      <c r="AB129" s="16" t="s">
        <v>191</v>
      </c>
      <c r="AC129" s="16" t="s">
        <v>194</v>
      </c>
      <c r="AD129" s="16" t="s">
        <v>191</v>
      </c>
      <c r="AE129" s="16" t="s">
        <v>191</v>
      </c>
      <c r="AK129" s="7"/>
      <c r="AL129" s="7"/>
    </row>
    <row r="130" spans="1:38" x14ac:dyDescent="0.35">
      <c r="A130" s="2">
        <v>1</v>
      </c>
      <c r="B130" s="15">
        <v>0.18680555555555556</v>
      </c>
      <c r="C130" s="21" t="s">
        <v>131</v>
      </c>
      <c r="AF130" s="5" t="s">
        <v>182</v>
      </c>
      <c r="AG130" s="5" t="s">
        <v>198</v>
      </c>
      <c r="AK130" s="7"/>
      <c r="AL130" s="7"/>
    </row>
    <row r="131" spans="1:38" x14ac:dyDescent="0.35">
      <c r="A131" s="7">
        <v>1</v>
      </c>
      <c r="B131" s="15">
        <v>0.18333333333333332</v>
      </c>
      <c r="C131" s="21" t="s">
        <v>131</v>
      </c>
      <c r="Y131" s="16" t="s">
        <v>200</v>
      </c>
      <c r="Z131" s="16" t="s">
        <v>212</v>
      </c>
      <c r="AA131" s="16" t="s">
        <v>182</v>
      </c>
      <c r="AC131" s="16" t="s">
        <v>190</v>
      </c>
      <c r="AD131" s="16" t="s">
        <v>191</v>
      </c>
      <c r="AE131" s="16" t="s">
        <v>191</v>
      </c>
      <c r="AK131" s="7"/>
      <c r="AL131" s="7"/>
    </row>
    <row r="132" spans="1:38" x14ac:dyDescent="0.35">
      <c r="A132" s="2">
        <v>1</v>
      </c>
      <c r="B132" s="15">
        <v>0.17986111111111111</v>
      </c>
      <c r="C132" s="21" t="s">
        <v>131</v>
      </c>
      <c r="Y132" s="16" t="s">
        <v>190</v>
      </c>
      <c r="Z132" s="16" t="s">
        <v>215</v>
      </c>
      <c r="AA132" s="16" t="s">
        <v>189</v>
      </c>
      <c r="AB132" s="16" t="s">
        <v>191</v>
      </c>
      <c r="AC132" s="16" t="s">
        <v>190</v>
      </c>
      <c r="AD132" s="16" t="s">
        <v>191</v>
      </c>
      <c r="AE132" s="16" t="s">
        <v>191</v>
      </c>
      <c r="AK132" s="7"/>
      <c r="AL132" s="7"/>
    </row>
    <row r="133" spans="1:38" x14ac:dyDescent="0.35">
      <c r="A133" s="7">
        <v>1</v>
      </c>
      <c r="B133" s="15">
        <v>0.1736111111111111</v>
      </c>
      <c r="C133" s="21" t="s">
        <v>131</v>
      </c>
      <c r="AF133" s="5" t="s">
        <v>189</v>
      </c>
      <c r="AG133" s="5" t="s">
        <v>183</v>
      </c>
      <c r="AH133" s="5" t="s">
        <v>191</v>
      </c>
      <c r="AI133" s="5" t="s">
        <v>226</v>
      </c>
      <c r="AJ133" s="5" t="s">
        <v>181</v>
      </c>
      <c r="AK133" s="7"/>
      <c r="AL133" s="7"/>
    </row>
    <row r="134" spans="1:38" x14ac:dyDescent="0.35">
      <c r="A134" s="7">
        <v>1</v>
      </c>
      <c r="B134" s="14">
        <v>0.1673611111111111</v>
      </c>
      <c r="C134" s="21" t="s">
        <v>131</v>
      </c>
      <c r="AF134" s="5" t="s">
        <v>218</v>
      </c>
      <c r="AG134" s="5" t="s">
        <v>198</v>
      </c>
      <c r="AH134" s="5" t="s">
        <v>226</v>
      </c>
      <c r="AK134" s="7"/>
      <c r="AL134" s="7"/>
    </row>
    <row r="135" spans="1:38" x14ac:dyDescent="0.35">
      <c r="A135" s="2">
        <v>1</v>
      </c>
      <c r="B135" s="15">
        <v>0.13750000000000001</v>
      </c>
      <c r="C135" s="21" t="s">
        <v>131</v>
      </c>
      <c r="Y135" s="16" t="s">
        <v>190</v>
      </c>
      <c r="Z135" s="16" t="s">
        <v>199</v>
      </c>
      <c r="AA135" s="16" t="s">
        <v>222</v>
      </c>
      <c r="AB135" s="16" t="s">
        <v>145</v>
      </c>
      <c r="AC135" s="16" t="s">
        <v>194</v>
      </c>
      <c r="AD135" s="16" t="s">
        <v>191</v>
      </c>
      <c r="AE135" s="16" t="s">
        <v>191</v>
      </c>
      <c r="AK135" s="7"/>
      <c r="AL135" s="7"/>
    </row>
    <row r="136" spans="1:38" x14ac:dyDescent="0.35">
      <c r="A136" s="7">
        <v>1</v>
      </c>
      <c r="B136" s="15">
        <v>0.13194444444444445</v>
      </c>
      <c r="C136" s="21" t="s">
        <v>131</v>
      </c>
      <c r="AF136" s="5" t="s">
        <v>222</v>
      </c>
      <c r="AG136" s="5" t="s">
        <v>183</v>
      </c>
      <c r="AH136" s="5" t="s">
        <v>191</v>
      </c>
      <c r="AI136" s="5" t="s">
        <v>231</v>
      </c>
      <c r="AJ136" s="5" t="s">
        <v>186</v>
      </c>
      <c r="AK136" s="7"/>
      <c r="AL136" s="7"/>
    </row>
    <row r="137" spans="1:38" x14ac:dyDescent="0.35">
      <c r="A137" s="2">
        <v>1</v>
      </c>
      <c r="B137" s="15">
        <v>0.12777777777777777</v>
      </c>
      <c r="C137" s="21" t="s">
        <v>131</v>
      </c>
      <c r="Y137" s="16" t="s">
        <v>200</v>
      </c>
      <c r="Z137" s="16" t="s">
        <v>193</v>
      </c>
      <c r="AA137" s="16" t="s">
        <v>199</v>
      </c>
      <c r="AB137" s="16" t="s">
        <v>191</v>
      </c>
      <c r="AC137" s="16" t="s">
        <v>190</v>
      </c>
      <c r="AD137" s="16" t="s">
        <v>191</v>
      </c>
      <c r="AE137" s="16" t="s">
        <v>191</v>
      </c>
      <c r="AK137" s="7"/>
      <c r="AL137" s="7"/>
    </row>
    <row r="138" spans="1:38" x14ac:dyDescent="0.35">
      <c r="A138" s="2">
        <v>1</v>
      </c>
      <c r="B138" s="15">
        <v>0.12152777777777778</v>
      </c>
      <c r="C138" s="21" t="s">
        <v>131</v>
      </c>
      <c r="Y138" s="16" t="s">
        <v>190</v>
      </c>
      <c r="Z138" s="16" t="s">
        <v>192</v>
      </c>
      <c r="AA138" s="16" t="s">
        <v>221</v>
      </c>
      <c r="AB138" s="16" t="s">
        <v>145</v>
      </c>
      <c r="AC138" s="16" t="s">
        <v>203</v>
      </c>
      <c r="AD138" s="16" t="s">
        <v>191</v>
      </c>
      <c r="AE138" s="16" t="s">
        <v>191</v>
      </c>
      <c r="AF138" s="5" t="s">
        <v>222</v>
      </c>
      <c r="AG138" s="5" t="s">
        <v>230</v>
      </c>
      <c r="AK138" s="7"/>
      <c r="AL138" s="7"/>
    </row>
    <row r="139" spans="1:38" x14ac:dyDescent="0.35">
      <c r="A139" s="7">
        <v>1</v>
      </c>
      <c r="B139" s="15">
        <v>0.11041666666666666</v>
      </c>
      <c r="C139" s="21" t="s">
        <v>131</v>
      </c>
      <c r="AF139" s="5" t="s">
        <v>193</v>
      </c>
      <c r="AG139" s="5" t="s">
        <v>183</v>
      </c>
      <c r="AH139" s="5" t="s">
        <v>191</v>
      </c>
      <c r="AI139" s="5" t="s">
        <v>221</v>
      </c>
      <c r="AJ139" s="5" t="s">
        <v>186</v>
      </c>
      <c r="AK139" s="7"/>
      <c r="AL139" s="7"/>
    </row>
    <row r="140" spans="1:38" x14ac:dyDescent="0.35">
      <c r="A140" s="2">
        <v>1</v>
      </c>
      <c r="B140" s="15">
        <v>0.10347222222222222</v>
      </c>
      <c r="C140" s="21" t="s">
        <v>131</v>
      </c>
      <c r="AF140" s="5" t="s">
        <v>228</v>
      </c>
      <c r="AG140" s="5" t="s">
        <v>183</v>
      </c>
      <c r="AH140" s="5" t="s">
        <v>191</v>
      </c>
      <c r="AI140" s="5" t="s">
        <v>218</v>
      </c>
      <c r="AJ140" s="5" t="s">
        <v>181</v>
      </c>
      <c r="AK140" s="7"/>
      <c r="AL140" s="7"/>
    </row>
    <row r="141" spans="1:38" x14ac:dyDescent="0.35">
      <c r="A141" s="2">
        <v>1</v>
      </c>
      <c r="B141" s="15">
        <v>9.375E-2</v>
      </c>
      <c r="C141" s="21" t="s">
        <v>131</v>
      </c>
      <c r="Y141" s="16" t="s">
        <v>190</v>
      </c>
      <c r="Z141" s="16" t="s">
        <v>182</v>
      </c>
      <c r="AA141" s="16" t="s">
        <v>218</v>
      </c>
      <c r="AB141" s="16" t="s">
        <v>191</v>
      </c>
      <c r="AC141" s="16" t="s">
        <v>203</v>
      </c>
      <c r="AD141" s="16" t="s">
        <v>191</v>
      </c>
      <c r="AE141" s="16" t="s">
        <v>191</v>
      </c>
      <c r="AF141" s="5" t="s">
        <v>199</v>
      </c>
      <c r="AG141" s="5" t="s">
        <v>181</v>
      </c>
      <c r="AK141" s="7"/>
      <c r="AL141" s="7"/>
    </row>
    <row r="142" spans="1:38" x14ac:dyDescent="0.35">
      <c r="A142" s="7">
        <v>1</v>
      </c>
      <c r="B142" s="15">
        <v>7.9861111111111105E-2</v>
      </c>
      <c r="C142" s="21" t="s">
        <v>131</v>
      </c>
      <c r="Y142" s="16" t="s">
        <v>187</v>
      </c>
      <c r="Z142" s="16" t="s">
        <v>201</v>
      </c>
      <c r="AA142" s="16" t="s">
        <v>210</v>
      </c>
      <c r="AC142" s="16" t="s">
        <v>203</v>
      </c>
      <c r="AD142" s="16" t="s">
        <v>191</v>
      </c>
      <c r="AE142" s="16" t="s">
        <v>191</v>
      </c>
      <c r="AK142" s="7"/>
      <c r="AL142" s="7"/>
    </row>
    <row r="143" spans="1:38" x14ac:dyDescent="0.35">
      <c r="A143" s="2">
        <v>1</v>
      </c>
      <c r="B143" s="15">
        <v>6.9444444444444448E-2</v>
      </c>
      <c r="C143" s="21" t="s">
        <v>131</v>
      </c>
      <c r="Y143" s="16" t="s">
        <v>190</v>
      </c>
      <c r="Z143" s="16" t="s">
        <v>209</v>
      </c>
      <c r="AA143" s="16" t="s">
        <v>191</v>
      </c>
      <c r="AB143" s="16" t="s">
        <v>145</v>
      </c>
      <c r="AC143" s="16" t="s">
        <v>203</v>
      </c>
      <c r="AD143" s="16" t="s">
        <v>191</v>
      </c>
      <c r="AE143" s="16" t="s">
        <v>191</v>
      </c>
      <c r="AF143" s="5" t="s">
        <v>205</v>
      </c>
      <c r="AG143" s="5" t="s">
        <v>204</v>
      </c>
      <c r="AK143" s="7"/>
      <c r="AL143" s="7"/>
    </row>
    <row r="144" spans="1:38" x14ac:dyDescent="0.35">
      <c r="A144" s="7">
        <v>1</v>
      </c>
      <c r="B144" s="14">
        <v>5.2083333333333336E-2</v>
      </c>
      <c r="C144" s="21" t="s">
        <v>131</v>
      </c>
      <c r="AF144" s="5" t="s">
        <v>206</v>
      </c>
      <c r="AG144" s="5" t="s">
        <v>183</v>
      </c>
      <c r="AH144" s="5" t="s">
        <v>191</v>
      </c>
      <c r="AI144" s="5" t="s">
        <v>216</v>
      </c>
      <c r="AJ144" s="5" t="s">
        <v>198</v>
      </c>
      <c r="AK144" s="7"/>
      <c r="AL144" s="7"/>
    </row>
    <row r="145" spans="1:38" x14ac:dyDescent="0.35">
      <c r="A145" s="7">
        <v>1</v>
      </c>
      <c r="B145" s="15">
        <v>4.7222222222222221E-2</v>
      </c>
      <c r="C145" s="21" t="s">
        <v>131</v>
      </c>
      <c r="AF145" s="5" t="s">
        <v>228</v>
      </c>
      <c r="AG145" s="5" t="s">
        <v>183</v>
      </c>
      <c r="AH145" s="5" t="s">
        <v>191</v>
      </c>
      <c r="AI145" s="5" t="s">
        <v>223</v>
      </c>
      <c r="AJ145" s="5" t="s">
        <v>198</v>
      </c>
      <c r="AK145" s="7"/>
      <c r="AL145" s="7"/>
    </row>
    <row r="146" spans="1:38" x14ac:dyDescent="0.35">
      <c r="A146" s="2">
        <v>1</v>
      </c>
      <c r="B146" s="15">
        <v>3.6111111111111108E-2</v>
      </c>
      <c r="C146" s="21" t="s">
        <v>131</v>
      </c>
      <c r="AF146" s="5" t="s">
        <v>221</v>
      </c>
      <c r="AG146" s="5" t="s">
        <v>183</v>
      </c>
      <c r="AH146" s="5" t="s">
        <v>223</v>
      </c>
      <c r="AI146" s="5" t="s">
        <v>211</v>
      </c>
      <c r="AJ146" s="5" t="s">
        <v>196</v>
      </c>
      <c r="AK146" s="7"/>
      <c r="AL146" s="7"/>
    </row>
    <row r="147" spans="1:38" x14ac:dyDescent="0.35">
      <c r="A147" s="7">
        <v>1</v>
      </c>
      <c r="B147" s="15">
        <v>2.7083333333333334E-2</v>
      </c>
      <c r="C147" s="21" t="s">
        <v>131</v>
      </c>
      <c r="AF147" s="5" t="s">
        <v>182</v>
      </c>
      <c r="AG147" s="5" t="s">
        <v>183</v>
      </c>
      <c r="AH147" s="5" t="s">
        <v>191</v>
      </c>
      <c r="AI147" s="5" t="s">
        <v>217</v>
      </c>
      <c r="AJ147" s="5" t="s">
        <v>196</v>
      </c>
      <c r="AK147" s="7"/>
      <c r="AL147" s="7"/>
    </row>
    <row r="148" spans="1:38" x14ac:dyDescent="0.35">
      <c r="A148" s="2">
        <v>1</v>
      </c>
      <c r="B148" s="15">
        <v>2.0833333333333332E-2</v>
      </c>
      <c r="C148" s="21" t="s">
        <v>131</v>
      </c>
      <c r="AF148" s="5" t="s">
        <v>182</v>
      </c>
      <c r="AG148" s="5" t="s">
        <v>183</v>
      </c>
      <c r="AH148" s="5" t="s">
        <v>191</v>
      </c>
      <c r="AI148" s="5" t="s">
        <v>217</v>
      </c>
      <c r="AJ148" s="5" t="s">
        <v>186</v>
      </c>
      <c r="AK148" s="7"/>
      <c r="AL148" s="7"/>
    </row>
    <row r="149" spans="1:38" x14ac:dyDescent="0.35">
      <c r="A149" s="7">
        <v>1</v>
      </c>
      <c r="B149" s="15">
        <v>1.6666666666666666E-2</v>
      </c>
      <c r="C149" s="21" t="s">
        <v>131</v>
      </c>
      <c r="Y149" s="16" t="s">
        <v>190</v>
      </c>
      <c r="Z149" s="16" t="s">
        <v>226</v>
      </c>
      <c r="AA149" s="16" t="s">
        <v>214</v>
      </c>
      <c r="AB149" s="16" t="s">
        <v>191</v>
      </c>
      <c r="AC149" s="16" t="s">
        <v>203</v>
      </c>
      <c r="AD149" s="16" t="s">
        <v>191</v>
      </c>
      <c r="AE149" s="16" t="s">
        <v>191</v>
      </c>
      <c r="AK149" s="7"/>
      <c r="AL149" s="7"/>
    </row>
    <row r="150" spans="1:38" x14ac:dyDescent="0.35">
      <c r="A150" s="2">
        <v>1</v>
      </c>
      <c r="B150" s="15">
        <v>1.3888888888888888E-2</v>
      </c>
      <c r="C150" s="21" t="s">
        <v>131</v>
      </c>
      <c r="Y150" s="16" t="s">
        <v>187</v>
      </c>
      <c r="Z150" s="16" t="s">
        <v>189</v>
      </c>
      <c r="AA150" s="16" t="s">
        <v>191</v>
      </c>
      <c r="AC150" s="16" t="s">
        <v>194</v>
      </c>
      <c r="AD150" s="16" t="s">
        <v>226</v>
      </c>
      <c r="AE150" s="16" t="s">
        <v>145</v>
      </c>
      <c r="AF150" s="5" t="s">
        <v>207</v>
      </c>
      <c r="AG150" s="5" t="s">
        <v>230</v>
      </c>
      <c r="AH150" s="5" t="s">
        <v>184</v>
      </c>
      <c r="AK150" s="7"/>
      <c r="AL150" s="7"/>
    </row>
    <row r="151" spans="1:38" x14ac:dyDescent="0.35">
      <c r="A151" s="2">
        <v>2</v>
      </c>
      <c r="B151" s="15">
        <v>0.82430555555555551</v>
      </c>
      <c r="C151" s="21" t="s">
        <v>131</v>
      </c>
      <c r="AF151" s="5" t="s">
        <v>189</v>
      </c>
      <c r="AG151" s="5" t="s">
        <v>183</v>
      </c>
      <c r="AH151" s="5" t="s">
        <v>191</v>
      </c>
      <c r="AI151" s="5" t="s">
        <v>182</v>
      </c>
      <c r="AJ151" s="5" t="s">
        <v>198</v>
      </c>
      <c r="AK151" s="7"/>
      <c r="AL151" s="7"/>
    </row>
    <row r="152" spans="1:38" x14ac:dyDescent="0.35">
      <c r="A152" s="2">
        <v>2</v>
      </c>
      <c r="B152" s="15">
        <v>0.80763888888888891</v>
      </c>
      <c r="C152" s="21" t="s">
        <v>131</v>
      </c>
      <c r="AF152" s="5" t="s">
        <v>226</v>
      </c>
      <c r="AG152" s="5" t="s">
        <v>198</v>
      </c>
      <c r="AK152" s="7"/>
      <c r="AL152" s="7"/>
    </row>
    <row r="153" spans="1:38" x14ac:dyDescent="0.35">
      <c r="A153" s="7">
        <v>2</v>
      </c>
      <c r="B153" s="15">
        <v>0.80138888888888893</v>
      </c>
      <c r="C153" s="21" t="s">
        <v>131</v>
      </c>
      <c r="AF153" s="5" t="s">
        <v>228</v>
      </c>
      <c r="AG153" s="5" t="s">
        <v>186</v>
      </c>
      <c r="AK153" s="7"/>
      <c r="AL153" s="7"/>
    </row>
    <row r="154" spans="1:38" x14ac:dyDescent="0.35">
      <c r="A154" s="7">
        <v>2</v>
      </c>
      <c r="B154" s="14">
        <v>0.78819444444444442</v>
      </c>
      <c r="C154" s="21" t="s">
        <v>131</v>
      </c>
      <c r="Y154" s="16" t="s">
        <v>190</v>
      </c>
      <c r="Z154" s="16" t="s">
        <v>217</v>
      </c>
      <c r="AA154" s="16" t="s">
        <v>218</v>
      </c>
      <c r="AB154" s="16" t="s">
        <v>191</v>
      </c>
      <c r="AC154" s="16" t="s">
        <v>203</v>
      </c>
      <c r="AD154" s="16" t="s">
        <v>191</v>
      </c>
      <c r="AE154" s="16" t="s">
        <v>191</v>
      </c>
      <c r="AK154" s="7"/>
      <c r="AL154" s="7"/>
    </row>
    <row r="155" spans="1:38" x14ac:dyDescent="0.35">
      <c r="A155" s="2">
        <v>2</v>
      </c>
      <c r="B155" s="15">
        <v>0.78541666666666665</v>
      </c>
      <c r="C155" s="21" t="s">
        <v>131</v>
      </c>
      <c r="Y155" s="16" t="s">
        <v>190</v>
      </c>
      <c r="Z155" s="16" t="s">
        <v>188</v>
      </c>
      <c r="AA155" s="16" t="s">
        <v>221</v>
      </c>
      <c r="AB155" s="16" t="s">
        <v>191</v>
      </c>
      <c r="AC155" s="16" t="s">
        <v>194</v>
      </c>
      <c r="AD155" s="16" t="s">
        <v>191</v>
      </c>
      <c r="AE155" s="16" t="s">
        <v>191</v>
      </c>
      <c r="AK155" s="7"/>
      <c r="AL155" s="7"/>
    </row>
    <row r="156" spans="1:38" x14ac:dyDescent="0.35">
      <c r="A156" s="7">
        <v>2</v>
      </c>
      <c r="B156" s="15">
        <v>0.77361111111111114</v>
      </c>
      <c r="C156" s="21" t="s">
        <v>131</v>
      </c>
      <c r="Y156" s="16" t="s">
        <v>200</v>
      </c>
      <c r="Z156" s="16" t="s">
        <v>216</v>
      </c>
      <c r="AA156" s="16" t="s">
        <v>224</v>
      </c>
      <c r="AC156" s="16" t="s">
        <v>194</v>
      </c>
      <c r="AD156" s="16" t="s">
        <v>191</v>
      </c>
      <c r="AE156" s="16" t="s">
        <v>191</v>
      </c>
      <c r="AK156" s="7"/>
      <c r="AL156" s="7"/>
    </row>
    <row r="157" spans="1:38" x14ac:dyDescent="0.35">
      <c r="A157" s="7">
        <v>2</v>
      </c>
      <c r="B157" s="15">
        <v>0.77152777777777781</v>
      </c>
      <c r="C157" s="21" t="s">
        <v>131</v>
      </c>
      <c r="AF157" s="5" t="s">
        <v>201</v>
      </c>
      <c r="AG157" s="5" t="s">
        <v>183</v>
      </c>
      <c r="AH157" s="5" t="s">
        <v>224</v>
      </c>
      <c r="AI157" s="5" t="s">
        <v>208</v>
      </c>
      <c r="AJ157" s="5" t="s">
        <v>196</v>
      </c>
      <c r="AK157" s="7"/>
      <c r="AL157" s="7"/>
    </row>
    <row r="158" spans="1:38" x14ac:dyDescent="0.35">
      <c r="A158" s="2">
        <v>2</v>
      </c>
      <c r="B158" s="15">
        <v>0.75902777777777775</v>
      </c>
      <c r="C158" s="21" t="s">
        <v>131</v>
      </c>
      <c r="Y158" s="16" t="s">
        <v>190</v>
      </c>
      <c r="Z158" s="16" t="s">
        <v>201</v>
      </c>
      <c r="AA158" s="16" t="s">
        <v>205</v>
      </c>
      <c r="AB158" s="16" t="s">
        <v>191</v>
      </c>
      <c r="AC158" s="16" t="s">
        <v>190</v>
      </c>
      <c r="AD158" s="16" t="s">
        <v>232</v>
      </c>
      <c r="AE158" s="16" t="s">
        <v>191</v>
      </c>
      <c r="AF158" s="5" t="s">
        <v>212</v>
      </c>
      <c r="AG158" s="5" t="s">
        <v>230</v>
      </c>
      <c r="AH158" s="5" t="s">
        <v>227</v>
      </c>
      <c r="AK158" s="7"/>
      <c r="AL158" s="7"/>
    </row>
    <row r="159" spans="1:38" x14ac:dyDescent="0.35">
      <c r="A159" s="7">
        <v>2</v>
      </c>
      <c r="B159" s="15">
        <v>0.73611111111111116</v>
      </c>
      <c r="C159" s="21" t="s">
        <v>131</v>
      </c>
      <c r="AF159" s="5" t="s">
        <v>210</v>
      </c>
      <c r="AG159" s="5" t="s">
        <v>198</v>
      </c>
      <c r="AK159" s="7"/>
      <c r="AL159" s="7"/>
    </row>
    <row r="160" spans="1:38" x14ac:dyDescent="0.35">
      <c r="A160" s="2">
        <v>2</v>
      </c>
      <c r="B160" s="15">
        <v>0.71736111111111112</v>
      </c>
      <c r="C160" s="21" t="s">
        <v>131</v>
      </c>
      <c r="Y160" s="16" t="s">
        <v>187</v>
      </c>
      <c r="Z160" s="16" t="s">
        <v>216</v>
      </c>
      <c r="AA160" s="16" t="s">
        <v>191</v>
      </c>
      <c r="AC160" s="16" t="s">
        <v>190</v>
      </c>
      <c r="AD160" s="16" t="s">
        <v>191</v>
      </c>
      <c r="AE160" s="16" t="s">
        <v>191</v>
      </c>
      <c r="AF160" s="5" t="s">
        <v>223</v>
      </c>
      <c r="AG160" s="5" t="s">
        <v>183</v>
      </c>
      <c r="AH160" s="5" t="s">
        <v>191</v>
      </c>
      <c r="AI160" s="5" t="s">
        <v>202</v>
      </c>
      <c r="AJ160" s="5" t="s">
        <v>186</v>
      </c>
      <c r="AK160" s="7"/>
      <c r="AL160" s="7"/>
    </row>
    <row r="161" spans="1:38" x14ac:dyDescent="0.35">
      <c r="A161" s="2">
        <v>2</v>
      </c>
      <c r="B161" s="15">
        <v>0.7104166666666667</v>
      </c>
      <c r="C161" s="21" t="s">
        <v>131</v>
      </c>
      <c r="Y161" s="16" t="s">
        <v>200</v>
      </c>
      <c r="Z161" s="16" t="s">
        <v>223</v>
      </c>
      <c r="AA161" s="16" t="s">
        <v>191</v>
      </c>
      <c r="AC161" s="16" t="s">
        <v>203</v>
      </c>
      <c r="AD161" s="16" t="s">
        <v>191</v>
      </c>
      <c r="AE161" s="16" t="s">
        <v>191</v>
      </c>
      <c r="AK161" s="7"/>
      <c r="AL161" s="7"/>
    </row>
    <row r="162" spans="1:38" x14ac:dyDescent="0.35">
      <c r="A162" s="2">
        <v>2</v>
      </c>
      <c r="B162" s="15">
        <v>0.70694444444444449</v>
      </c>
      <c r="C162" s="21" t="s">
        <v>131</v>
      </c>
      <c r="Y162" s="16" t="s">
        <v>190</v>
      </c>
      <c r="Z162" s="16" t="s">
        <v>207</v>
      </c>
      <c r="AA162" s="16" t="s">
        <v>189</v>
      </c>
      <c r="AB162" s="16" t="s">
        <v>191</v>
      </c>
      <c r="AC162" s="16" t="s">
        <v>203</v>
      </c>
      <c r="AD162" s="16" t="s">
        <v>191</v>
      </c>
      <c r="AE162" s="16" t="s">
        <v>191</v>
      </c>
      <c r="AF162" s="5" t="s">
        <v>211</v>
      </c>
      <c r="AG162" s="5" t="s">
        <v>198</v>
      </c>
      <c r="AK162" s="7"/>
      <c r="AL162" s="7"/>
    </row>
    <row r="163" spans="1:38" x14ac:dyDescent="0.35">
      <c r="A163" s="7">
        <v>2</v>
      </c>
      <c r="B163" s="15">
        <v>0.69722222222222219</v>
      </c>
      <c r="C163" s="21" t="s">
        <v>131</v>
      </c>
      <c r="Y163" s="16" t="s">
        <v>190</v>
      </c>
      <c r="Z163" s="16" t="s">
        <v>202</v>
      </c>
      <c r="AA163" s="16" t="s">
        <v>189</v>
      </c>
      <c r="AB163" s="16" t="s">
        <v>145</v>
      </c>
      <c r="AC163" s="16" t="s">
        <v>203</v>
      </c>
      <c r="AD163" s="16" t="s">
        <v>191</v>
      </c>
      <c r="AE163" s="16" t="s">
        <v>191</v>
      </c>
      <c r="AK163" s="7"/>
      <c r="AL163" s="7"/>
    </row>
    <row r="164" spans="1:38" x14ac:dyDescent="0.35">
      <c r="A164" s="7">
        <v>2</v>
      </c>
      <c r="B164" s="15">
        <v>0.67986111111111114</v>
      </c>
      <c r="C164" s="21" t="s">
        <v>131</v>
      </c>
      <c r="AF164" s="5" t="s">
        <v>189</v>
      </c>
      <c r="AG164" s="5" t="s">
        <v>183</v>
      </c>
      <c r="AH164" s="5" t="s">
        <v>191</v>
      </c>
      <c r="AI164" s="5" t="s">
        <v>197</v>
      </c>
      <c r="AJ164" s="5" t="s">
        <v>186</v>
      </c>
      <c r="AK164" s="7"/>
      <c r="AL164" s="7"/>
    </row>
    <row r="165" spans="1:38" x14ac:dyDescent="0.35">
      <c r="A165" s="2">
        <v>2</v>
      </c>
      <c r="B165" s="15">
        <v>0.6694444444444444</v>
      </c>
      <c r="C165" s="21" t="s">
        <v>131</v>
      </c>
      <c r="Y165" s="16" t="s">
        <v>187</v>
      </c>
      <c r="Z165" s="16" t="s">
        <v>220</v>
      </c>
      <c r="AA165" s="16" t="s">
        <v>222</v>
      </c>
      <c r="AC165" s="16" t="s">
        <v>194</v>
      </c>
      <c r="AD165" s="16" t="s">
        <v>191</v>
      </c>
      <c r="AE165" s="16" t="s">
        <v>191</v>
      </c>
      <c r="AF165" s="5" t="s">
        <v>221</v>
      </c>
      <c r="AG165" s="5" t="s">
        <v>183</v>
      </c>
      <c r="AH165" s="5" t="s">
        <v>191</v>
      </c>
      <c r="AI165" s="5" t="s">
        <v>222</v>
      </c>
      <c r="AJ165" s="5" t="s">
        <v>181</v>
      </c>
      <c r="AK165" s="7"/>
      <c r="AL165" s="7"/>
    </row>
    <row r="166" spans="1:38" x14ac:dyDescent="0.35">
      <c r="A166" s="7">
        <v>2</v>
      </c>
      <c r="B166" s="15">
        <v>0.66180555555555554</v>
      </c>
      <c r="C166" s="21" t="s">
        <v>131</v>
      </c>
      <c r="Y166" s="16" t="s">
        <v>190</v>
      </c>
      <c r="Z166" s="16" t="s">
        <v>193</v>
      </c>
      <c r="AA166" s="16" t="s">
        <v>218</v>
      </c>
      <c r="AB166" s="16" t="s">
        <v>191</v>
      </c>
      <c r="AC166" s="16" t="s">
        <v>203</v>
      </c>
      <c r="AD166" s="16" t="s">
        <v>191</v>
      </c>
      <c r="AE166" s="16" t="s">
        <v>191</v>
      </c>
      <c r="AF166" s="5" t="s">
        <v>219</v>
      </c>
      <c r="AG166" s="5" t="s">
        <v>230</v>
      </c>
      <c r="AH166" s="5" t="s">
        <v>193</v>
      </c>
      <c r="AK166" s="7"/>
      <c r="AL166" s="7"/>
    </row>
    <row r="167" spans="1:38" x14ac:dyDescent="0.35">
      <c r="A167" s="2">
        <v>2</v>
      </c>
      <c r="B167" s="15">
        <v>0.64444444444444449</v>
      </c>
      <c r="C167" s="21" t="s">
        <v>131</v>
      </c>
      <c r="AF167" s="5" t="s">
        <v>219</v>
      </c>
      <c r="AG167" s="5" t="s">
        <v>183</v>
      </c>
      <c r="AH167" s="5" t="s">
        <v>191</v>
      </c>
      <c r="AI167" s="5" t="s">
        <v>192</v>
      </c>
      <c r="AJ167" s="5" t="s">
        <v>196</v>
      </c>
      <c r="AK167" s="7"/>
      <c r="AL167" s="7"/>
    </row>
    <row r="168" spans="1:38" x14ac:dyDescent="0.35">
      <c r="A168" s="7">
        <v>2</v>
      </c>
      <c r="B168" s="15">
        <v>0.6381944444444444</v>
      </c>
      <c r="C168" s="21" t="s">
        <v>131</v>
      </c>
      <c r="AF168" s="5" t="s">
        <v>219</v>
      </c>
      <c r="AG168" s="5" t="s">
        <v>204</v>
      </c>
      <c r="AK168" s="7"/>
      <c r="AL168" s="7"/>
    </row>
    <row r="169" spans="1:38" x14ac:dyDescent="0.35">
      <c r="A169" s="7">
        <v>2</v>
      </c>
      <c r="B169" s="15">
        <v>0.63472222222222219</v>
      </c>
      <c r="C169" s="21" t="s">
        <v>131</v>
      </c>
      <c r="Y169" s="16" t="s">
        <v>190</v>
      </c>
      <c r="Z169" s="16" t="s">
        <v>219</v>
      </c>
      <c r="AA169" s="16" t="s">
        <v>221</v>
      </c>
      <c r="AB169" s="16" t="s">
        <v>191</v>
      </c>
      <c r="AC169" s="16" t="s">
        <v>203</v>
      </c>
      <c r="AD169" s="16" t="s">
        <v>191</v>
      </c>
      <c r="AE169" s="16" t="s">
        <v>191</v>
      </c>
      <c r="AF169" s="5" t="s">
        <v>221</v>
      </c>
      <c r="AG169" s="5" t="s">
        <v>183</v>
      </c>
      <c r="AH169" s="5" t="s">
        <v>191</v>
      </c>
      <c r="AI169" s="5" t="s">
        <v>221</v>
      </c>
      <c r="AJ169" s="5" t="s">
        <v>186</v>
      </c>
      <c r="AK169" s="7"/>
      <c r="AL169" s="7"/>
    </row>
    <row r="170" spans="1:38" x14ac:dyDescent="0.35">
      <c r="A170" s="7">
        <v>2</v>
      </c>
      <c r="B170" s="15">
        <v>0.61875000000000002</v>
      </c>
      <c r="C170" s="21" t="s">
        <v>131</v>
      </c>
      <c r="Y170" s="16" t="s">
        <v>187</v>
      </c>
      <c r="Z170" s="16" t="s">
        <v>193</v>
      </c>
      <c r="AA170" s="16" t="s">
        <v>180</v>
      </c>
      <c r="AC170" s="16" t="s">
        <v>194</v>
      </c>
      <c r="AD170" s="16" t="s">
        <v>191</v>
      </c>
      <c r="AE170" s="16" t="s">
        <v>191</v>
      </c>
      <c r="AF170" s="5" t="s">
        <v>228</v>
      </c>
      <c r="AG170" s="5" t="s">
        <v>183</v>
      </c>
      <c r="AH170" s="5" t="s">
        <v>191</v>
      </c>
      <c r="AI170" s="5" t="s">
        <v>229</v>
      </c>
      <c r="AJ170" s="5" t="s">
        <v>204</v>
      </c>
      <c r="AK170" s="7"/>
      <c r="AL170" s="7"/>
    </row>
    <row r="171" spans="1:38" x14ac:dyDescent="0.35">
      <c r="A171" s="7">
        <v>2</v>
      </c>
      <c r="B171" s="15">
        <v>0.6118055555555556</v>
      </c>
      <c r="C171" s="21" t="s">
        <v>131</v>
      </c>
      <c r="Y171" s="16" t="s">
        <v>190</v>
      </c>
      <c r="Z171" s="16" t="s">
        <v>229</v>
      </c>
      <c r="AA171" s="16" t="s">
        <v>216</v>
      </c>
      <c r="AB171" s="16" t="s">
        <v>191</v>
      </c>
      <c r="AC171" s="16" t="s">
        <v>203</v>
      </c>
      <c r="AD171" s="16" t="s">
        <v>191</v>
      </c>
      <c r="AE171" s="16" t="s">
        <v>191</v>
      </c>
      <c r="AF171" s="5" t="s">
        <v>206</v>
      </c>
      <c r="AG171" s="5" t="s">
        <v>183</v>
      </c>
      <c r="AH171" s="5" t="s">
        <v>229</v>
      </c>
      <c r="AI171" s="5" t="s">
        <v>184</v>
      </c>
      <c r="AJ171" s="5" t="s">
        <v>196</v>
      </c>
      <c r="AK171" s="7"/>
      <c r="AL171" s="7"/>
    </row>
    <row r="172" spans="1:38" x14ac:dyDescent="0.35">
      <c r="A172" s="7">
        <v>2</v>
      </c>
      <c r="B172" s="15">
        <v>0.59305555555555556</v>
      </c>
      <c r="C172" s="21" t="s">
        <v>131</v>
      </c>
      <c r="AF172" s="5" t="s">
        <v>216</v>
      </c>
      <c r="AG172" s="5" t="s">
        <v>183</v>
      </c>
      <c r="AH172" s="5" t="s">
        <v>191</v>
      </c>
      <c r="AI172" s="5" t="s">
        <v>184</v>
      </c>
      <c r="AJ172" s="5" t="s">
        <v>186</v>
      </c>
      <c r="AK172" s="7"/>
      <c r="AL172" s="7"/>
    </row>
    <row r="173" spans="1:38" x14ac:dyDescent="0.35">
      <c r="A173" s="2">
        <v>2</v>
      </c>
      <c r="B173" s="15">
        <v>0.59027777777777779</v>
      </c>
      <c r="C173" s="21" t="s">
        <v>131</v>
      </c>
      <c r="Y173" s="16" t="s">
        <v>190</v>
      </c>
      <c r="Z173" s="16" t="s">
        <v>193</v>
      </c>
      <c r="AA173" s="16" t="s">
        <v>191</v>
      </c>
      <c r="AB173" s="16" t="s">
        <v>191</v>
      </c>
      <c r="AC173" s="16" t="s">
        <v>203</v>
      </c>
      <c r="AD173" s="16" t="s">
        <v>191</v>
      </c>
      <c r="AE173" s="16" t="s">
        <v>145</v>
      </c>
      <c r="AK173" s="7"/>
      <c r="AL173" s="7"/>
    </row>
    <row r="174" spans="1:38" x14ac:dyDescent="0.35">
      <c r="A174" s="7">
        <v>2</v>
      </c>
      <c r="B174" s="15">
        <v>0.57430555555555551</v>
      </c>
      <c r="C174" s="21" t="s">
        <v>131</v>
      </c>
      <c r="Y174" s="16" t="s">
        <v>187</v>
      </c>
      <c r="Z174" s="16" t="s">
        <v>205</v>
      </c>
      <c r="AA174" s="16" t="s">
        <v>191</v>
      </c>
      <c r="AB174" s="16" t="s">
        <v>191</v>
      </c>
      <c r="AC174" s="16" t="s">
        <v>203</v>
      </c>
      <c r="AD174" s="16" t="s">
        <v>191</v>
      </c>
      <c r="AE174" s="16" t="s">
        <v>191</v>
      </c>
      <c r="AF174" s="5" t="s">
        <v>213</v>
      </c>
      <c r="AG174" s="5" t="s">
        <v>181</v>
      </c>
      <c r="AK174" s="7"/>
      <c r="AL174" s="7"/>
    </row>
    <row r="175" spans="1:38" x14ac:dyDescent="0.35">
      <c r="A175" s="2">
        <v>2</v>
      </c>
      <c r="B175" s="15">
        <v>0.56944444444444442</v>
      </c>
      <c r="C175" s="21" t="s">
        <v>131</v>
      </c>
      <c r="Y175" s="16" t="s">
        <v>190</v>
      </c>
      <c r="Z175" s="16" t="s">
        <v>227</v>
      </c>
      <c r="AA175" s="16" t="s">
        <v>205</v>
      </c>
      <c r="AB175" s="16" t="s">
        <v>145</v>
      </c>
      <c r="AC175" s="16" t="s">
        <v>203</v>
      </c>
      <c r="AD175" s="16" t="s">
        <v>191</v>
      </c>
      <c r="AE175" s="16" t="s">
        <v>145</v>
      </c>
      <c r="AK175" s="7"/>
      <c r="AL175" s="7"/>
    </row>
    <row r="176" spans="1:38" x14ac:dyDescent="0.35">
      <c r="A176" s="7">
        <v>2</v>
      </c>
      <c r="B176" s="15">
        <v>0.5625</v>
      </c>
      <c r="C176" s="21" t="s">
        <v>131</v>
      </c>
      <c r="AF176" s="5" t="s">
        <v>210</v>
      </c>
      <c r="AG176" s="5" t="s">
        <v>183</v>
      </c>
      <c r="AH176" s="5" t="s">
        <v>211</v>
      </c>
      <c r="AI176" s="5" t="s">
        <v>212</v>
      </c>
      <c r="AJ176" s="5" t="s">
        <v>186</v>
      </c>
      <c r="AK176" s="7"/>
      <c r="AL176" s="7"/>
    </row>
    <row r="177" spans="1:38" x14ac:dyDescent="0.35">
      <c r="A177" s="2">
        <v>2</v>
      </c>
      <c r="B177" s="15">
        <v>0.55555555555555558</v>
      </c>
      <c r="C177" s="21" t="s">
        <v>131</v>
      </c>
      <c r="Y177" s="16" t="s">
        <v>190</v>
      </c>
      <c r="Z177" s="16" t="s">
        <v>224</v>
      </c>
      <c r="AA177" s="16" t="s">
        <v>182</v>
      </c>
      <c r="AB177" s="16" t="s">
        <v>145</v>
      </c>
      <c r="AC177" s="16" t="s">
        <v>194</v>
      </c>
      <c r="AD177" s="16" t="s">
        <v>191</v>
      </c>
      <c r="AE177" s="16" t="s">
        <v>191</v>
      </c>
      <c r="AF177" s="5" t="s">
        <v>189</v>
      </c>
      <c r="AG177" s="5" t="s">
        <v>183</v>
      </c>
      <c r="AH177" s="5" t="s">
        <v>191</v>
      </c>
      <c r="AI177" s="5" t="s">
        <v>182</v>
      </c>
      <c r="AJ177" s="5" t="s">
        <v>181</v>
      </c>
      <c r="AK177" s="7"/>
      <c r="AL177" s="7"/>
    </row>
    <row r="178" spans="1:38" x14ac:dyDescent="0.35">
      <c r="A178" s="7">
        <v>2</v>
      </c>
      <c r="B178" s="15">
        <v>0.54722222222222228</v>
      </c>
      <c r="C178" s="21" t="s">
        <v>131</v>
      </c>
      <c r="Y178" s="16" t="s">
        <v>187</v>
      </c>
      <c r="Z178" s="16" t="s">
        <v>189</v>
      </c>
      <c r="AA178" s="16" t="s">
        <v>191</v>
      </c>
      <c r="AC178" s="16" t="s">
        <v>194</v>
      </c>
      <c r="AD178" s="16" t="s">
        <v>191</v>
      </c>
      <c r="AE178" s="16" t="s">
        <v>191</v>
      </c>
      <c r="AF178" s="5" t="s">
        <v>228</v>
      </c>
      <c r="AG178" s="5" t="s">
        <v>230</v>
      </c>
      <c r="AH178" s="5" t="s">
        <v>201</v>
      </c>
      <c r="AK178" s="7"/>
      <c r="AL178" s="7"/>
    </row>
    <row r="179" spans="1:38" x14ac:dyDescent="0.35">
      <c r="A179" s="2">
        <v>2</v>
      </c>
      <c r="B179" s="15">
        <v>0.5395833333333333</v>
      </c>
      <c r="C179" s="21" t="s">
        <v>131</v>
      </c>
      <c r="Y179" s="16" t="s">
        <v>190</v>
      </c>
      <c r="Z179" s="16" t="s">
        <v>201</v>
      </c>
      <c r="AA179" s="16" t="s">
        <v>199</v>
      </c>
      <c r="AB179" s="16" t="s">
        <v>191</v>
      </c>
      <c r="AC179" s="16" t="s">
        <v>194</v>
      </c>
      <c r="AD179" s="16" t="s">
        <v>191</v>
      </c>
      <c r="AE179" s="16" t="s">
        <v>191</v>
      </c>
      <c r="AK179" s="7"/>
      <c r="AL179" s="7"/>
    </row>
    <row r="180" spans="1:38" x14ac:dyDescent="0.35">
      <c r="A180" s="7">
        <v>2</v>
      </c>
      <c r="B180" s="15">
        <v>0.52083333333333337</v>
      </c>
      <c r="C180" s="21" t="s">
        <v>131</v>
      </c>
      <c r="Y180" s="16" t="s">
        <v>187</v>
      </c>
      <c r="Z180" s="16" t="s">
        <v>189</v>
      </c>
      <c r="AA180" s="16" t="s">
        <v>191</v>
      </c>
      <c r="AC180" s="16" t="s">
        <v>194</v>
      </c>
      <c r="AD180" s="16" t="s">
        <v>197</v>
      </c>
      <c r="AE180" s="16" t="s">
        <v>191</v>
      </c>
      <c r="AF180" s="5" t="s">
        <v>233</v>
      </c>
      <c r="AG180" s="5" t="s">
        <v>196</v>
      </c>
      <c r="AK180" s="7"/>
      <c r="AL180" s="7"/>
    </row>
    <row r="181" spans="1:38" x14ac:dyDescent="0.35">
      <c r="A181" s="7">
        <v>2</v>
      </c>
      <c r="B181" s="14">
        <v>0.50555555555555554</v>
      </c>
      <c r="C181" s="21" t="s">
        <v>131</v>
      </c>
      <c r="AF181" s="5" t="s">
        <v>218</v>
      </c>
      <c r="AG181" s="5" t="s">
        <v>183</v>
      </c>
      <c r="AH181" s="5" t="s">
        <v>191</v>
      </c>
      <c r="AI181" s="5" t="s">
        <v>207</v>
      </c>
      <c r="AJ181" s="5" t="s">
        <v>186</v>
      </c>
      <c r="AK181" s="7"/>
      <c r="AL181" s="7"/>
    </row>
    <row r="182" spans="1:38" x14ac:dyDescent="0.35">
      <c r="A182" s="15">
        <v>2</v>
      </c>
      <c r="B182" s="15">
        <v>0.49930555555555556</v>
      </c>
      <c r="C182" s="21" t="s">
        <v>131</v>
      </c>
      <c r="Y182" s="16" t="s">
        <v>187</v>
      </c>
      <c r="Z182" s="16" t="s">
        <v>202</v>
      </c>
      <c r="AA182" s="16" t="s">
        <v>189</v>
      </c>
      <c r="AB182" s="16" t="s">
        <v>191</v>
      </c>
      <c r="AC182" s="16" t="s">
        <v>203</v>
      </c>
      <c r="AD182" s="16" t="s">
        <v>191</v>
      </c>
      <c r="AE182" s="16" t="s">
        <v>191</v>
      </c>
      <c r="AF182" s="5" t="s">
        <v>193</v>
      </c>
      <c r="AG182" s="5" t="s">
        <v>186</v>
      </c>
      <c r="AK182" s="7"/>
      <c r="AL182" s="7"/>
    </row>
    <row r="183" spans="1:38" x14ac:dyDescent="0.35">
      <c r="A183" s="7">
        <v>2</v>
      </c>
      <c r="B183" s="15">
        <v>0.49444444444444446</v>
      </c>
      <c r="C183" s="21" t="s">
        <v>131</v>
      </c>
      <c r="Y183" s="16" t="s">
        <v>187</v>
      </c>
      <c r="Z183" s="16" t="s">
        <v>197</v>
      </c>
      <c r="AA183" s="16" t="s">
        <v>218</v>
      </c>
      <c r="AC183" s="16" t="s">
        <v>190</v>
      </c>
      <c r="AD183" s="16" t="s">
        <v>191</v>
      </c>
      <c r="AE183" s="16" t="s">
        <v>191</v>
      </c>
      <c r="AK183" s="7"/>
      <c r="AL183" s="7"/>
    </row>
    <row r="184" spans="1:38" x14ac:dyDescent="0.35">
      <c r="A184" s="2">
        <v>2</v>
      </c>
      <c r="B184" s="15">
        <v>0.4909722222222222</v>
      </c>
      <c r="C184" s="21" t="s">
        <v>131</v>
      </c>
      <c r="AF184" s="5" t="s">
        <v>188</v>
      </c>
      <c r="AG184" s="5" t="s">
        <v>204</v>
      </c>
      <c r="AK184" s="7"/>
      <c r="AL184" s="7"/>
    </row>
    <row r="185" spans="1:38" x14ac:dyDescent="0.35">
      <c r="A185" s="7">
        <v>2</v>
      </c>
      <c r="B185" s="15">
        <v>0.4861111111111111</v>
      </c>
      <c r="C185" s="21" t="s">
        <v>131</v>
      </c>
      <c r="Y185" s="16" t="s">
        <v>187</v>
      </c>
      <c r="Z185" s="16" t="s">
        <v>188</v>
      </c>
      <c r="AA185" s="16" t="s">
        <v>191</v>
      </c>
      <c r="AC185" s="16" t="s">
        <v>194</v>
      </c>
      <c r="AD185" s="16" t="s">
        <v>191</v>
      </c>
      <c r="AE185" s="16" t="s">
        <v>191</v>
      </c>
      <c r="AF185" s="5" t="s">
        <v>206</v>
      </c>
      <c r="AG185" s="5" t="s">
        <v>181</v>
      </c>
    </row>
    <row r="186" spans="1:38" x14ac:dyDescent="0.35">
      <c r="A186" s="2">
        <v>2</v>
      </c>
      <c r="B186" s="15">
        <v>0.47916666666666669</v>
      </c>
      <c r="C186" s="21" t="s">
        <v>131</v>
      </c>
      <c r="Y186" s="16" t="s">
        <v>190</v>
      </c>
      <c r="Z186" s="16" t="s">
        <v>184</v>
      </c>
      <c r="AA186" s="16" t="s">
        <v>191</v>
      </c>
      <c r="AB186" s="16" t="s">
        <v>191</v>
      </c>
      <c r="AC186" s="16" t="s">
        <v>203</v>
      </c>
      <c r="AD186" s="16" t="s">
        <v>191</v>
      </c>
      <c r="AE186" s="16" t="s">
        <v>191</v>
      </c>
    </row>
    <row r="187" spans="1:38" x14ac:dyDescent="0.35">
      <c r="A187" s="2">
        <v>2</v>
      </c>
      <c r="B187" s="15">
        <v>0.47152777777777777</v>
      </c>
      <c r="C187" s="21" t="s">
        <v>131</v>
      </c>
      <c r="AF187" s="5" t="s">
        <v>185</v>
      </c>
      <c r="AG187" s="5" t="s">
        <v>198</v>
      </c>
    </row>
    <row r="188" spans="1:38" x14ac:dyDescent="0.35">
      <c r="A188" s="2">
        <v>2</v>
      </c>
      <c r="B188" s="15">
        <v>0.44444444444444442</v>
      </c>
      <c r="C188" s="21" t="s">
        <v>170</v>
      </c>
      <c r="Y188" s="16" t="s">
        <v>190</v>
      </c>
      <c r="Z188" s="16" t="s">
        <v>197</v>
      </c>
      <c r="AA188" s="16" t="s">
        <v>191</v>
      </c>
      <c r="AB188" s="16" t="s">
        <v>145</v>
      </c>
      <c r="AC188" s="16" t="s">
        <v>194</v>
      </c>
      <c r="AD188" s="16" t="s">
        <v>191</v>
      </c>
      <c r="AE188" s="16" t="s">
        <v>145</v>
      </c>
    </row>
    <row r="189" spans="1:38" x14ac:dyDescent="0.35">
      <c r="A189" s="7">
        <v>2</v>
      </c>
      <c r="B189" s="15">
        <v>0.4152777777777778</v>
      </c>
      <c r="C189" s="21" t="s">
        <v>170</v>
      </c>
      <c r="Y189" s="16" t="s">
        <v>190</v>
      </c>
      <c r="Z189" s="16" t="s">
        <v>193</v>
      </c>
      <c r="AA189" s="16" t="s">
        <v>191</v>
      </c>
      <c r="AB189" s="16" t="s">
        <v>145</v>
      </c>
      <c r="AC189" s="16" t="s">
        <v>203</v>
      </c>
      <c r="AD189" s="16" t="s">
        <v>191</v>
      </c>
      <c r="AE189" s="16" t="s">
        <v>145</v>
      </c>
    </row>
    <row r="190" spans="1:38" x14ac:dyDescent="0.35">
      <c r="A190" s="7">
        <v>2</v>
      </c>
      <c r="B190" s="15">
        <v>0.36388888888888887</v>
      </c>
      <c r="C190" s="21" t="s">
        <v>131</v>
      </c>
      <c r="Y190" s="16" t="s">
        <v>190</v>
      </c>
      <c r="Z190" s="16" t="s">
        <v>208</v>
      </c>
      <c r="AA190" s="16" t="s">
        <v>218</v>
      </c>
      <c r="AB190" s="16" t="s">
        <v>145</v>
      </c>
      <c r="AC190" s="16" t="s">
        <v>203</v>
      </c>
      <c r="AD190" s="16" t="s">
        <v>191</v>
      </c>
      <c r="AE190" s="16" t="s">
        <v>145</v>
      </c>
    </row>
    <row r="191" spans="1:38" x14ac:dyDescent="0.35">
      <c r="A191" s="7">
        <v>2</v>
      </c>
      <c r="B191" s="15">
        <v>0.33611111111111114</v>
      </c>
      <c r="C191" s="21" t="s">
        <v>131</v>
      </c>
      <c r="Y191" s="16" t="s">
        <v>190</v>
      </c>
      <c r="Z191" s="16" t="s">
        <v>199</v>
      </c>
      <c r="AA191" s="16" t="s">
        <v>208</v>
      </c>
      <c r="AB191" s="16" t="s">
        <v>191</v>
      </c>
      <c r="AC191" s="16" t="s">
        <v>203</v>
      </c>
      <c r="AD191" s="16" t="s">
        <v>191</v>
      </c>
      <c r="AE191" s="16" t="s">
        <v>191</v>
      </c>
      <c r="AF191" s="5" t="s">
        <v>189</v>
      </c>
      <c r="AG191" s="5" t="s">
        <v>183</v>
      </c>
      <c r="AH191" s="5" t="s">
        <v>191</v>
      </c>
      <c r="AI191" s="5" t="s">
        <v>182</v>
      </c>
      <c r="AJ191" s="5" t="s">
        <v>198</v>
      </c>
    </row>
    <row r="192" spans="1:38" x14ac:dyDescent="0.35">
      <c r="A192" s="7">
        <v>2</v>
      </c>
      <c r="B192" s="15">
        <v>0.32291666666666669</v>
      </c>
      <c r="C192" s="21" t="s">
        <v>131</v>
      </c>
      <c r="Y192" s="16" t="s">
        <v>200</v>
      </c>
      <c r="Z192" s="16" t="s">
        <v>212</v>
      </c>
      <c r="AA192" s="16" t="s">
        <v>208</v>
      </c>
      <c r="AC192" s="16" t="s">
        <v>194</v>
      </c>
      <c r="AD192" s="16" t="s">
        <v>191</v>
      </c>
      <c r="AE192" s="16" t="s">
        <v>191</v>
      </c>
    </row>
    <row r="193" spans="1:36" x14ac:dyDescent="0.35">
      <c r="A193" s="7">
        <v>2</v>
      </c>
      <c r="B193" s="15">
        <v>0.31597222222222221</v>
      </c>
      <c r="C193" s="21" t="s">
        <v>131</v>
      </c>
      <c r="Y193" s="16" t="s">
        <v>225</v>
      </c>
      <c r="Z193" s="16" t="s">
        <v>132</v>
      </c>
      <c r="AF193" s="5" t="s">
        <v>195</v>
      </c>
      <c r="AG193" s="5" t="s">
        <v>183</v>
      </c>
      <c r="AH193" s="5" t="s">
        <v>202</v>
      </c>
      <c r="AI193" s="5" t="s">
        <v>206</v>
      </c>
      <c r="AJ193" s="5" t="s">
        <v>186</v>
      </c>
    </row>
    <row r="194" spans="1:36" x14ac:dyDescent="0.35">
      <c r="A194" s="2">
        <v>2</v>
      </c>
      <c r="B194" s="15">
        <v>0.30555555555555558</v>
      </c>
      <c r="C194" s="21" t="s">
        <v>131</v>
      </c>
      <c r="Y194" s="16" t="s">
        <v>200</v>
      </c>
      <c r="Z194" s="16" t="s">
        <v>184</v>
      </c>
      <c r="AA194" s="16" t="s">
        <v>205</v>
      </c>
      <c r="AC194" s="16" t="s">
        <v>194</v>
      </c>
      <c r="AD194" s="16" t="s">
        <v>191</v>
      </c>
      <c r="AE194" s="16" t="s">
        <v>191</v>
      </c>
    </row>
    <row r="195" spans="1:36" x14ac:dyDescent="0.35">
      <c r="A195" s="7">
        <v>2</v>
      </c>
      <c r="B195" s="15">
        <v>0.30208333333333331</v>
      </c>
      <c r="C195" s="21" t="s">
        <v>131</v>
      </c>
      <c r="Y195" s="16" t="s">
        <v>225</v>
      </c>
      <c r="Z195" s="16" t="s">
        <v>132</v>
      </c>
      <c r="AF195" s="5" t="s">
        <v>216</v>
      </c>
      <c r="AG195" s="5" t="s">
        <v>183</v>
      </c>
      <c r="AH195" s="5" t="s">
        <v>191</v>
      </c>
      <c r="AI195" s="5" t="s">
        <v>206</v>
      </c>
      <c r="AJ195" s="5" t="s">
        <v>198</v>
      </c>
    </row>
    <row r="196" spans="1:36" x14ac:dyDescent="0.35">
      <c r="A196" s="2">
        <v>2</v>
      </c>
      <c r="B196" s="15">
        <v>0.29444444444444445</v>
      </c>
      <c r="C196" s="21" t="s">
        <v>131</v>
      </c>
      <c r="AF196" s="5" t="s">
        <v>216</v>
      </c>
      <c r="AG196" s="5" t="s">
        <v>183</v>
      </c>
      <c r="AH196" s="5" t="s">
        <v>191</v>
      </c>
      <c r="AI196" s="5" t="s">
        <v>206</v>
      </c>
      <c r="AJ196" s="5" t="s">
        <v>186</v>
      </c>
    </row>
    <row r="197" spans="1:36" x14ac:dyDescent="0.35">
      <c r="A197" s="7">
        <v>2</v>
      </c>
      <c r="B197" s="15">
        <v>0.28819444444444442</v>
      </c>
      <c r="C197" s="21" t="s">
        <v>131</v>
      </c>
      <c r="Y197" s="16" t="s">
        <v>187</v>
      </c>
      <c r="Z197" s="16" t="s">
        <v>209</v>
      </c>
      <c r="AA197" s="16" t="s">
        <v>180</v>
      </c>
      <c r="AC197" s="16" t="s">
        <v>203</v>
      </c>
      <c r="AD197" s="16" t="s">
        <v>184</v>
      </c>
      <c r="AE197" s="16" t="s">
        <v>145</v>
      </c>
    </row>
    <row r="198" spans="1:36" x14ac:dyDescent="0.35">
      <c r="A198" s="2">
        <v>2</v>
      </c>
      <c r="B198" s="15">
        <v>0.27083333333333331</v>
      </c>
      <c r="C198" s="21" t="s">
        <v>131</v>
      </c>
      <c r="Y198" s="16" t="s">
        <v>190</v>
      </c>
      <c r="Z198" s="16" t="s">
        <v>197</v>
      </c>
      <c r="AA198" s="16" t="s">
        <v>180</v>
      </c>
      <c r="AB198" s="16" t="s">
        <v>191</v>
      </c>
      <c r="AC198" s="16" t="s">
        <v>194</v>
      </c>
      <c r="AD198" s="16" t="s">
        <v>191</v>
      </c>
      <c r="AE198" s="16" t="s">
        <v>191</v>
      </c>
    </row>
    <row r="199" spans="1:36" x14ac:dyDescent="0.35">
      <c r="A199" s="7">
        <v>2</v>
      </c>
      <c r="B199" s="15">
        <v>0.25694444444444442</v>
      </c>
      <c r="C199" s="21" t="s">
        <v>131</v>
      </c>
      <c r="AF199" s="5" t="s">
        <v>182</v>
      </c>
      <c r="AG199" s="5" t="s">
        <v>183</v>
      </c>
      <c r="AH199" s="5" t="s">
        <v>191</v>
      </c>
      <c r="AI199" s="5" t="s">
        <v>189</v>
      </c>
      <c r="AJ199" s="5" t="s">
        <v>186</v>
      </c>
    </row>
    <row r="200" spans="1:36" x14ac:dyDescent="0.35">
      <c r="A200" s="7">
        <v>2</v>
      </c>
      <c r="B200" s="14">
        <v>0.25277777777777777</v>
      </c>
      <c r="C200" s="21" t="s">
        <v>131</v>
      </c>
      <c r="Y200" s="16" t="s">
        <v>190</v>
      </c>
      <c r="Z200" s="16" t="s">
        <v>182</v>
      </c>
      <c r="AA200" s="16" t="s">
        <v>214</v>
      </c>
      <c r="AB200" s="16" t="s">
        <v>191</v>
      </c>
      <c r="AC200" s="16" t="s">
        <v>203</v>
      </c>
      <c r="AD200" s="16" t="s">
        <v>191</v>
      </c>
      <c r="AE200" s="16" t="s">
        <v>191</v>
      </c>
      <c r="AF200" s="5" t="s">
        <v>180</v>
      </c>
      <c r="AG200" s="5" t="s">
        <v>183</v>
      </c>
      <c r="AH200" s="5" t="s">
        <v>191</v>
      </c>
      <c r="AI200" s="5" t="s">
        <v>180</v>
      </c>
      <c r="AJ200" s="5" t="s">
        <v>198</v>
      </c>
    </row>
    <row r="201" spans="1:36" x14ac:dyDescent="0.35">
      <c r="A201" s="7">
        <v>2</v>
      </c>
      <c r="B201" s="15">
        <v>0.2361111111111111</v>
      </c>
      <c r="C201" s="21" t="s">
        <v>131</v>
      </c>
      <c r="Y201" s="16" t="s">
        <v>200</v>
      </c>
      <c r="Z201" s="16" t="s">
        <v>231</v>
      </c>
      <c r="AA201" s="16" t="s">
        <v>180</v>
      </c>
      <c r="AC201" s="16" t="s">
        <v>203</v>
      </c>
      <c r="AD201" s="16" t="s">
        <v>191</v>
      </c>
      <c r="AE201" s="16" t="s">
        <v>191</v>
      </c>
    </row>
    <row r="202" spans="1:36" x14ac:dyDescent="0.35">
      <c r="A202" s="2">
        <v>2</v>
      </c>
      <c r="B202" s="15">
        <v>0.23125000000000001</v>
      </c>
      <c r="C202" s="21" t="s">
        <v>131</v>
      </c>
      <c r="Y202" s="16" t="s">
        <v>190</v>
      </c>
      <c r="Z202" s="16" t="s">
        <v>192</v>
      </c>
      <c r="AA202" s="16" t="s">
        <v>189</v>
      </c>
      <c r="AB202" s="16" t="s">
        <v>145</v>
      </c>
      <c r="AC202" s="16" t="s">
        <v>203</v>
      </c>
      <c r="AD202" s="16" t="s">
        <v>191</v>
      </c>
      <c r="AE202" s="16" t="s">
        <v>191</v>
      </c>
    </row>
    <row r="203" spans="1:36" x14ac:dyDescent="0.35">
      <c r="A203" s="7">
        <v>2</v>
      </c>
      <c r="B203" s="15">
        <v>0.22500000000000001</v>
      </c>
      <c r="C203" s="21" t="s">
        <v>131</v>
      </c>
      <c r="AF203" s="5" t="s">
        <v>182</v>
      </c>
      <c r="AG203" s="5" t="s">
        <v>183</v>
      </c>
      <c r="AH203" s="5" t="s">
        <v>191</v>
      </c>
      <c r="AI203" s="5" t="s">
        <v>184</v>
      </c>
      <c r="AJ203" s="5" t="s">
        <v>186</v>
      </c>
    </row>
    <row r="204" spans="1:36" x14ac:dyDescent="0.35">
      <c r="A204" s="2">
        <v>2</v>
      </c>
      <c r="B204" s="15">
        <v>0.22291666666666668</v>
      </c>
      <c r="C204" s="21" t="s">
        <v>131</v>
      </c>
      <c r="Y204" s="16" t="s">
        <v>190</v>
      </c>
      <c r="Z204" s="16" t="s">
        <v>193</v>
      </c>
      <c r="AA204" s="16" t="s">
        <v>180</v>
      </c>
      <c r="AB204" s="16" t="s">
        <v>191</v>
      </c>
      <c r="AC204" s="16" t="s">
        <v>190</v>
      </c>
      <c r="AD204" s="16" t="s">
        <v>191</v>
      </c>
      <c r="AE204" s="16" t="s">
        <v>191</v>
      </c>
    </row>
    <row r="205" spans="1:36" x14ac:dyDescent="0.35">
      <c r="A205" s="7">
        <v>2</v>
      </c>
      <c r="B205" s="14">
        <v>0.21736111111111112</v>
      </c>
      <c r="C205" s="21" t="s">
        <v>131</v>
      </c>
      <c r="Y205" s="16" t="s">
        <v>190</v>
      </c>
      <c r="Z205" s="16" t="s">
        <v>219</v>
      </c>
      <c r="AA205" s="16" t="s">
        <v>189</v>
      </c>
      <c r="AB205" s="16" t="s">
        <v>145</v>
      </c>
      <c r="AC205" s="16" t="s">
        <v>190</v>
      </c>
      <c r="AD205" s="16" t="s">
        <v>191</v>
      </c>
      <c r="AE205" s="16" t="s">
        <v>191</v>
      </c>
      <c r="AF205" s="5" t="s">
        <v>217</v>
      </c>
      <c r="AG205" s="5" t="s">
        <v>186</v>
      </c>
    </row>
    <row r="206" spans="1:36" x14ac:dyDescent="0.35">
      <c r="A206" s="7">
        <v>2</v>
      </c>
      <c r="B206" s="14">
        <v>0.2076388888888889</v>
      </c>
      <c r="C206" s="21" t="s">
        <v>131</v>
      </c>
      <c r="Y206" s="16" t="s">
        <v>187</v>
      </c>
      <c r="Z206" s="16" t="s">
        <v>184</v>
      </c>
      <c r="AA206" s="16" t="s">
        <v>185</v>
      </c>
      <c r="AC206" s="16" t="s">
        <v>203</v>
      </c>
      <c r="AD206" s="16" t="s">
        <v>191</v>
      </c>
      <c r="AE206" s="16" t="s">
        <v>191</v>
      </c>
      <c r="AF206" s="5" t="s">
        <v>218</v>
      </c>
      <c r="AG206" s="5" t="s">
        <v>230</v>
      </c>
    </row>
    <row r="207" spans="1:36" x14ac:dyDescent="0.35">
      <c r="A207" s="2">
        <v>2</v>
      </c>
      <c r="B207" s="15">
        <v>0.20069444444444445</v>
      </c>
      <c r="C207" s="21" t="s">
        <v>131</v>
      </c>
      <c r="AF207" s="5" t="s">
        <v>199</v>
      </c>
      <c r="AG207" s="5" t="s">
        <v>196</v>
      </c>
    </row>
    <row r="208" spans="1:36" x14ac:dyDescent="0.35">
      <c r="A208" s="2">
        <v>2</v>
      </c>
      <c r="B208" s="15">
        <v>0.18124999999999999</v>
      </c>
      <c r="C208" s="21" t="s">
        <v>131</v>
      </c>
      <c r="AF208" s="5" t="s">
        <v>229</v>
      </c>
      <c r="AG208" s="5" t="s">
        <v>196</v>
      </c>
    </row>
    <row r="209" spans="1:36" x14ac:dyDescent="0.35">
      <c r="A209" s="7">
        <v>2</v>
      </c>
      <c r="B209" s="14">
        <v>0.1736111111111111</v>
      </c>
      <c r="C209" s="21" t="s">
        <v>131</v>
      </c>
      <c r="AF209" s="5" t="s">
        <v>218</v>
      </c>
      <c r="AG209" s="5" t="s">
        <v>183</v>
      </c>
      <c r="AH209" s="5" t="s">
        <v>191</v>
      </c>
      <c r="AI209" s="5" t="s">
        <v>188</v>
      </c>
      <c r="AJ209" s="5" t="s">
        <v>181</v>
      </c>
    </row>
    <row r="210" spans="1:36" x14ac:dyDescent="0.35">
      <c r="A210" s="2">
        <v>2</v>
      </c>
      <c r="B210" s="15">
        <v>0.1673611111111111</v>
      </c>
      <c r="C210" s="21" t="s">
        <v>131</v>
      </c>
      <c r="Y210" s="16" t="s">
        <v>225</v>
      </c>
      <c r="Z210" s="16" t="s">
        <v>132</v>
      </c>
      <c r="AD210" s="16" t="s">
        <v>229</v>
      </c>
    </row>
    <row r="211" spans="1:36" x14ac:dyDescent="0.35">
      <c r="A211" s="7">
        <v>2</v>
      </c>
      <c r="B211" s="15">
        <v>0.16041666666666668</v>
      </c>
      <c r="C211" s="21" t="s">
        <v>131</v>
      </c>
      <c r="AF211" s="5" t="s">
        <v>221</v>
      </c>
      <c r="AG211" s="5" t="s">
        <v>183</v>
      </c>
      <c r="AH211" s="5" t="s">
        <v>191</v>
      </c>
      <c r="AI211" s="5" t="s">
        <v>201</v>
      </c>
      <c r="AJ211" s="5" t="s">
        <v>198</v>
      </c>
    </row>
    <row r="212" spans="1:36" x14ac:dyDescent="0.35">
      <c r="A212" s="2">
        <v>2</v>
      </c>
      <c r="B212" s="15">
        <v>0.15416666666666667</v>
      </c>
      <c r="C212" s="21" t="s">
        <v>131</v>
      </c>
      <c r="Y212" s="16" t="s">
        <v>187</v>
      </c>
      <c r="Z212" s="16" t="s">
        <v>202</v>
      </c>
      <c r="AA212" s="16" t="s">
        <v>191</v>
      </c>
      <c r="AC212" s="16" t="s">
        <v>203</v>
      </c>
      <c r="AD212" s="16" t="s">
        <v>202</v>
      </c>
      <c r="AE212" s="16" t="s">
        <v>134</v>
      </c>
      <c r="AF212" s="5" t="s">
        <v>222</v>
      </c>
      <c r="AG212" s="5" t="s">
        <v>183</v>
      </c>
      <c r="AH212" s="5" t="s">
        <v>202</v>
      </c>
      <c r="AI212" s="5" t="s">
        <v>221</v>
      </c>
      <c r="AJ212" s="5" t="s">
        <v>204</v>
      </c>
    </row>
    <row r="213" spans="1:36" x14ac:dyDescent="0.35">
      <c r="A213" s="7">
        <v>2</v>
      </c>
      <c r="B213" s="14">
        <v>0.1388888888888889</v>
      </c>
      <c r="C213" s="21" t="s">
        <v>131</v>
      </c>
      <c r="Y213" s="16" t="s">
        <v>190</v>
      </c>
      <c r="Z213" s="16" t="s">
        <v>201</v>
      </c>
      <c r="AA213" s="16" t="s">
        <v>210</v>
      </c>
      <c r="AB213" s="16" t="s">
        <v>145</v>
      </c>
      <c r="AC213" s="16" t="s">
        <v>203</v>
      </c>
      <c r="AD213" s="16" t="s">
        <v>191</v>
      </c>
      <c r="AE213" s="16" t="s">
        <v>191</v>
      </c>
    </row>
    <row r="214" spans="1:36" x14ac:dyDescent="0.35">
      <c r="A214" s="2">
        <v>2</v>
      </c>
      <c r="B214" s="15">
        <v>0.13125000000000001</v>
      </c>
      <c r="C214" s="21" t="s">
        <v>131</v>
      </c>
      <c r="AF214" s="5" t="s">
        <v>223</v>
      </c>
      <c r="AG214" s="5" t="s">
        <v>198</v>
      </c>
    </row>
    <row r="215" spans="1:36" x14ac:dyDescent="0.35">
      <c r="A215" s="7">
        <v>2</v>
      </c>
      <c r="B215" s="15">
        <v>0.12430555555555556</v>
      </c>
      <c r="C215" s="21" t="s">
        <v>131</v>
      </c>
      <c r="Y215" s="16" t="s">
        <v>200</v>
      </c>
      <c r="Z215" s="16" t="s">
        <v>209</v>
      </c>
      <c r="AA215" s="16" t="s">
        <v>223</v>
      </c>
      <c r="AC215" s="16" t="s">
        <v>203</v>
      </c>
      <c r="AD215" s="16" t="s">
        <v>191</v>
      </c>
      <c r="AE215" s="16" t="s">
        <v>191</v>
      </c>
    </row>
    <row r="216" spans="1:36" x14ac:dyDescent="0.35">
      <c r="A216" s="7">
        <v>2</v>
      </c>
      <c r="B216" s="14">
        <v>0.11874999999999999</v>
      </c>
      <c r="C216" s="21" t="s">
        <v>131</v>
      </c>
      <c r="Y216" s="16" t="s">
        <v>190</v>
      </c>
      <c r="Z216" s="16" t="s">
        <v>223</v>
      </c>
      <c r="AA216" s="16" t="s">
        <v>221</v>
      </c>
      <c r="AB216" s="16" t="s">
        <v>145</v>
      </c>
      <c r="AC216" s="16" t="s">
        <v>203</v>
      </c>
      <c r="AD216" s="16" t="s">
        <v>191</v>
      </c>
      <c r="AE216" s="16" t="s">
        <v>145</v>
      </c>
      <c r="AF216" s="5" t="s">
        <v>221</v>
      </c>
      <c r="AG216" s="5" t="s">
        <v>196</v>
      </c>
      <c r="AH216" s="5" t="s">
        <v>220</v>
      </c>
    </row>
    <row r="217" spans="1:36" x14ac:dyDescent="0.35">
      <c r="A217" s="2">
        <v>2</v>
      </c>
      <c r="B217" s="15">
        <v>0.10347222222222222</v>
      </c>
      <c r="C217" s="21" t="s">
        <v>131</v>
      </c>
      <c r="Y217" s="16" t="s">
        <v>187</v>
      </c>
      <c r="Z217" s="16" t="s">
        <v>188</v>
      </c>
      <c r="AA217" s="16" t="s">
        <v>191</v>
      </c>
      <c r="AC217" s="16" t="s">
        <v>203</v>
      </c>
      <c r="AD217" s="16" t="s">
        <v>191</v>
      </c>
      <c r="AE217" s="16" t="s">
        <v>191</v>
      </c>
      <c r="AF217" s="5" t="s">
        <v>193</v>
      </c>
      <c r="AG217" s="5" t="s">
        <v>183</v>
      </c>
      <c r="AH217" s="5" t="s">
        <v>191</v>
      </c>
      <c r="AI217" s="5" t="s">
        <v>197</v>
      </c>
      <c r="AJ217" s="5" t="s">
        <v>198</v>
      </c>
    </row>
    <row r="218" spans="1:36" x14ac:dyDescent="0.35">
      <c r="A218" s="7">
        <v>2</v>
      </c>
      <c r="B218" s="15">
        <v>9.5138888888888884E-2</v>
      </c>
      <c r="C218" s="21" t="s">
        <v>131</v>
      </c>
      <c r="Y218" s="16" t="s">
        <v>200</v>
      </c>
      <c r="Z218" s="16" t="s">
        <v>209</v>
      </c>
      <c r="AA218" s="16" t="s">
        <v>218</v>
      </c>
      <c r="AC218" s="16" t="s">
        <v>190</v>
      </c>
      <c r="AD218" s="16" t="s">
        <v>191</v>
      </c>
      <c r="AE218" s="16" t="s">
        <v>191</v>
      </c>
    </row>
    <row r="219" spans="1:36" x14ac:dyDescent="0.35">
      <c r="A219" s="2">
        <v>2</v>
      </c>
      <c r="B219" s="15">
        <v>8.4027777777777785E-2</v>
      </c>
      <c r="C219" s="21" t="s">
        <v>131</v>
      </c>
      <c r="Y219" s="16" t="s">
        <v>225</v>
      </c>
      <c r="Z219" s="16" t="s">
        <v>132</v>
      </c>
      <c r="AD219" s="16" t="s">
        <v>220</v>
      </c>
      <c r="AE219" s="16" t="s">
        <v>145</v>
      </c>
      <c r="AF219" s="5" t="s">
        <v>182</v>
      </c>
      <c r="AG219" s="5" t="s">
        <v>230</v>
      </c>
      <c r="AH219" s="5" t="s">
        <v>192</v>
      </c>
    </row>
    <row r="220" spans="1:36" x14ac:dyDescent="0.35">
      <c r="A220" s="7">
        <v>2</v>
      </c>
      <c r="B220" s="15">
        <v>5.0694444444444445E-2</v>
      </c>
      <c r="C220" s="21" t="s">
        <v>131</v>
      </c>
      <c r="AF220" s="5" t="s">
        <v>197</v>
      </c>
      <c r="AG220" s="5" t="s">
        <v>186</v>
      </c>
    </row>
    <row r="221" spans="1:36" x14ac:dyDescent="0.35">
      <c r="A221" s="7">
        <v>2</v>
      </c>
      <c r="B221" s="14">
        <v>4.2361111111111113E-2</v>
      </c>
      <c r="C221" s="21" t="s">
        <v>131</v>
      </c>
      <c r="Y221" s="16" t="s">
        <v>187</v>
      </c>
      <c r="Z221" s="16" t="s">
        <v>212</v>
      </c>
      <c r="AA221" s="16" t="s">
        <v>191</v>
      </c>
      <c r="AC221" s="16" t="s">
        <v>203</v>
      </c>
      <c r="AD221" s="16" t="s">
        <v>224</v>
      </c>
      <c r="AE221" s="16" t="s">
        <v>191</v>
      </c>
    </row>
    <row r="222" spans="1:36" x14ac:dyDescent="0.35">
      <c r="A222" s="2">
        <v>2</v>
      </c>
      <c r="B222" s="15">
        <v>2.9861111111111113E-2</v>
      </c>
      <c r="C222" s="21" t="s">
        <v>131</v>
      </c>
      <c r="Y222" s="16" t="s">
        <v>190</v>
      </c>
      <c r="Z222" s="16" t="s">
        <v>226</v>
      </c>
      <c r="AA222" s="16" t="s">
        <v>180</v>
      </c>
      <c r="AB222" s="16" t="s">
        <v>145</v>
      </c>
      <c r="AC222" s="16" t="s">
        <v>194</v>
      </c>
      <c r="AD222" s="16" t="s">
        <v>191</v>
      </c>
      <c r="AE222" s="16" t="s">
        <v>191</v>
      </c>
    </row>
    <row r="223" spans="1:36" x14ac:dyDescent="0.35">
      <c r="A223" s="7">
        <v>3</v>
      </c>
      <c r="B223" s="15">
        <v>0.82986111111111116</v>
      </c>
      <c r="C223" s="21" t="s">
        <v>131</v>
      </c>
      <c r="Y223" s="16" t="s">
        <v>187</v>
      </c>
      <c r="Z223" s="16" t="s">
        <v>188</v>
      </c>
      <c r="AA223" s="16" t="s">
        <v>206</v>
      </c>
      <c r="AC223" s="16" t="s">
        <v>194</v>
      </c>
      <c r="AD223" s="16" t="s">
        <v>191</v>
      </c>
      <c r="AE223" s="16" t="s">
        <v>191</v>
      </c>
      <c r="AF223" s="5" t="s">
        <v>216</v>
      </c>
      <c r="AG223" s="5" t="s">
        <v>186</v>
      </c>
    </row>
    <row r="224" spans="1:36" x14ac:dyDescent="0.35">
      <c r="A224" s="2">
        <v>3</v>
      </c>
      <c r="B224" s="15">
        <v>0.81944444444444442</v>
      </c>
      <c r="C224" s="21" t="s">
        <v>131</v>
      </c>
      <c r="Y224" s="16" t="s">
        <v>190</v>
      </c>
      <c r="Z224" s="16" t="s">
        <v>184</v>
      </c>
      <c r="AA224" s="16" t="s">
        <v>214</v>
      </c>
      <c r="AB224" s="16" t="s">
        <v>191</v>
      </c>
      <c r="AC224" s="16" t="s">
        <v>203</v>
      </c>
      <c r="AD224" s="16" t="s">
        <v>191</v>
      </c>
      <c r="AE224" s="16" t="s">
        <v>191</v>
      </c>
    </row>
    <row r="225" spans="1:36" x14ac:dyDescent="0.35">
      <c r="A225" s="2">
        <v>3</v>
      </c>
      <c r="B225" s="15">
        <v>0.80138888888888893</v>
      </c>
      <c r="C225" s="21" t="s">
        <v>131</v>
      </c>
      <c r="Y225" s="16" t="s">
        <v>187</v>
      </c>
      <c r="Z225" s="16" t="s">
        <v>206</v>
      </c>
      <c r="AA225" s="16" t="s">
        <v>191</v>
      </c>
      <c r="AC225" s="16" t="s">
        <v>203</v>
      </c>
      <c r="AD225" s="16" t="s">
        <v>191</v>
      </c>
      <c r="AE225" s="16" t="s">
        <v>191</v>
      </c>
      <c r="AF225" s="5" t="s">
        <v>199</v>
      </c>
      <c r="AG225" s="5" t="s">
        <v>183</v>
      </c>
      <c r="AH225" s="5" t="s">
        <v>191</v>
      </c>
      <c r="AI225" s="5" t="s">
        <v>219</v>
      </c>
      <c r="AJ225" s="5" t="s">
        <v>186</v>
      </c>
    </row>
    <row r="226" spans="1:36" x14ac:dyDescent="0.35">
      <c r="A226" s="2">
        <v>3</v>
      </c>
      <c r="B226" s="15">
        <v>0.79374999999999996</v>
      </c>
      <c r="C226" s="21" t="s">
        <v>131</v>
      </c>
      <c r="Y226" s="16" t="s">
        <v>190</v>
      </c>
      <c r="Z226" s="16" t="s">
        <v>192</v>
      </c>
      <c r="AA226" s="16" t="s">
        <v>189</v>
      </c>
      <c r="AB226" s="16" t="s">
        <v>191</v>
      </c>
      <c r="AC226" s="16" t="s">
        <v>203</v>
      </c>
      <c r="AD226" s="16" t="s">
        <v>191</v>
      </c>
      <c r="AE226" s="16" t="s">
        <v>191</v>
      </c>
    </row>
    <row r="227" spans="1:36" x14ac:dyDescent="0.35">
      <c r="A227" s="7">
        <v>3</v>
      </c>
      <c r="B227" s="15">
        <v>0.77777777777777779</v>
      </c>
      <c r="C227" s="21" t="s">
        <v>131</v>
      </c>
      <c r="Y227" s="16" t="s">
        <v>190</v>
      </c>
      <c r="Z227" s="16" t="s">
        <v>219</v>
      </c>
      <c r="AA227" s="16" t="s">
        <v>182</v>
      </c>
      <c r="AB227" s="16" t="s">
        <v>191</v>
      </c>
      <c r="AC227" s="16" t="s">
        <v>203</v>
      </c>
      <c r="AD227" s="16" t="s">
        <v>191</v>
      </c>
      <c r="AE227" s="16" t="s">
        <v>191</v>
      </c>
      <c r="AF227" s="5" t="s">
        <v>193</v>
      </c>
      <c r="AG227" s="5" t="s">
        <v>183</v>
      </c>
      <c r="AH227" s="5" t="s">
        <v>202</v>
      </c>
      <c r="AI227" s="5" t="s">
        <v>222</v>
      </c>
      <c r="AJ227" s="5" t="s">
        <v>186</v>
      </c>
    </row>
    <row r="228" spans="1:36" x14ac:dyDescent="0.35">
      <c r="A228" s="7">
        <v>3</v>
      </c>
      <c r="B228" s="15">
        <v>0.75902777777777775</v>
      </c>
      <c r="C228" s="21" t="s">
        <v>131</v>
      </c>
      <c r="Y228" s="16" t="s">
        <v>190</v>
      </c>
      <c r="Z228" s="16" t="s">
        <v>208</v>
      </c>
      <c r="AA228" s="16" t="s">
        <v>205</v>
      </c>
      <c r="AB228" s="16" t="s">
        <v>191</v>
      </c>
      <c r="AC228" s="16" t="s">
        <v>194</v>
      </c>
      <c r="AD228" s="16" t="s">
        <v>191</v>
      </c>
      <c r="AE228" s="16" t="s">
        <v>191</v>
      </c>
    </row>
    <row r="229" spans="1:36" x14ac:dyDescent="0.35">
      <c r="A229" s="2">
        <v>3</v>
      </c>
      <c r="B229" s="15">
        <v>0.75138888888888888</v>
      </c>
      <c r="C229" s="21" t="s">
        <v>131</v>
      </c>
      <c r="AF229" s="5" t="s">
        <v>205</v>
      </c>
      <c r="AG229" s="5" t="s">
        <v>196</v>
      </c>
    </row>
    <row r="230" spans="1:36" x14ac:dyDescent="0.35">
      <c r="A230" s="2">
        <v>3</v>
      </c>
      <c r="B230" s="15">
        <v>0.74791666666666667</v>
      </c>
      <c r="C230" s="21" t="s">
        <v>131</v>
      </c>
      <c r="AF230" s="5" t="s">
        <v>205</v>
      </c>
      <c r="AG230" s="5" t="s">
        <v>183</v>
      </c>
      <c r="AH230" s="5" t="s">
        <v>209</v>
      </c>
      <c r="AI230" s="5" t="s">
        <v>210</v>
      </c>
      <c r="AJ230" s="5" t="s">
        <v>196</v>
      </c>
    </row>
    <row r="231" spans="1:36" x14ac:dyDescent="0.35">
      <c r="A231" s="2">
        <v>3</v>
      </c>
      <c r="B231" s="15">
        <v>0.73055555555555551</v>
      </c>
      <c r="C231" s="21" t="s">
        <v>131</v>
      </c>
      <c r="AF231" s="5" t="s">
        <v>214</v>
      </c>
      <c r="AG231" s="5" t="s">
        <v>186</v>
      </c>
    </row>
    <row r="232" spans="1:36" x14ac:dyDescent="0.35">
      <c r="A232" s="7">
        <v>3</v>
      </c>
      <c r="B232" s="15">
        <v>0.72569444444444442</v>
      </c>
      <c r="C232" s="21" t="s">
        <v>131</v>
      </c>
      <c r="Y232" s="16" t="s">
        <v>187</v>
      </c>
      <c r="Z232" s="16" t="s">
        <v>224</v>
      </c>
      <c r="AA232" s="16" t="s">
        <v>191</v>
      </c>
      <c r="AC232" s="16" t="s">
        <v>194</v>
      </c>
      <c r="AD232" s="16" t="s">
        <v>191</v>
      </c>
      <c r="AE232" s="16" t="s">
        <v>191</v>
      </c>
      <c r="AF232" s="5" t="s">
        <v>216</v>
      </c>
      <c r="AG232" s="5" t="s">
        <v>181</v>
      </c>
    </row>
    <row r="233" spans="1:36" x14ac:dyDescent="0.35">
      <c r="A233" s="2">
        <v>3</v>
      </c>
      <c r="B233" s="15">
        <v>0.71875</v>
      </c>
      <c r="C233" s="21" t="s">
        <v>131</v>
      </c>
      <c r="Y233" s="16" t="s">
        <v>225</v>
      </c>
      <c r="Z233" s="16" t="s">
        <v>137</v>
      </c>
      <c r="AF233" s="5" t="s">
        <v>224</v>
      </c>
      <c r="AG233" s="5" t="s">
        <v>183</v>
      </c>
      <c r="AH233" s="5" t="s">
        <v>191</v>
      </c>
      <c r="AI233" s="5" t="s">
        <v>180</v>
      </c>
      <c r="AJ233" s="5" t="s">
        <v>198</v>
      </c>
    </row>
    <row r="234" spans="1:36" x14ac:dyDescent="0.35">
      <c r="A234" s="2">
        <v>3</v>
      </c>
      <c r="B234" s="15">
        <v>0.70277777777777772</v>
      </c>
      <c r="C234" s="21" t="s">
        <v>131</v>
      </c>
      <c r="Y234" s="16" t="s">
        <v>225</v>
      </c>
      <c r="Z234" s="16" t="s">
        <v>132</v>
      </c>
      <c r="AF234" s="5" t="s">
        <v>216</v>
      </c>
      <c r="AG234" s="5" t="s">
        <v>198</v>
      </c>
    </row>
    <row r="235" spans="1:36" x14ac:dyDescent="0.35">
      <c r="A235" s="7">
        <v>3</v>
      </c>
      <c r="B235" s="15">
        <v>0.68958333333333333</v>
      </c>
      <c r="C235" s="21" t="s">
        <v>131</v>
      </c>
      <c r="AF235" s="5" t="s">
        <v>216</v>
      </c>
      <c r="AG235" s="5" t="s">
        <v>198</v>
      </c>
    </row>
    <row r="236" spans="1:36" x14ac:dyDescent="0.35">
      <c r="A236" s="2">
        <v>3</v>
      </c>
      <c r="B236" s="15">
        <v>0.68402777777777779</v>
      </c>
      <c r="C236" s="21" t="s">
        <v>131</v>
      </c>
      <c r="Y236" s="16" t="s">
        <v>187</v>
      </c>
      <c r="Z236" s="16" t="s">
        <v>185</v>
      </c>
      <c r="AA236" s="16" t="s">
        <v>191</v>
      </c>
      <c r="AC236" s="16" t="s">
        <v>194</v>
      </c>
      <c r="AD236" s="16" t="s">
        <v>191</v>
      </c>
      <c r="AE236" s="16" t="s">
        <v>191</v>
      </c>
      <c r="AF236" s="5" t="s">
        <v>189</v>
      </c>
      <c r="AG236" s="5" t="s">
        <v>183</v>
      </c>
      <c r="AH236" s="5" t="s">
        <v>220</v>
      </c>
      <c r="AI236" s="5" t="s">
        <v>184</v>
      </c>
      <c r="AJ236" s="5" t="s">
        <v>186</v>
      </c>
    </row>
    <row r="237" spans="1:36" x14ac:dyDescent="0.35">
      <c r="A237" s="7">
        <v>3</v>
      </c>
      <c r="B237" s="15">
        <v>0.67708333333333337</v>
      </c>
      <c r="C237" s="21" t="s">
        <v>131</v>
      </c>
      <c r="Y237" s="16" t="s">
        <v>190</v>
      </c>
      <c r="Z237" s="16" t="s">
        <v>226</v>
      </c>
      <c r="AA237" s="16" t="s">
        <v>218</v>
      </c>
      <c r="AB237" s="16" t="s">
        <v>191</v>
      </c>
      <c r="AC237" s="16" t="s">
        <v>203</v>
      </c>
      <c r="AD237" s="16" t="s">
        <v>191</v>
      </c>
      <c r="AE237" s="16" t="s">
        <v>191</v>
      </c>
    </row>
    <row r="238" spans="1:36" x14ac:dyDescent="0.35">
      <c r="A238" s="7">
        <v>3</v>
      </c>
      <c r="B238" s="15">
        <v>0.66736111111111107</v>
      </c>
      <c r="C238" s="21" t="s">
        <v>131</v>
      </c>
      <c r="AF238" s="5" t="s">
        <v>219</v>
      </c>
      <c r="AG238" s="5" t="s">
        <v>181</v>
      </c>
    </row>
    <row r="239" spans="1:36" x14ac:dyDescent="0.35">
      <c r="A239" s="7">
        <v>3</v>
      </c>
      <c r="B239" s="14">
        <v>0.66527777777777775</v>
      </c>
      <c r="C239" s="21" t="s">
        <v>131</v>
      </c>
      <c r="Y239" s="16" t="s">
        <v>190</v>
      </c>
      <c r="Z239" s="16" t="s">
        <v>184</v>
      </c>
      <c r="AA239" s="16" t="s">
        <v>199</v>
      </c>
      <c r="AB239" s="16" t="s">
        <v>191</v>
      </c>
      <c r="AC239" s="16" t="s">
        <v>194</v>
      </c>
      <c r="AD239" s="16" t="s">
        <v>191</v>
      </c>
      <c r="AE239" s="16" t="s">
        <v>191</v>
      </c>
      <c r="AF239" s="5" t="s">
        <v>218</v>
      </c>
      <c r="AG239" s="5" t="s">
        <v>186</v>
      </c>
    </row>
    <row r="240" spans="1:36" x14ac:dyDescent="0.35">
      <c r="A240" s="7">
        <v>3</v>
      </c>
      <c r="B240" s="14">
        <v>0.64930555555555558</v>
      </c>
      <c r="C240" s="21" t="s">
        <v>131</v>
      </c>
      <c r="Y240" s="16" t="s">
        <v>187</v>
      </c>
      <c r="Z240" s="16" t="s">
        <v>220</v>
      </c>
      <c r="AA240" s="16" t="s">
        <v>191</v>
      </c>
      <c r="AC240" s="16" t="s">
        <v>190</v>
      </c>
      <c r="AD240" s="16" t="s">
        <v>191</v>
      </c>
      <c r="AE240" s="16" t="s">
        <v>191</v>
      </c>
      <c r="AF240" s="5" t="s">
        <v>189</v>
      </c>
      <c r="AG240" s="5" t="s">
        <v>183</v>
      </c>
      <c r="AH240" s="5" t="s">
        <v>191</v>
      </c>
      <c r="AI240" s="5" t="s">
        <v>193</v>
      </c>
      <c r="AJ240" s="5" t="s">
        <v>198</v>
      </c>
    </row>
    <row r="241" spans="1:36" x14ac:dyDescent="0.35">
      <c r="A241" s="2">
        <v>3</v>
      </c>
      <c r="B241" s="15">
        <v>0.63749999999999996</v>
      </c>
      <c r="C241" s="21" t="s">
        <v>131</v>
      </c>
      <c r="Y241" s="16" t="s">
        <v>190</v>
      </c>
      <c r="Z241" s="16" t="s">
        <v>193</v>
      </c>
      <c r="AA241" s="16" t="s">
        <v>210</v>
      </c>
      <c r="AB241" s="16" t="s">
        <v>191</v>
      </c>
      <c r="AC241" s="16" t="s">
        <v>203</v>
      </c>
      <c r="AD241" s="16" t="s">
        <v>191</v>
      </c>
      <c r="AE241" s="16" t="s">
        <v>191</v>
      </c>
      <c r="AF241" s="5" t="s">
        <v>229</v>
      </c>
      <c r="AG241" s="5" t="s">
        <v>181</v>
      </c>
      <c r="AH241" s="5" t="s">
        <v>197</v>
      </c>
    </row>
    <row r="242" spans="1:36" x14ac:dyDescent="0.35">
      <c r="A242" s="7">
        <v>3</v>
      </c>
      <c r="B242" s="15">
        <v>0.62777777777777777</v>
      </c>
      <c r="C242" s="21" t="s">
        <v>131</v>
      </c>
      <c r="Y242" s="16" t="s">
        <v>187</v>
      </c>
      <c r="Z242" s="16" t="s">
        <v>221</v>
      </c>
      <c r="AA242" s="16" t="s">
        <v>191</v>
      </c>
      <c r="AC242" s="16" t="s">
        <v>194</v>
      </c>
      <c r="AD242" s="16" t="s">
        <v>197</v>
      </c>
      <c r="AE242" s="16" t="s">
        <v>145</v>
      </c>
      <c r="AF242" s="5" t="s">
        <v>210</v>
      </c>
      <c r="AG242" s="5" t="s">
        <v>230</v>
      </c>
    </row>
    <row r="243" spans="1:36" x14ac:dyDescent="0.35">
      <c r="A243" s="2">
        <v>3</v>
      </c>
      <c r="B243" s="15">
        <v>0.61388888888888893</v>
      </c>
      <c r="C243" s="21" t="s">
        <v>131</v>
      </c>
      <c r="AF243" s="5" t="s">
        <v>229</v>
      </c>
      <c r="AG243" s="5" t="s">
        <v>181</v>
      </c>
    </row>
    <row r="244" spans="1:36" x14ac:dyDescent="0.35">
      <c r="A244" s="7">
        <v>3</v>
      </c>
      <c r="B244" s="15">
        <v>0.60763888888888884</v>
      </c>
      <c r="C244" s="21" t="s">
        <v>131</v>
      </c>
      <c r="Y244" s="16" t="s">
        <v>187</v>
      </c>
      <c r="Z244" s="16" t="s">
        <v>193</v>
      </c>
      <c r="AA244" s="16" t="s">
        <v>191</v>
      </c>
      <c r="AB244" s="16" t="s">
        <v>191</v>
      </c>
      <c r="AC244" s="16" t="s">
        <v>194</v>
      </c>
      <c r="AD244" s="16" t="s">
        <v>191</v>
      </c>
      <c r="AE244" s="16" t="s">
        <v>191</v>
      </c>
    </row>
    <row r="245" spans="1:36" x14ac:dyDescent="0.35">
      <c r="A245" s="7">
        <v>3</v>
      </c>
      <c r="B245" s="15">
        <v>0.59722222222222221</v>
      </c>
      <c r="C245" s="21" t="s">
        <v>131</v>
      </c>
      <c r="Y245" s="16" t="s">
        <v>187</v>
      </c>
      <c r="Z245" s="16" t="s">
        <v>209</v>
      </c>
      <c r="AA245" s="16" t="s">
        <v>180</v>
      </c>
      <c r="AC245" s="16" t="s">
        <v>194</v>
      </c>
      <c r="AD245" s="16" t="s">
        <v>191</v>
      </c>
      <c r="AE245" s="16" t="s">
        <v>191</v>
      </c>
      <c r="AF245" s="5" t="s">
        <v>228</v>
      </c>
      <c r="AG245" s="5" t="s">
        <v>183</v>
      </c>
      <c r="AH245" s="5" t="s">
        <v>191</v>
      </c>
      <c r="AI245" s="5" t="s">
        <v>180</v>
      </c>
      <c r="AJ245" s="5" t="s">
        <v>186</v>
      </c>
    </row>
    <row r="246" spans="1:36" x14ac:dyDescent="0.35">
      <c r="A246" s="2">
        <v>3</v>
      </c>
      <c r="B246" s="15">
        <v>0.59236111111111112</v>
      </c>
      <c r="C246" s="21" t="s">
        <v>131</v>
      </c>
      <c r="Y246" s="16" t="s">
        <v>187</v>
      </c>
      <c r="Z246" s="16" t="s">
        <v>223</v>
      </c>
      <c r="AA246" s="16" t="s">
        <v>216</v>
      </c>
      <c r="AC246" s="16" t="s">
        <v>203</v>
      </c>
      <c r="AD246" s="16" t="s">
        <v>191</v>
      </c>
      <c r="AE246" s="16" t="s">
        <v>191</v>
      </c>
      <c r="AF246" s="5" t="s">
        <v>206</v>
      </c>
      <c r="AG246" s="5" t="s">
        <v>183</v>
      </c>
      <c r="AH246" s="5" t="s">
        <v>223</v>
      </c>
      <c r="AI246" s="5" t="s">
        <v>201</v>
      </c>
      <c r="AJ246" s="5" t="s">
        <v>198</v>
      </c>
    </row>
    <row r="247" spans="1:36" x14ac:dyDescent="0.35">
      <c r="A247" s="7">
        <v>3</v>
      </c>
      <c r="B247" s="15">
        <v>0.58333333333333337</v>
      </c>
      <c r="C247" s="21" t="s">
        <v>131</v>
      </c>
      <c r="Y247" s="16" t="s">
        <v>187</v>
      </c>
      <c r="Z247" s="16" t="s">
        <v>214</v>
      </c>
      <c r="AA247" s="16" t="s">
        <v>191</v>
      </c>
      <c r="AC247" s="16" t="s">
        <v>194</v>
      </c>
      <c r="AD247" s="16" t="s">
        <v>207</v>
      </c>
      <c r="AE247" s="16" t="s">
        <v>145</v>
      </c>
      <c r="AF247" s="5" t="s">
        <v>216</v>
      </c>
      <c r="AG247" s="5" t="s">
        <v>196</v>
      </c>
      <c r="AH247" s="5" t="s">
        <v>202</v>
      </c>
    </row>
    <row r="248" spans="1:36" x14ac:dyDescent="0.35">
      <c r="A248" s="7">
        <v>3</v>
      </c>
      <c r="B248" s="14">
        <v>0.55555555555555558</v>
      </c>
      <c r="C248" s="21" t="s">
        <v>131</v>
      </c>
      <c r="AF248" s="5" t="s">
        <v>201</v>
      </c>
      <c r="AG248" s="5" t="s">
        <v>181</v>
      </c>
    </row>
    <row r="249" spans="1:36" x14ac:dyDescent="0.35">
      <c r="A249" s="7">
        <v>3</v>
      </c>
      <c r="B249" s="15">
        <v>0.54722222222222228</v>
      </c>
      <c r="C249" s="21" t="s">
        <v>131</v>
      </c>
      <c r="Y249" s="16" t="s">
        <v>187</v>
      </c>
      <c r="Z249" s="16" t="s">
        <v>229</v>
      </c>
      <c r="AA249" s="16" t="s">
        <v>191</v>
      </c>
      <c r="AC249" s="16" t="s">
        <v>194</v>
      </c>
      <c r="AD249" s="16" t="s">
        <v>191</v>
      </c>
      <c r="AE249" s="16" t="s">
        <v>191</v>
      </c>
      <c r="AF249" s="5" t="s">
        <v>182</v>
      </c>
      <c r="AG249" s="5" t="s">
        <v>196</v>
      </c>
      <c r="AH249" s="5" t="s">
        <v>219</v>
      </c>
    </row>
    <row r="250" spans="1:36" x14ac:dyDescent="0.35">
      <c r="A250" s="2">
        <v>3</v>
      </c>
      <c r="B250" s="15">
        <v>0.54166666666666663</v>
      </c>
      <c r="C250" s="21" t="s">
        <v>131</v>
      </c>
      <c r="Y250" s="16" t="s">
        <v>190</v>
      </c>
      <c r="Z250" s="16" t="s">
        <v>219</v>
      </c>
      <c r="AA250" s="16" t="s">
        <v>182</v>
      </c>
      <c r="AB250" s="16" t="s">
        <v>145</v>
      </c>
      <c r="AC250" s="16" t="s">
        <v>194</v>
      </c>
      <c r="AD250" s="16" t="s">
        <v>191</v>
      </c>
      <c r="AE250" s="16" t="s">
        <v>145</v>
      </c>
      <c r="AF250" s="5" t="s">
        <v>189</v>
      </c>
      <c r="AG250" s="5" t="s">
        <v>183</v>
      </c>
      <c r="AH250" s="5" t="s">
        <v>191</v>
      </c>
      <c r="AI250" s="5" t="s">
        <v>213</v>
      </c>
      <c r="AJ250" s="5" t="s">
        <v>181</v>
      </c>
    </row>
    <row r="251" spans="1:36" x14ac:dyDescent="0.35">
      <c r="A251" s="7">
        <v>3</v>
      </c>
      <c r="B251" s="15">
        <v>0.53333333333333333</v>
      </c>
      <c r="C251" s="21" t="s">
        <v>131</v>
      </c>
      <c r="Y251" s="16" t="s">
        <v>190</v>
      </c>
      <c r="Z251" s="16" t="s">
        <v>211</v>
      </c>
      <c r="AA251" s="16" t="s">
        <v>191</v>
      </c>
      <c r="AB251" s="16" t="s">
        <v>191</v>
      </c>
      <c r="AC251" s="16" t="s">
        <v>194</v>
      </c>
      <c r="AD251" s="16" t="s">
        <v>191</v>
      </c>
      <c r="AE251" s="16" t="s">
        <v>191</v>
      </c>
    </row>
    <row r="252" spans="1:36" x14ac:dyDescent="0.35">
      <c r="A252" s="2">
        <v>3</v>
      </c>
      <c r="B252" s="15">
        <v>0.52152777777777781</v>
      </c>
      <c r="C252" s="21" t="s">
        <v>131</v>
      </c>
      <c r="Y252" s="16" t="s">
        <v>190</v>
      </c>
      <c r="Z252" s="16" t="s">
        <v>220</v>
      </c>
      <c r="AA252" s="16" t="s">
        <v>182</v>
      </c>
      <c r="AB252" s="16" t="s">
        <v>145</v>
      </c>
      <c r="AC252" s="16" t="s">
        <v>194</v>
      </c>
      <c r="AD252" s="16" t="s">
        <v>191</v>
      </c>
      <c r="AE252" s="16" t="s">
        <v>134</v>
      </c>
    </row>
    <row r="253" spans="1:36" x14ac:dyDescent="0.35">
      <c r="A253" s="7">
        <v>3</v>
      </c>
      <c r="B253" s="15">
        <v>0.50694444444444442</v>
      </c>
      <c r="C253" s="21" t="s">
        <v>131</v>
      </c>
      <c r="Y253" s="16" t="s">
        <v>187</v>
      </c>
      <c r="Z253" s="16" t="s">
        <v>210</v>
      </c>
      <c r="AA253" s="16" t="s">
        <v>191</v>
      </c>
      <c r="AC253" s="16" t="s">
        <v>194</v>
      </c>
      <c r="AD253" s="16" t="s">
        <v>191</v>
      </c>
      <c r="AE253" s="16" t="s">
        <v>134</v>
      </c>
      <c r="AF253" s="5" t="s">
        <v>221</v>
      </c>
      <c r="AG253" s="5" t="s">
        <v>183</v>
      </c>
      <c r="AH253" s="5" t="s">
        <v>191</v>
      </c>
      <c r="AI253" s="5" t="s">
        <v>222</v>
      </c>
      <c r="AJ253" s="5" t="s">
        <v>196</v>
      </c>
    </row>
    <row r="254" spans="1:36" x14ac:dyDescent="0.35">
      <c r="A254" s="2">
        <v>3</v>
      </c>
      <c r="B254" s="15">
        <v>0.49652777777777779</v>
      </c>
      <c r="C254" s="21" t="s">
        <v>131</v>
      </c>
      <c r="Y254" s="16" t="s">
        <v>187</v>
      </c>
      <c r="Z254" s="16" t="s">
        <v>215</v>
      </c>
      <c r="AA254" s="16" t="s">
        <v>191</v>
      </c>
      <c r="AC254" s="16" t="s">
        <v>203</v>
      </c>
      <c r="AD254" s="16" t="s">
        <v>191</v>
      </c>
      <c r="AE254" s="16" t="s">
        <v>191</v>
      </c>
      <c r="AF254" s="5" t="s">
        <v>195</v>
      </c>
      <c r="AG254" s="5" t="s">
        <v>196</v>
      </c>
    </row>
    <row r="255" spans="1:36" x14ac:dyDescent="0.35">
      <c r="A255" s="7">
        <v>3</v>
      </c>
      <c r="B255" s="15">
        <v>0.49236111111111114</v>
      </c>
      <c r="C255" s="21" t="s">
        <v>131</v>
      </c>
      <c r="AF255" s="5" t="s">
        <v>217</v>
      </c>
      <c r="AG255" s="5" t="s">
        <v>186</v>
      </c>
    </row>
    <row r="256" spans="1:36" x14ac:dyDescent="0.35">
      <c r="A256" s="2">
        <v>3</v>
      </c>
      <c r="B256" s="15">
        <v>0.4909722222222222</v>
      </c>
      <c r="C256" s="21" t="s">
        <v>131</v>
      </c>
      <c r="Y256" s="16" t="s">
        <v>200</v>
      </c>
      <c r="Z256" s="16" t="s">
        <v>184</v>
      </c>
      <c r="AA256" s="16" t="s">
        <v>214</v>
      </c>
      <c r="AB256" s="16" t="s">
        <v>191</v>
      </c>
      <c r="AC256" s="16" t="s">
        <v>194</v>
      </c>
      <c r="AD256" s="16" t="s">
        <v>191</v>
      </c>
      <c r="AE256" s="16" t="s">
        <v>191</v>
      </c>
    </row>
    <row r="257" spans="1:36" x14ac:dyDescent="0.35">
      <c r="A257" s="7">
        <v>3</v>
      </c>
      <c r="B257" s="15">
        <v>0.48472222222222222</v>
      </c>
      <c r="C257" s="21" t="s">
        <v>131</v>
      </c>
      <c r="Y257" s="16" t="s">
        <v>187</v>
      </c>
      <c r="Z257" s="16" t="s">
        <v>212</v>
      </c>
      <c r="AA257" s="16" t="s">
        <v>216</v>
      </c>
      <c r="AC257" s="16" t="s">
        <v>203</v>
      </c>
      <c r="AD257" s="16" t="s">
        <v>191</v>
      </c>
      <c r="AE257" s="16" t="s">
        <v>191</v>
      </c>
      <c r="AF257" s="5" t="s">
        <v>206</v>
      </c>
      <c r="AG257" s="5" t="s">
        <v>181</v>
      </c>
      <c r="AH257" s="5" t="s">
        <v>212</v>
      </c>
    </row>
    <row r="258" spans="1:36" x14ac:dyDescent="0.35">
      <c r="A258" s="2">
        <v>3</v>
      </c>
      <c r="B258" s="15">
        <v>0.46111111111111114</v>
      </c>
      <c r="C258" s="21" t="s">
        <v>131</v>
      </c>
      <c r="Y258" s="16" t="s">
        <v>225</v>
      </c>
      <c r="Z258" s="16" t="s">
        <v>132</v>
      </c>
      <c r="AD258" s="16" t="s">
        <v>188</v>
      </c>
      <c r="AE258" s="16" t="s">
        <v>145</v>
      </c>
    </row>
    <row r="259" spans="1:36" x14ac:dyDescent="0.35">
      <c r="A259" s="2">
        <v>3</v>
      </c>
      <c r="B259" s="15">
        <v>0.46041666666666664</v>
      </c>
      <c r="C259" s="21" t="s">
        <v>131</v>
      </c>
      <c r="AF259" s="5" t="s">
        <v>211</v>
      </c>
      <c r="AG259" s="5" t="s">
        <v>186</v>
      </c>
    </row>
    <row r="260" spans="1:36" x14ac:dyDescent="0.35">
      <c r="A260" s="7">
        <v>3</v>
      </c>
      <c r="B260" s="15">
        <v>0.45833333333333331</v>
      </c>
      <c r="C260" s="21" t="s">
        <v>131</v>
      </c>
      <c r="Y260" s="16" t="s">
        <v>187</v>
      </c>
      <c r="Z260" s="16" t="s">
        <v>197</v>
      </c>
      <c r="AA260" s="16" t="s">
        <v>191</v>
      </c>
      <c r="AC260" s="16" t="s">
        <v>190</v>
      </c>
      <c r="AD260" s="16" t="s">
        <v>191</v>
      </c>
      <c r="AE260" s="16" t="s">
        <v>191</v>
      </c>
      <c r="AF260" s="5" t="s">
        <v>218</v>
      </c>
      <c r="AG260" s="5" t="s">
        <v>183</v>
      </c>
      <c r="AH260" s="5" t="s">
        <v>191</v>
      </c>
      <c r="AI260" s="5" t="s">
        <v>185</v>
      </c>
      <c r="AJ260" s="5" t="s">
        <v>198</v>
      </c>
    </row>
    <row r="261" spans="1:36" x14ac:dyDescent="0.35">
      <c r="A261" s="2">
        <v>3</v>
      </c>
      <c r="B261" s="15">
        <v>0.44583333333333336</v>
      </c>
      <c r="C261" s="21" t="s">
        <v>131</v>
      </c>
      <c r="Y261" s="16" t="s">
        <v>187</v>
      </c>
      <c r="Z261" s="16" t="s">
        <v>185</v>
      </c>
      <c r="AA261" s="16" t="s">
        <v>191</v>
      </c>
      <c r="AB261" s="16" t="s">
        <v>191</v>
      </c>
      <c r="AC261" s="16" t="s">
        <v>190</v>
      </c>
      <c r="AD261" s="16" t="s">
        <v>191</v>
      </c>
      <c r="AE261" s="16" t="s">
        <v>191</v>
      </c>
      <c r="AF261" s="5" t="s">
        <v>182</v>
      </c>
      <c r="AG261" s="5" t="s">
        <v>183</v>
      </c>
      <c r="AH261" s="5" t="s">
        <v>191</v>
      </c>
      <c r="AI261" s="5" t="s">
        <v>197</v>
      </c>
      <c r="AJ261" s="5" t="s">
        <v>186</v>
      </c>
    </row>
    <row r="262" spans="1:36" x14ac:dyDescent="0.35">
      <c r="A262" s="7">
        <v>3</v>
      </c>
      <c r="B262" s="15">
        <v>0.4375</v>
      </c>
      <c r="C262" s="21" t="s">
        <v>131</v>
      </c>
      <c r="Y262" s="16" t="s">
        <v>190</v>
      </c>
      <c r="Z262" s="16" t="s">
        <v>193</v>
      </c>
      <c r="AA262" s="16" t="s">
        <v>218</v>
      </c>
      <c r="AB262" s="16" t="s">
        <v>145</v>
      </c>
      <c r="AC262" s="16" t="s">
        <v>203</v>
      </c>
      <c r="AD262" s="16" t="s">
        <v>191</v>
      </c>
      <c r="AE262" s="16" t="s">
        <v>191</v>
      </c>
    </row>
    <row r="263" spans="1:36" x14ac:dyDescent="0.35">
      <c r="A263" s="7">
        <v>3</v>
      </c>
      <c r="B263" s="14">
        <v>0.41180555555555554</v>
      </c>
      <c r="C263" s="21" t="s">
        <v>131</v>
      </c>
      <c r="Y263" s="16" t="s">
        <v>190</v>
      </c>
      <c r="Z263" s="16" t="s">
        <v>223</v>
      </c>
      <c r="AA263" s="16" t="s">
        <v>221</v>
      </c>
      <c r="AB263" s="16" t="s">
        <v>145</v>
      </c>
      <c r="AC263" s="16" t="s">
        <v>203</v>
      </c>
      <c r="AD263" s="16" t="s">
        <v>191</v>
      </c>
      <c r="AE263" s="16" t="s">
        <v>145</v>
      </c>
    </row>
    <row r="264" spans="1:36" x14ac:dyDescent="0.35">
      <c r="A264" s="2">
        <v>3</v>
      </c>
      <c r="B264" s="15">
        <v>0.40625</v>
      </c>
      <c r="C264" s="21" t="s">
        <v>131</v>
      </c>
      <c r="Y264" s="16" t="s">
        <v>187</v>
      </c>
      <c r="Z264" s="16" t="s">
        <v>182</v>
      </c>
      <c r="AA264" s="16" t="s">
        <v>191</v>
      </c>
      <c r="AB264" s="16" t="s">
        <v>191</v>
      </c>
      <c r="AC264" s="16" t="s">
        <v>203</v>
      </c>
      <c r="AD264" s="16" t="s">
        <v>191</v>
      </c>
      <c r="AE264" s="16" t="s">
        <v>191</v>
      </c>
      <c r="AF264" s="5" t="s">
        <v>205</v>
      </c>
      <c r="AG264" s="5" t="s">
        <v>183</v>
      </c>
      <c r="AH264" s="5" t="s">
        <v>191</v>
      </c>
      <c r="AI264" s="5" t="s">
        <v>220</v>
      </c>
      <c r="AJ264" s="5" t="s">
        <v>181</v>
      </c>
    </row>
    <row r="265" spans="1:36" x14ac:dyDescent="0.35">
      <c r="A265" s="7">
        <v>3</v>
      </c>
      <c r="B265" s="15">
        <v>0.39930555555555558</v>
      </c>
      <c r="C265" s="21" t="s">
        <v>131</v>
      </c>
      <c r="AF265" s="5" t="s">
        <v>189</v>
      </c>
      <c r="AG265" s="5" t="s">
        <v>183</v>
      </c>
      <c r="AH265" s="5" t="s">
        <v>191</v>
      </c>
      <c r="AI265" s="5" t="s">
        <v>182</v>
      </c>
      <c r="AJ265" s="5" t="s">
        <v>186</v>
      </c>
    </row>
    <row r="266" spans="1:36" x14ac:dyDescent="0.35">
      <c r="A266" s="2">
        <v>3</v>
      </c>
      <c r="B266" s="15">
        <v>0.39583333333333331</v>
      </c>
      <c r="C266" s="21" t="s">
        <v>131</v>
      </c>
      <c r="Y266" s="16" t="s">
        <v>190</v>
      </c>
      <c r="Z266" s="16" t="s">
        <v>226</v>
      </c>
      <c r="AA266" s="16" t="s">
        <v>205</v>
      </c>
      <c r="AB266" s="16" t="s">
        <v>145</v>
      </c>
      <c r="AC266" s="16" t="s">
        <v>194</v>
      </c>
      <c r="AD266" s="16" t="s">
        <v>191</v>
      </c>
      <c r="AE266" s="16" t="s">
        <v>191</v>
      </c>
    </row>
    <row r="267" spans="1:36" x14ac:dyDescent="0.35">
      <c r="A267" s="2">
        <v>3</v>
      </c>
      <c r="B267" s="15">
        <v>0.3888888888888889</v>
      </c>
      <c r="C267" s="21" t="s">
        <v>131</v>
      </c>
      <c r="AF267" s="5" t="s">
        <v>219</v>
      </c>
      <c r="AG267" s="5" t="s">
        <v>181</v>
      </c>
    </row>
    <row r="268" spans="1:36" x14ac:dyDescent="0.35">
      <c r="A268" s="7">
        <v>3</v>
      </c>
      <c r="B268" s="14">
        <v>0.3840277777777778</v>
      </c>
      <c r="C268" s="21" t="s">
        <v>131</v>
      </c>
      <c r="Y268" s="16" t="s">
        <v>190</v>
      </c>
      <c r="Z268" s="16" t="s">
        <v>217</v>
      </c>
      <c r="AA268" s="16" t="s">
        <v>210</v>
      </c>
      <c r="AB268" s="16" t="s">
        <v>191</v>
      </c>
      <c r="AC268" s="16" t="s">
        <v>203</v>
      </c>
      <c r="AD268" s="16" t="s">
        <v>191</v>
      </c>
      <c r="AE268" s="16" t="s">
        <v>191</v>
      </c>
      <c r="AF268" s="5" t="s">
        <v>210</v>
      </c>
      <c r="AG268" s="5" t="s">
        <v>181</v>
      </c>
    </row>
    <row r="269" spans="1:36" x14ac:dyDescent="0.35">
      <c r="A269" s="7">
        <v>3</v>
      </c>
      <c r="B269" s="14">
        <v>0.37430555555555556</v>
      </c>
      <c r="C269" s="21" t="s">
        <v>131</v>
      </c>
      <c r="Y269" s="16" t="s">
        <v>190</v>
      </c>
      <c r="Z269" s="16" t="s">
        <v>201</v>
      </c>
      <c r="AA269" s="16" t="s">
        <v>180</v>
      </c>
      <c r="AB269" s="16" t="s">
        <v>191</v>
      </c>
      <c r="AC269" s="16" t="s">
        <v>194</v>
      </c>
      <c r="AD269" s="16" t="s">
        <v>191</v>
      </c>
      <c r="AE269" s="16" t="s">
        <v>191</v>
      </c>
    </row>
    <row r="270" spans="1:36" x14ac:dyDescent="0.35">
      <c r="A270" s="2">
        <v>3</v>
      </c>
      <c r="B270" s="15">
        <v>0.36388888888888887</v>
      </c>
      <c r="C270" s="21" t="s">
        <v>131</v>
      </c>
      <c r="Y270" s="16" t="s">
        <v>190</v>
      </c>
      <c r="Z270" s="16" t="s">
        <v>212</v>
      </c>
      <c r="AA270" s="16" t="s">
        <v>206</v>
      </c>
      <c r="AB270" s="16" t="s">
        <v>191</v>
      </c>
      <c r="AC270" s="16" t="s">
        <v>194</v>
      </c>
      <c r="AD270" s="16" t="s">
        <v>191</v>
      </c>
      <c r="AE270" s="16" t="s">
        <v>191</v>
      </c>
      <c r="AF270" s="5" t="s">
        <v>216</v>
      </c>
      <c r="AG270" s="5" t="s">
        <v>183</v>
      </c>
      <c r="AH270" s="5" t="s">
        <v>191</v>
      </c>
      <c r="AI270" s="5" t="s">
        <v>201</v>
      </c>
      <c r="AJ270" s="5" t="s">
        <v>186</v>
      </c>
    </row>
    <row r="271" spans="1:36" x14ac:dyDescent="0.35">
      <c r="A271" s="7">
        <v>3</v>
      </c>
      <c r="B271" s="15">
        <v>0.35486111111111113</v>
      </c>
      <c r="C271" s="21" t="s">
        <v>131</v>
      </c>
      <c r="Y271" s="16" t="s">
        <v>200</v>
      </c>
      <c r="Z271" s="16" t="s">
        <v>206</v>
      </c>
      <c r="AA271" s="16" t="s">
        <v>214</v>
      </c>
      <c r="AB271" s="16" t="s">
        <v>191</v>
      </c>
      <c r="AC271" s="16" t="s">
        <v>203</v>
      </c>
      <c r="AD271" s="16" t="s">
        <v>191</v>
      </c>
      <c r="AE271" s="16" t="s">
        <v>191</v>
      </c>
    </row>
    <row r="272" spans="1:36" x14ac:dyDescent="0.35">
      <c r="A272" s="7">
        <v>3</v>
      </c>
      <c r="B272" s="15">
        <v>0.35</v>
      </c>
      <c r="C272" s="21" t="s">
        <v>131</v>
      </c>
      <c r="Y272" s="16" t="s">
        <v>190</v>
      </c>
      <c r="Z272" s="16" t="s">
        <v>215</v>
      </c>
      <c r="AA272" s="16" t="s">
        <v>216</v>
      </c>
      <c r="AB272" s="16" t="s">
        <v>191</v>
      </c>
      <c r="AC272" s="16" t="s">
        <v>194</v>
      </c>
      <c r="AD272" s="16" t="s">
        <v>191</v>
      </c>
      <c r="AE272" s="16" t="s">
        <v>191</v>
      </c>
      <c r="AF272" s="5" t="s">
        <v>201</v>
      </c>
      <c r="AG272" s="5" t="s">
        <v>183</v>
      </c>
      <c r="AH272" s="5" t="s">
        <v>191</v>
      </c>
      <c r="AI272" s="5" t="s">
        <v>216</v>
      </c>
      <c r="AJ272" s="5" t="s">
        <v>198</v>
      </c>
    </row>
    <row r="273" spans="1:36" x14ac:dyDescent="0.35">
      <c r="A273" s="7">
        <v>3</v>
      </c>
      <c r="B273" s="15">
        <v>0.33263888888888887</v>
      </c>
      <c r="C273" s="21" t="s">
        <v>131</v>
      </c>
      <c r="Y273" s="16" t="s">
        <v>187</v>
      </c>
      <c r="Z273" s="16" t="s">
        <v>193</v>
      </c>
      <c r="AA273" s="16" t="s">
        <v>199</v>
      </c>
      <c r="AC273" s="16" t="s">
        <v>194</v>
      </c>
      <c r="AD273" s="16" t="s">
        <v>191</v>
      </c>
      <c r="AE273" s="16" t="s">
        <v>191</v>
      </c>
      <c r="AF273" s="5" t="s">
        <v>228</v>
      </c>
      <c r="AG273" s="5" t="s">
        <v>230</v>
      </c>
      <c r="AH273" s="5" t="s">
        <v>193</v>
      </c>
    </row>
    <row r="274" spans="1:36" x14ac:dyDescent="0.35">
      <c r="A274" s="2">
        <v>3</v>
      </c>
      <c r="B274" s="15">
        <v>0.31944444444444442</v>
      </c>
      <c r="C274" s="21" t="s">
        <v>131</v>
      </c>
      <c r="Y274" s="16" t="s">
        <v>190</v>
      </c>
      <c r="Z274" s="16" t="s">
        <v>197</v>
      </c>
      <c r="AA274" s="16" t="s">
        <v>218</v>
      </c>
      <c r="AB274" s="16" t="s">
        <v>191</v>
      </c>
      <c r="AC274" s="16" t="s">
        <v>203</v>
      </c>
      <c r="AD274" s="16" t="s">
        <v>191</v>
      </c>
      <c r="AE274" s="16" t="s">
        <v>191</v>
      </c>
      <c r="AF274" s="5" t="s">
        <v>188</v>
      </c>
      <c r="AG274" s="5" t="s">
        <v>181</v>
      </c>
    </row>
    <row r="275" spans="1:36" x14ac:dyDescent="0.35">
      <c r="A275" s="7">
        <v>3</v>
      </c>
      <c r="B275" s="15">
        <v>0.30555555555555558</v>
      </c>
      <c r="C275" s="21" t="s">
        <v>131</v>
      </c>
      <c r="Y275" s="16" t="s">
        <v>190</v>
      </c>
      <c r="Z275" s="16" t="s">
        <v>189</v>
      </c>
      <c r="AA275" s="16" t="s">
        <v>214</v>
      </c>
      <c r="AB275" s="16" t="s">
        <v>191</v>
      </c>
      <c r="AC275" s="16" t="s">
        <v>203</v>
      </c>
      <c r="AD275" s="16" t="s">
        <v>191</v>
      </c>
      <c r="AE275" s="16" t="s">
        <v>191</v>
      </c>
      <c r="AF275" s="5" t="s">
        <v>207</v>
      </c>
      <c r="AG275" s="5" t="s">
        <v>204</v>
      </c>
    </row>
    <row r="276" spans="1:36" x14ac:dyDescent="0.35">
      <c r="A276" s="2">
        <v>3</v>
      </c>
      <c r="B276" s="15">
        <v>0.2986111111111111</v>
      </c>
      <c r="C276" s="21" t="s">
        <v>131</v>
      </c>
      <c r="Y276" s="16" t="s">
        <v>190</v>
      </c>
      <c r="Z276" s="16" t="s">
        <v>207</v>
      </c>
      <c r="AA276" s="16" t="s">
        <v>206</v>
      </c>
      <c r="AB276" s="16" t="s">
        <v>191</v>
      </c>
      <c r="AC276" s="16" t="s">
        <v>203</v>
      </c>
      <c r="AD276" s="16" t="s">
        <v>191</v>
      </c>
      <c r="AE276" s="16" t="s">
        <v>191</v>
      </c>
    </row>
    <row r="277" spans="1:36" x14ac:dyDescent="0.35">
      <c r="A277" s="7">
        <v>3</v>
      </c>
      <c r="B277" s="15">
        <v>0.29236111111111113</v>
      </c>
      <c r="C277" s="21" t="s">
        <v>131</v>
      </c>
      <c r="Y277" s="16" t="s">
        <v>187</v>
      </c>
      <c r="Z277" s="16" t="s">
        <v>214</v>
      </c>
      <c r="AA277" s="16" t="s">
        <v>191</v>
      </c>
      <c r="AC277" s="16" t="s">
        <v>194</v>
      </c>
      <c r="AD277" s="16" t="s">
        <v>191</v>
      </c>
      <c r="AE277" s="16" t="s">
        <v>191</v>
      </c>
      <c r="AF277" s="5" t="s">
        <v>189</v>
      </c>
      <c r="AG277" s="5" t="s">
        <v>186</v>
      </c>
    </row>
    <row r="278" spans="1:36" x14ac:dyDescent="0.35">
      <c r="A278" s="2">
        <v>3</v>
      </c>
      <c r="B278" s="15">
        <v>0.28819444444444442</v>
      </c>
      <c r="C278" s="21" t="s">
        <v>131</v>
      </c>
      <c r="Y278" s="16" t="s">
        <v>200</v>
      </c>
      <c r="Z278" s="16" t="s">
        <v>226</v>
      </c>
      <c r="AA278" s="16" t="s">
        <v>223</v>
      </c>
      <c r="AC278" s="16" t="s">
        <v>194</v>
      </c>
      <c r="AD278" s="16" t="s">
        <v>191</v>
      </c>
      <c r="AE278" s="16" t="s">
        <v>191</v>
      </c>
    </row>
    <row r="279" spans="1:36" x14ac:dyDescent="0.35">
      <c r="A279" s="7">
        <v>3</v>
      </c>
      <c r="B279" s="15">
        <v>0.28333333333333333</v>
      </c>
      <c r="C279" s="21" t="s">
        <v>131</v>
      </c>
      <c r="Y279" s="16" t="s">
        <v>187</v>
      </c>
      <c r="Z279" s="16" t="s">
        <v>202</v>
      </c>
      <c r="AA279" s="16" t="s">
        <v>206</v>
      </c>
      <c r="AC279" s="16" t="s">
        <v>194</v>
      </c>
      <c r="AD279" s="16" t="s">
        <v>191</v>
      </c>
      <c r="AE279" s="16" t="s">
        <v>191</v>
      </c>
      <c r="AF279" s="5" t="s">
        <v>216</v>
      </c>
      <c r="AG279" s="5" t="s">
        <v>183</v>
      </c>
      <c r="AH279" s="5" t="s">
        <v>191</v>
      </c>
      <c r="AI279" s="5" t="s">
        <v>216</v>
      </c>
      <c r="AJ279" s="5" t="s">
        <v>186</v>
      </c>
    </row>
    <row r="280" spans="1:36" x14ac:dyDescent="0.35">
      <c r="A280" s="2">
        <v>3</v>
      </c>
      <c r="B280" s="15">
        <v>0.27638888888888891</v>
      </c>
      <c r="C280" s="21" t="s">
        <v>131</v>
      </c>
      <c r="Y280" s="16" t="s">
        <v>190</v>
      </c>
      <c r="Z280" s="16" t="s">
        <v>184</v>
      </c>
      <c r="AA280" s="16" t="s">
        <v>210</v>
      </c>
      <c r="AB280" s="16" t="s">
        <v>191</v>
      </c>
      <c r="AC280" s="16" t="s">
        <v>203</v>
      </c>
      <c r="AD280" s="16" t="s">
        <v>191</v>
      </c>
      <c r="AE280" s="16" t="s">
        <v>191</v>
      </c>
    </row>
    <row r="281" spans="1:36" x14ac:dyDescent="0.35">
      <c r="A281" s="7">
        <v>3</v>
      </c>
      <c r="B281" s="14">
        <v>0.26250000000000001</v>
      </c>
      <c r="C281" s="21" t="s">
        <v>131</v>
      </c>
      <c r="AF281" s="5" t="s">
        <v>214</v>
      </c>
      <c r="AG281" s="5" t="s">
        <v>181</v>
      </c>
    </row>
    <row r="282" spans="1:36" x14ac:dyDescent="0.35">
      <c r="A282" s="2">
        <v>3</v>
      </c>
      <c r="B282" s="15">
        <v>0.25694444444444442</v>
      </c>
      <c r="C282" s="21" t="s">
        <v>131</v>
      </c>
      <c r="AF282" s="5" t="s">
        <v>189</v>
      </c>
      <c r="AG282" s="5" t="s">
        <v>198</v>
      </c>
    </row>
    <row r="283" spans="1:36" x14ac:dyDescent="0.35">
      <c r="A283" s="7">
        <v>3</v>
      </c>
      <c r="B283" s="15">
        <v>0.25555555555555554</v>
      </c>
      <c r="C283" s="21" t="s">
        <v>131</v>
      </c>
      <c r="Y283" s="16" t="s">
        <v>190</v>
      </c>
      <c r="Z283" s="16" t="s">
        <v>212</v>
      </c>
      <c r="AA283" s="16" t="s">
        <v>189</v>
      </c>
      <c r="AB283" s="16" t="s">
        <v>191</v>
      </c>
      <c r="AC283" s="16" t="s">
        <v>203</v>
      </c>
      <c r="AD283" s="16" t="s">
        <v>191</v>
      </c>
      <c r="AE283" s="16" t="s">
        <v>191</v>
      </c>
      <c r="AF283" s="5" t="s">
        <v>201</v>
      </c>
      <c r="AG283" s="5" t="s">
        <v>186</v>
      </c>
    </row>
    <row r="284" spans="1:36" x14ac:dyDescent="0.35">
      <c r="A284" s="7">
        <v>3</v>
      </c>
      <c r="B284" s="15">
        <v>0.2326388888888889</v>
      </c>
      <c r="C284" s="21" t="s">
        <v>131</v>
      </c>
      <c r="Y284" s="16" t="s">
        <v>200</v>
      </c>
      <c r="Z284" s="16" t="s">
        <v>208</v>
      </c>
      <c r="AA284" s="16" t="s">
        <v>218</v>
      </c>
      <c r="AC284" s="16" t="s">
        <v>203</v>
      </c>
      <c r="AD284" s="16" t="s">
        <v>191</v>
      </c>
      <c r="AE284" s="16" t="s">
        <v>191</v>
      </c>
    </row>
    <row r="285" spans="1:36" x14ac:dyDescent="0.35">
      <c r="A285" s="2">
        <v>3</v>
      </c>
      <c r="B285" s="15">
        <v>0.22916666666666666</v>
      </c>
      <c r="C285" s="21" t="s">
        <v>131</v>
      </c>
      <c r="Y285" s="16" t="s">
        <v>190</v>
      </c>
      <c r="Z285" s="16" t="s">
        <v>219</v>
      </c>
      <c r="AA285" s="16" t="s">
        <v>206</v>
      </c>
      <c r="AB285" s="16" t="s">
        <v>191</v>
      </c>
      <c r="AC285" s="16" t="s">
        <v>194</v>
      </c>
      <c r="AD285" s="16" t="s">
        <v>191</v>
      </c>
      <c r="AE285" s="16" t="s">
        <v>191</v>
      </c>
      <c r="AF285" s="5" t="s">
        <v>206</v>
      </c>
      <c r="AG285" s="5" t="s">
        <v>230</v>
      </c>
      <c r="AH285" s="5" t="s">
        <v>192</v>
      </c>
    </row>
    <row r="286" spans="1:36" x14ac:dyDescent="0.35">
      <c r="A286" s="7">
        <v>3</v>
      </c>
      <c r="B286" s="15">
        <v>0.22083333333333333</v>
      </c>
      <c r="C286" s="21" t="s">
        <v>131</v>
      </c>
      <c r="AF286" s="5" t="s">
        <v>206</v>
      </c>
      <c r="AG286" s="5" t="s">
        <v>183</v>
      </c>
      <c r="AH286" s="5" t="s">
        <v>191</v>
      </c>
      <c r="AI286" s="5" t="s">
        <v>231</v>
      </c>
      <c r="AJ286" s="5" t="s">
        <v>186</v>
      </c>
    </row>
    <row r="287" spans="1:36" x14ac:dyDescent="0.35">
      <c r="A287" s="2">
        <v>3</v>
      </c>
      <c r="B287" s="15">
        <v>0.21527777777777779</v>
      </c>
      <c r="C287" s="21" t="s">
        <v>131</v>
      </c>
      <c r="Y287" s="16" t="s">
        <v>187</v>
      </c>
      <c r="Z287" s="16" t="s">
        <v>197</v>
      </c>
      <c r="AA287" s="16" t="s">
        <v>218</v>
      </c>
      <c r="AC287" s="16" t="s">
        <v>203</v>
      </c>
      <c r="AD287" s="16" t="s">
        <v>191</v>
      </c>
      <c r="AE287" s="16" t="s">
        <v>191</v>
      </c>
      <c r="AF287" s="5" t="s">
        <v>199</v>
      </c>
      <c r="AG287" s="5" t="s">
        <v>183</v>
      </c>
      <c r="AH287" s="5" t="s">
        <v>191</v>
      </c>
      <c r="AI287" s="5" t="s">
        <v>218</v>
      </c>
      <c r="AJ287" s="5" t="s">
        <v>198</v>
      </c>
    </row>
    <row r="288" spans="1:36" x14ac:dyDescent="0.35">
      <c r="A288" s="2">
        <v>3</v>
      </c>
      <c r="B288" s="15">
        <v>0.20208333333333334</v>
      </c>
      <c r="C288" s="21" t="s">
        <v>131</v>
      </c>
      <c r="Y288" s="16" t="s">
        <v>187</v>
      </c>
      <c r="Z288" s="16" t="s">
        <v>193</v>
      </c>
      <c r="AA288" s="16" t="s">
        <v>180</v>
      </c>
      <c r="AB288" s="16" t="s">
        <v>191</v>
      </c>
      <c r="AC288" s="16" t="s">
        <v>194</v>
      </c>
      <c r="AD288" s="16" t="s">
        <v>191</v>
      </c>
      <c r="AE288" s="16" t="s">
        <v>191</v>
      </c>
      <c r="AF288" s="5" t="s">
        <v>220</v>
      </c>
      <c r="AG288" s="5" t="s">
        <v>181</v>
      </c>
    </row>
    <row r="289" spans="1:34" x14ac:dyDescent="0.35">
      <c r="A289" s="7">
        <v>3</v>
      </c>
      <c r="B289" s="15">
        <v>0.19305555555555556</v>
      </c>
      <c r="C289" s="21" t="s">
        <v>131</v>
      </c>
      <c r="Y289" s="16" t="s">
        <v>200</v>
      </c>
      <c r="Z289" s="16" t="s">
        <v>197</v>
      </c>
      <c r="AA289" s="16" t="s">
        <v>214</v>
      </c>
      <c r="AB289" s="16" t="s">
        <v>191</v>
      </c>
      <c r="AC289" s="16" t="s">
        <v>203</v>
      </c>
      <c r="AD289" s="16" t="s">
        <v>191</v>
      </c>
      <c r="AE289" s="16" t="s">
        <v>191</v>
      </c>
    </row>
    <row r="290" spans="1:34" x14ac:dyDescent="0.35">
      <c r="A290" s="2">
        <v>3</v>
      </c>
      <c r="B290" s="15">
        <v>0.18819444444444444</v>
      </c>
      <c r="C290" s="21" t="s">
        <v>131</v>
      </c>
      <c r="Y290" s="16" t="s">
        <v>190</v>
      </c>
      <c r="Z290" s="16" t="s">
        <v>197</v>
      </c>
      <c r="AA290" s="16" t="s">
        <v>214</v>
      </c>
      <c r="AB290" s="16" t="s">
        <v>145</v>
      </c>
      <c r="AC290" s="16" t="s">
        <v>190</v>
      </c>
      <c r="AD290" s="16" t="s">
        <v>191</v>
      </c>
      <c r="AE290" s="16" t="s">
        <v>191</v>
      </c>
    </row>
    <row r="291" spans="1:34" x14ac:dyDescent="0.35">
      <c r="A291" s="2">
        <v>3</v>
      </c>
      <c r="B291" s="15">
        <v>0.1736111111111111</v>
      </c>
      <c r="C291" s="21" t="s">
        <v>131</v>
      </c>
      <c r="AF291" s="5" t="s">
        <v>182</v>
      </c>
      <c r="AG291" s="5" t="s">
        <v>230</v>
      </c>
      <c r="AH291" s="5" t="s">
        <v>188</v>
      </c>
    </row>
    <row r="292" spans="1:34" x14ac:dyDescent="0.35">
      <c r="A292" s="7">
        <v>3</v>
      </c>
      <c r="B292" s="15">
        <v>0.17152777777777778</v>
      </c>
      <c r="C292" s="21" t="s">
        <v>131</v>
      </c>
      <c r="AF292" s="5" t="s">
        <v>189</v>
      </c>
      <c r="AG292" s="5" t="s">
        <v>186</v>
      </c>
    </row>
    <row r="293" spans="1:34" x14ac:dyDescent="0.35">
      <c r="A293" s="7">
        <v>3</v>
      </c>
      <c r="B293" s="15">
        <v>0.16944444444444445</v>
      </c>
      <c r="C293" s="21" t="s">
        <v>131</v>
      </c>
      <c r="Y293" s="16" t="s">
        <v>187</v>
      </c>
      <c r="Z293" s="16" t="s">
        <v>226</v>
      </c>
      <c r="AA293" s="16" t="s">
        <v>210</v>
      </c>
      <c r="AC293" s="16" t="s">
        <v>203</v>
      </c>
      <c r="AD293" s="16" t="s">
        <v>191</v>
      </c>
      <c r="AE293" s="16" t="s">
        <v>191</v>
      </c>
      <c r="AF293" s="5" t="s">
        <v>205</v>
      </c>
      <c r="AG293" s="5" t="s">
        <v>196</v>
      </c>
    </row>
    <row r="294" spans="1:34" x14ac:dyDescent="0.35">
      <c r="A294" s="2">
        <v>3</v>
      </c>
      <c r="B294" s="15">
        <v>0.15277777777777779</v>
      </c>
      <c r="C294" s="21" t="s">
        <v>131</v>
      </c>
      <c r="AF294" s="5" t="s">
        <v>180</v>
      </c>
      <c r="AG294" s="5" t="s">
        <v>198</v>
      </c>
    </row>
    <row r="295" spans="1:34" x14ac:dyDescent="0.35">
      <c r="A295" s="7">
        <v>3</v>
      </c>
      <c r="B295" s="15">
        <v>0.14930555555555555</v>
      </c>
      <c r="C295" s="21" t="s">
        <v>131</v>
      </c>
      <c r="Y295" s="16" t="s">
        <v>200</v>
      </c>
      <c r="Z295" s="16" t="s">
        <v>231</v>
      </c>
      <c r="AA295" s="16" t="s">
        <v>214</v>
      </c>
      <c r="AB295" s="16" t="s">
        <v>191</v>
      </c>
      <c r="AC295" s="16" t="s">
        <v>194</v>
      </c>
      <c r="AD295" s="16" t="s">
        <v>191</v>
      </c>
      <c r="AE295" s="16" t="s">
        <v>191</v>
      </c>
    </row>
    <row r="296" spans="1:34" x14ac:dyDescent="0.35">
      <c r="A296" s="2">
        <v>3</v>
      </c>
      <c r="B296" s="15">
        <v>0.14166666666666666</v>
      </c>
      <c r="C296" s="21" t="s">
        <v>131</v>
      </c>
      <c r="Y296" s="16" t="s">
        <v>187</v>
      </c>
      <c r="Z296" s="16" t="s">
        <v>192</v>
      </c>
      <c r="AA296" s="16" t="s">
        <v>191</v>
      </c>
      <c r="AC296" s="16" t="s">
        <v>194</v>
      </c>
      <c r="AD296" s="16" t="s">
        <v>191</v>
      </c>
      <c r="AE296" s="16" t="s">
        <v>191</v>
      </c>
      <c r="AF296" s="5" t="s">
        <v>182</v>
      </c>
      <c r="AG296" s="5" t="s">
        <v>230</v>
      </c>
    </row>
    <row r="297" spans="1:34" x14ac:dyDescent="0.35">
      <c r="A297" s="7">
        <v>3</v>
      </c>
      <c r="B297" s="15">
        <v>0.13472222222222222</v>
      </c>
      <c r="C297" s="21" t="s">
        <v>131</v>
      </c>
      <c r="Y297" s="16" t="s">
        <v>190</v>
      </c>
      <c r="Z297" s="16" t="s">
        <v>197</v>
      </c>
      <c r="AA297" s="16" t="s">
        <v>214</v>
      </c>
      <c r="AB297" s="16" t="s">
        <v>191</v>
      </c>
      <c r="AC297" s="16" t="s">
        <v>203</v>
      </c>
      <c r="AD297" s="16" t="s">
        <v>191</v>
      </c>
      <c r="AE297" s="16" t="s">
        <v>191</v>
      </c>
    </row>
    <row r="298" spans="1:34" x14ac:dyDescent="0.35">
      <c r="A298" s="7">
        <v>3</v>
      </c>
      <c r="B298" s="15">
        <v>0.11874999999999999</v>
      </c>
      <c r="C298" s="21" t="s">
        <v>131</v>
      </c>
      <c r="AF298" s="5" t="s">
        <v>199</v>
      </c>
      <c r="AG298" s="5" t="s">
        <v>181</v>
      </c>
    </row>
    <row r="299" spans="1:34" x14ac:dyDescent="0.35">
      <c r="A299" s="2">
        <v>3</v>
      </c>
      <c r="B299" s="15">
        <v>0.1076388888888889</v>
      </c>
      <c r="C299" s="21" t="s">
        <v>131</v>
      </c>
      <c r="Y299" s="16" t="s">
        <v>200</v>
      </c>
      <c r="Z299" s="16" t="s">
        <v>217</v>
      </c>
      <c r="AA299" s="16" t="s">
        <v>199</v>
      </c>
      <c r="AC299" s="16" t="s">
        <v>194</v>
      </c>
      <c r="AD299" s="16" t="s">
        <v>191</v>
      </c>
      <c r="AE299" s="16" t="s">
        <v>191</v>
      </c>
    </row>
    <row r="300" spans="1:34" x14ac:dyDescent="0.35">
      <c r="A300" s="7">
        <v>3</v>
      </c>
      <c r="B300" s="14">
        <v>0.10069444444444445</v>
      </c>
      <c r="C300" s="21" t="s">
        <v>131</v>
      </c>
      <c r="AF300" s="5" t="s">
        <v>221</v>
      </c>
      <c r="AG300" s="5" t="s">
        <v>186</v>
      </c>
    </row>
    <row r="301" spans="1:34" x14ac:dyDescent="0.35">
      <c r="A301" s="2">
        <v>3</v>
      </c>
      <c r="B301" s="15">
        <v>0.1</v>
      </c>
      <c r="C301" s="21" t="s">
        <v>131</v>
      </c>
      <c r="Y301" s="16" t="s">
        <v>187</v>
      </c>
      <c r="Z301" s="16" t="s">
        <v>208</v>
      </c>
      <c r="AA301" s="16" t="s">
        <v>191</v>
      </c>
      <c r="AC301" s="16" t="s">
        <v>203</v>
      </c>
      <c r="AD301" s="16" t="s">
        <v>191</v>
      </c>
      <c r="AE301" s="16" t="s">
        <v>191</v>
      </c>
      <c r="AF301" s="5" t="s">
        <v>229</v>
      </c>
      <c r="AG301" s="5" t="s">
        <v>181</v>
      </c>
    </row>
    <row r="302" spans="1:34" x14ac:dyDescent="0.35">
      <c r="B302" s="15"/>
    </row>
    <row r="303" spans="1:34" x14ac:dyDescent="0.35">
      <c r="A303" s="7"/>
      <c r="B303" s="14"/>
    </row>
    <row r="304" spans="1:34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M4" sqref="CM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234</v>
      </c>
      <c r="C2" s="8" t="s">
        <v>137</v>
      </c>
      <c r="D2" s="8" t="s">
        <v>187</v>
      </c>
      <c r="E2" s="8">
        <v>21.4</v>
      </c>
      <c r="F2" s="8" t="s">
        <v>130</v>
      </c>
      <c r="G2" s="19" t="s">
        <v>273</v>
      </c>
      <c r="H2" s="9">
        <f>COUNTIFS(Tracking!E:E,A2,Tracking!D:D,C2,Tracking!C:C,"5v5")</f>
        <v>4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15</v>
      </c>
      <c r="AL2" s="5">
        <f>COUNTIFS(Tracking!AF:AF,A2&amp;C2,Tracking!C:C,"5v5")-AT2</f>
        <v>14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9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10</v>
      </c>
      <c r="AZ2" s="1">
        <f>COUNTIFS(Tracking!AA:AA,A2&amp;C2,Tracking!C:C,"5v5",Tracking!Y:Y,"C")</f>
        <v>7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1.32</v>
      </c>
      <c r="CK2" s="2">
        <f>(0.075*H2)+(0.07*L2)+(0.055*M2)+(0.055*N2)+(0.095*J2)+(0.09*O2)+(0.05*P2)+(0.05*R2)+(0.05*S2)+(0.05*AB2)</f>
        <v>0.73</v>
      </c>
      <c r="CL2" s="2">
        <f t="shared" ref="CL2:CL37" si="2">(0.045*AD2)-(0.045*AE2)+(0.055*AH2)+(0.035*AI2)</f>
        <v>0.08</v>
      </c>
      <c r="CM2" s="2">
        <f>(0.025*(AY2-AZ2))+(0.035*BA2)-(0.015*BB2)-(0.015*BC2)+(0.015*(AY2-(BD2+BC2)))</f>
        <v>0.18</v>
      </c>
      <c r="CN2" s="2">
        <f t="shared" ref="CN2:CN37" si="3">(0.035*AN2)+(0.025*AS2)-(0.035*AT2)-(0.035*AV2)</f>
        <v>0.33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1.32</v>
      </c>
    </row>
    <row r="3" spans="1:126" x14ac:dyDescent="0.35">
      <c r="A3" s="8">
        <v>26</v>
      </c>
      <c r="B3" s="8" t="s">
        <v>235</v>
      </c>
      <c r="C3" s="8" t="s">
        <v>137</v>
      </c>
      <c r="D3" s="8" t="s">
        <v>194</v>
      </c>
      <c r="E3" s="8">
        <v>8.4666666666667005</v>
      </c>
      <c r="F3" s="8" t="s">
        <v>130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0.375</v>
      </c>
      <c r="CK3" s="2">
        <f t="shared" ref="CK3:CK37" si="7">(0.075*H3)+(0.07*L3)+(0.055*M3)+(0.055*N3)+(0.095*J3)+(0.09*O3)+(0.05*P3)+(0.05*R3)+(0.05*S3)+(0.05*AB3)</f>
        <v>0.22500000000000001</v>
      </c>
      <c r="CL3" s="2">
        <f t="shared" si="2"/>
        <v>0.1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1.4999999999999999E-2</v>
      </c>
      <c r="CP3" s="2">
        <f t="shared" si="5"/>
        <v>0</v>
      </c>
      <c r="CQ3" s="2">
        <f t="shared" si="6"/>
        <v>0.375</v>
      </c>
    </row>
    <row r="4" spans="1:126" x14ac:dyDescent="0.35">
      <c r="A4" s="8">
        <v>3</v>
      </c>
      <c r="B4" s="8" t="s">
        <v>236</v>
      </c>
      <c r="C4" s="8" t="s">
        <v>137</v>
      </c>
      <c r="D4" s="8" t="s">
        <v>187</v>
      </c>
      <c r="E4" s="8">
        <v>13.966666666667001</v>
      </c>
      <c r="F4" s="8" t="s">
        <v>130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5</v>
      </c>
      <c r="AZ4" s="1">
        <f>COUNTIFS(Tracking!AA:AA,A4&amp;C4,Tracking!C:C,"5v5",Tracking!Y:Y,"C")</f>
        <v>2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0.28500000000000003</v>
      </c>
      <c r="CK4" s="2">
        <f t="shared" si="7"/>
        <v>7.4999999999999997E-2</v>
      </c>
      <c r="CL4" s="2">
        <f t="shared" si="2"/>
        <v>0</v>
      </c>
      <c r="CM4" s="2">
        <f>(0.015*(AY4-AZ4))+(0.035*BA4)-(0.015*BB4)-(0.025*BC4)+(0.015*(AY4-(BD4+BC4)))</f>
        <v>0.13500000000000001</v>
      </c>
      <c r="CN4" s="2">
        <f t="shared" si="3"/>
        <v>7.5000000000000011E-2</v>
      </c>
      <c r="CO4" s="2">
        <f t="shared" si="4"/>
        <v>0</v>
      </c>
      <c r="CP4" s="2">
        <f t="shared" si="5"/>
        <v>0</v>
      </c>
      <c r="CQ4" s="2">
        <f t="shared" si="6"/>
        <v>0.28500000000000003</v>
      </c>
    </row>
    <row r="5" spans="1:126" x14ac:dyDescent="0.35">
      <c r="A5" s="8">
        <v>21</v>
      </c>
      <c r="B5" s="8" t="s">
        <v>237</v>
      </c>
      <c r="C5" s="8" t="s">
        <v>137</v>
      </c>
      <c r="D5" s="8" t="s">
        <v>190</v>
      </c>
      <c r="E5" s="8">
        <v>14.233333333333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4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2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0.71500000000000008</v>
      </c>
      <c r="CK5" s="2">
        <f t="shared" si="7"/>
        <v>0.56500000000000006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0.06</v>
      </c>
      <c r="CP5" s="2">
        <f t="shared" si="5"/>
        <v>0</v>
      </c>
      <c r="CQ5" s="2">
        <f t="shared" si="6"/>
        <v>0.71500000000000008</v>
      </c>
    </row>
    <row r="6" spans="1:126" x14ac:dyDescent="0.35">
      <c r="A6" s="8">
        <v>22</v>
      </c>
      <c r="B6" s="8" t="s">
        <v>238</v>
      </c>
      <c r="C6" s="8" t="s">
        <v>137</v>
      </c>
      <c r="D6" s="8" t="s">
        <v>194</v>
      </c>
      <c r="E6" s="8">
        <v>9.2833333333332995</v>
      </c>
      <c r="F6" s="8" t="s">
        <v>130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0.29000000000000004</v>
      </c>
      <c r="CK6" s="2">
        <f t="shared" si="7"/>
        <v>0.27500000000000002</v>
      </c>
      <c r="CL6" s="2">
        <f t="shared" si="2"/>
        <v>0</v>
      </c>
      <c r="CM6" s="2">
        <f t="shared" si="9"/>
        <v>0</v>
      </c>
      <c r="CN6" s="2">
        <f t="shared" si="3"/>
        <v>0</v>
      </c>
      <c r="CO6" s="2">
        <f t="shared" si="4"/>
        <v>1.4999999999999999E-2</v>
      </c>
      <c r="CP6" s="2">
        <f t="shared" si="5"/>
        <v>0</v>
      </c>
      <c r="CQ6" s="2">
        <f t="shared" si="6"/>
        <v>0.29000000000000004</v>
      </c>
    </row>
    <row r="7" spans="1:126" x14ac:dyDescent="0.35">
      <c r="A7" s="8">
        <v>9</v>
      </c>
      <c r="B7" s="8" t="s">
        <v>239</v>
      </c>
      <c r="C7" s="8" t="s">
        <v>137</v>
      </c>
      <c r="D7" s="8" t="s">
        <v>190</v>
      </c>
      <c r="E7" s="8">
        <v>18.416666666666998</v>
      </c>
      <c r="F7" s="8" t="s">
        <v>130</v>
      </c>
      <c r="G7" s="19" t="s">
        <v>273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3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11</v>
      </c>
      <c r="AD7" s="11">
        <f>COUNTIFS(Tracking!Z:Z,A7&amp;C7,Tracking!C:C,"5v5",Tracking!Y:Y,"C")</f>
        <v>7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6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1.3150000000000002</v>
      </c>
      <c r="CK7" s="2">
        <f t="shared" si="7"/>
        <v>0.56000000000000005</v>
      </c>
      <c r="CL7" s="2">
        <f t="shared" si="2"/>
        <v>0.38</v>
      </c>
      <c r="CM7" s="2">
        <f t="shared" si="9"/>
        <v>0.03</v>
      </c>
      <c r="CN7" s="2">
        <f t="shared" si="3"/>
        <v>0.17</v>
      </c>
      <c r="CO7" s="2">
        <f t="shared" si="4"/>
        <v>0.03</v>
      </c>
      <c r="CP7" s="2">
        <f t="shared" si="5"/>
        <v>0.14500000000000002</v>
      </c>
      <c r="CQ7" s="2">
        <f t="shared" si="6"/>
        <v>1.1700000000000002</v>
      </c>
    </row>
    <row r="8" spans="1:126" x14ac:dyDescent="0.35">
      <c r="A8" s="8">
        <v>46</v>
      </c>
      <c r="B8" s="8" t="s">
        <v>240</v>
      </c>
      <c r="C8" s="8" t="s">
        <v>137</v>
      </c>
      <c r="D8" s="8" t="s">
        <v>194</v>
      </c>
      <c r="E8" s="8">
        <v>9.6333333333333009</v>
      </c>
      <c r="F8" s="8" t="s">
        <v>130</v>
      </c>
      <c r="G8" s="19" t="s">
        <v>273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1.4999999999999993E-2</v>
      </c>
      <c r="CK8" s="2">
        <f t="shared" si="7"/>
        <v>0</v>
      </c>
      <c r="CL8" s="2">
        <f t="shared" si="2"/>
        <v>4.4999999999999998E-2</v>
      </c>
      <c r="CM8" s="2">
        <f t="shared" si="9"/>
        <v>0</v>
      </c>
      <c r="CN8" s="2">
        <f t="shared" si="3"/>
        <v>-4.5000000000000005E-2</v>
      </c>
      <c r="CO8" s="2">
        <f t="shared" si="4"/>
        <v>1.4999999999999999E-2</v>
      </c>
      <c r="CP8" s="2">
        <f t="shared" si="5"/>
        <v>0</v>
      </c>
      <c r="CQ8" s="2">
        <f t="shared" si="6"/>
        <v>1.4999999999999993E-2</v>
      </c>
    </row>
    <row r="9" spans="1:126" x14ac:dyDescent="0.35">
      <c r="A9" s="8">
        <v>55</v>
      </c>
      <c r="B9" s="8" t="s">
        <v>241</v>
      </c>
      <c r="C9" s="8" t="s">
        <v>137</v>
      </c>
      <c r="D9" s="8" t="s">
        <v>194</v>
      </c>
      <c r="E9" s="8">
        <v>13.05</v>
      </c>
      <c r="F9" s="8" t="s">
        <v>130</v>
      </c>
      <c r="G9" s="19" t="s">
        <v>273</v>
      </c>
      <c r="H9" s="9">
        <f>COUNTIFS(Tracking!E:E,A9,Tracking!D:D,C9,Tracking!C:C,"5v5")</f>
        <v>2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2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0.45999999999999996</v>
      </c>
      <c r="CK9" s="2">
        <f t="shared" si="7"/>
        <v>0.34499999999999997</v>
      </c>
      <c r="CL9" s="2">
        <f t="shared" si="2"/>
        <v>0.13500000000000001</v>
      </c>
      <c r="CM9" s="2">
        <f t="shared" si="9"/>
        <v>0</v>
      </c>
      <c r="CN9" s="2">
        <f t="shared" si="3"/>
        <v>-3.5000000000000003E-2</v>
      </c>
      <c r="CO9" s="2">
        <f t="shared" si="4"/>
        <v>1.4999999999999999E-2</v>
      </c>
      <c r="CP9" s="2">
        <f t="shared" si="5"/>
        <v>0</v>
      </c>
      <c r="CQ9" s="2">
        <f t="shared" si="6"/>
        <v>0.45999999999999996</v>
      </c>
    </row>
    <row r="10" spans="1:126" x14ac:dyDescent="0.35">
      <c r="A10" s="8">
        <v>61</v>
      </c>
      <c r="B10" s="8" t="s">
        <v>242</v>
      </c>
      <c r="C10" s="8" t="s">
        <v>137</v>
      </c>
      <c r="D10" s="8" t="s">
        <v>194</v>
      </c>
      <c r="E10" s="8">
        <v>17.366666666667001</v>
      </c>
      <c r="F10" s="8" t="s">
        <v>130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9</v>
      </c>
      <c r="AD10" s="11">
        <f>COUNTIFS(Tracking!Z:Z,A10&amp;C10,Tracking!C:C,"5v5",Tracking!Y:Y,"C")</f>
        <v>5</v>
      </c>
      <c r="AE10" s="11">
        <f>COUNTIFS(Tracking!Z:Z,A10&amp;C10,Tracking!C:C,"5v5",Tracking!Y:Y,"F")</f>
        <v>3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6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0.86</v>
      </c>
      <c r="CK10" s="2">
        <f t="shared" si="7"/>
        <v>0.28500000000000003</v>
      </c>
      <c r="CL10" s="2">
        <f t="shared" si="2"/>
        <v>8.9999999999999969E-2</v>
      </c>
      <c r="CM10" s="2">
        <f t="shared" si="9"/>
        <v>6.5000000000000002E-2</v>
      </c>
      <c r="CN10" s="2">
        <f t="shared" si="3"/>
        <v>0.19</v>
      </c>
      <c r="CO10" s="2">
        <f t="shared" si="4"/>
        <v>0.105</v>
      </c>
      <c r="CP10" s="2">
        <f t="shared" si="5"/>
        <v>0.125</v>
      </c>
      <c r="CQ10" s="2">
        <f t="shared" si="6"/>
        <v>0.73499999999999999</v>
      </c>
    </row>
    <row r="11" spans="1:126" x14ac:dyDescent="0.35">
      <c r="A11" s="8">
        <v>14</v>
      </c>
      <c r="B11" s="8" t="s">
        <v>243</v>
      </c>
      <c r="C11" s="8" t="s">
        <v>137</v>
      </c>
      <c r="D11" s="8" t="s">
        <v>187</v>
      </c>
      <c r="E11" s="8">
        <v>19.383333333332999</v>
      </c>
      <c r="F11" s="8" t="s">
        <v>130</v>
      </c>
      <c r="G11" s="19" t="s">
        <v>273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14</v>
      </c>
      <c r="AL11" s="5">
        <f>COUNTIFS(Tracking!AF:AF,A11&amp;C11,Tracking!C:C,"5v5")-AT11</f>
        <v>10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8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7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0.54500000000000004</v>
      </c>
      <c r="CK11" s="2">
        <f t="shared" si="7"/>
        <v>0.35</v>
      </c>
      <c r="CL11" s="2">
        <f t="shared" si="2"/>
        <v>-4.4999999999999998E-2</v>
      </c>
      <c r="CM11" s="2">
        <f t="shared" si="9"/>
        <v>7.9999999999999988E-2</v>
      </c>
      <c r="CN11" s="2">
        <f t="shared" si="3"/>
        <v>0.14500000000000002</v>
      </c>
      <c r="CO11" s="2">
        <f t="shared" si="4"/>
        <v>1.4999999999999999E-2</v>
      </c>
      <c r="CP11" s="2">
        <f t="shared" si="5"/>
        <v>0</v>
      </c>
      <c r="CQ11" s="2">
        <f t="shared" si="6"/>
        <v>0.54500000000000004</v>
      </c>
    </row>
    <row r="12" spans="1:126" x14ac:dyDescent="0.35">
      <c r="A12" s="8">
        <v>15</v>
      </c>
      <c r="B12" s="8" t="s">
        <v>244</v>
      </c>
      <c r="C12" s="8" t="s">
        <v>137</v>
      </c>
      <c r="D12" s="8" t="s">
        <v>187</v>
      </c>
      <c r="E12" s="8">
        <v>22.216666666666999</v>
      </c>
      <c r="F12" s="8" t="s">
        <v>130</v>
      </c>
      <c r="G12" s="19" t="s">
        <v>273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1</v>
      </c>
      <c r="M12" s="9">
        <f>COUNTIFS(Tracking!H:H,A12,Tracking!D:D,C12,Tracking!C:C,"5v5")</f>
        <v>3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12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4</v>
      </c>
      <c r="AU12" s="5">
        <f>COUNTIFS(Tracking!AF:AF,A12&amp;C12,Tracking!C:C,"5v5",Tracking!AG:AG,"EXC")</f>
        <v>6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7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3</v>
      </c>
      <c r="BC12" s="1">
        <f>COUNTIFS(Tracking!AA:AA,A12&amp;C12,Tracking!C:C,"5v5",Tracking!Y:Y,"C",Tracking!AE:AE,"Y")</f>
        <v>3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0.66500000000000004</v>
      </c>
      <c r="CK12" s="2">
        <f t="shared" si="7"/>
        <v>0.53500000000000003</v>
      </c>
      <c r="CL12" s="2">
        <f t="shared" si="2"/>
        <v>0.09</v>
      </c>
      <c r="CM12" s="2">
        <f t="shared" si="9"/>
        <v>4.9999999999999906E-3</v>
      </c>
      <c r="CN12" s="2">
        <f t="shared" si="3"/>
        <v>1.999999999999999E-2</v>
      </c>
      <c r="CO12" s="2">
        <f t="shared" si="4"/>
        <v>1.4999999999999999E-2</v>
      </c>
      <c r="CP12" s="2">
        <f t="shared" si="5"/>
        <v>0</v>
      </c>
      <c r="CQ12" s="2">
        <f t="shared" si="6"/>
        <v>0.66500000000000004</v>
      </c>
    </row>
    <row r="13" spans="1:126" x14ac:dyDescent="0.35">
      <c r="A13" s="8">
        <v>16</v>
      </c>
      <c r="B13" s="8" t="s">
        <v>245</v>
      </c>
      <c r="C13" s="8" t="s">
        <v>137</v>
      </c>
      <c r="D13" s="8" t="s">
        <v>203</v>
      </c>
      <c r="E13" s="8">
        <v>18</v>
      </c>
      <c r="F13" s="8" t="s">
        <v>130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0.44500000000000006</v>
      </c>
      <c r="CK13" s="2">
        <f t="shared" si="7"/>
        <v>0.14500000000000002</v>
      </c>
      <c r="CL13" s="2">
        <f t="shared" si="2"/>
        <v>0.14500000000000002</v>
      </c>
      <c r="CM13" s="2">
        <f t="shared" si="9"/>
        <v>0</v>
      </c>
      <c r="CN13" s="2">
        <f t="shared" si="3"/>
        <v>0.155</v>
      </c>
      <c r="CO13" s="2">
        <f t="shared" si="4"/>
        <v>0</v>
      </c>
      <c r="CP13" s="2">
        <f t="shared" si="5"/>
        <v>0</v>
      </c>
      <c r="CQ13" s="2">
        <f t="shared" si="6"/>
        <v>0.44500000000000006</v>
      </c>
    </row>
    <row r="14" spans="1:126" x14ac:dyDescent="0.35">
      <c r="A14" s="8">
        <v>27</v>
      </c>
      <c r="B14" s="8" t="s">
        <v>246</v>
      </c>
      <c r="C14" s="8" t="s">
        <v>137</v>
      </c>
      <c r="D14" s="8" t="s">
        <v>187</v>
      </c>
      <c r="E14" s="8">
        <v>15.65</v>
      </c>
      <c r="F14" s="8" t="s">
        <v>130</v>
      </c>
      <c r="G14" s="19" t="s">
        <v>273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2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6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0.60499999999999998</v>
      </c>
      <c r="CK14" s="2">
        <f t="shared" si="7"/>
        <v>0.45999999999999996</v>
      </c>
      <c r="CL14" s="2">
        <f t="shared" si="2"/>
        <v>3.5000000000000003E-2</v>
      </c>
      <c r="CM14" s="2">
        <f t="shared" si="9"/>
        <v>-3.5000000000000003E-2</v>
      </c>
      <c r="CN14" s="2">
        <f t="shared" si="3"/>
        <v>0.14500000000000002</v>
      </c>
      <c r="CO14" s="2">
        <f t="shared" si="4"/>
        <v>0</v>
      </c>
      <c r="CP14" s="2">
        <f t="shared" si="5"/>
        <v>0</v>
      </c>
      <c r="CQ14" s="2">
        <f t="shared" si="6"/>
        <v>0.60499999999999998</v>
      </c>
    </row>
    <row r="15" spans="1:126" x14ac:dyDescent="0.35">
      <c r="A15" s="8">
        <v>70</v>
      </c>
      <c r="B15" s="8" t="s">
        <v>247</v>
      </c>
      <c r="C15" s="8" t="s">
        <v>137</v>
      </c>
      <c r="D15" s="8" t="s">
        <v>203</v>
      </c>
      <c r="E15" s="8">
        <v>13.85</v>
      </c>
      <c r="F15" s="8" t="s">
        <v>130</v>
      </c>
      <c r="G15" s="19" t="s">
        <v>273</v>
      </c>
      <c r="H15" s="9">
        <f>COUNTIFS(Tracking!E:E,A15,Tracking!D:D,C15,Tracking!C:C,"5v5")</f>
        <v>4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7</v>
      </c>
      <c r="L15" s="9">
        <f>COUNTIFS(Tracking!G:G,A15,Tracking!D:D,C15,Tracking!C:C,"5v5")</f>
        <v>5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4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5</v>
      </c>
      <c r="AD15" s="11">
        <f>COUNTIFS(Tracking!Z:Z,A15&amp;C15,Tracking!C:C,"5v5",Tracking!Y:Y,"C")</f>
        <v>4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5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5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1.4450000000000001</v>
      </c>
      <c r="CK15" s="2">
        <f t="shared" si="7"/>
        <v>1.135</v>
      </c>
      <c r="CL15" s="2">
        <f t="shared" si="2"/>
        <v>0.09</v>
      </c>
      <c r="CM15" s="2">
        <f t="shared" si="9"/>
        <v>0</v>
      </c>
      <c r="CN15" s="2">
        <f t="shared" si="3"/>
        <v>0.13</v>
      </c>
      <c r="CO15" s="2">
        <f t="shared" si="4"/>
        <v>0.09</v>
      </c>
      <c r="CP15" s="2">
        <f t="shared" si="5"/>
        <v>0</v>
      </c>
      <c r="CQ15" s="2">
        <f t="shared" si="6"/>
        <v>1.4450000000000001</v>
      </c>
    </row>
    <row r="16" spans="1:126" x14ac:dyDescent="0.35">
      <c r="A16" s="8">
        <v>48</v>
      </c>
      <c r="B16" s="8" t="s">
        <v>248</v>
      </c>
      <c r="C16" s="8" t="s">
        <v>137</v>
      </c>
      <c r="D16" s="8" t="s">
        <v>190</v>
      </c>
      <c r="E16" s="8">
        <v>14.35</v>
      </c>
      <c r="F16" s="8" t="s">
        <v>130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7</v>
      </c>
      <c r="L16" s="9">
        <f>COUNTIFS(Tracking!G:G,A16,Tracking!D:D,C16,Tracking!C:C,"5v5")</f>
        <v>4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8</v>
      </c>
      <c r="AD16" s="11">
        <f>COUNTIFS(Tracking!Z:Z,A16&amp;C16,Tracking!C:C,"5v5",Tracking!Y:Y,"C")</f>
        <v>6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9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1.2449999999999999</v>
      </c>
      <c r="CK16" s="2">
        <f t="shared" si="7"/>
        <v>0.8</v>
      </c>
      <c r="CL16" s="2">
        <f t="shared" si="2"/>
        <v>0.28000000000000003</v>
      </c>
      <c r="CM16" s="2">
        <f t="shared" si="9"/>
        <v>0</v>
      </c>
      <c r="CN16" s="2">
        <f t="shared" si="3"/>
        <v>9.5000000000000001E-2</v>
      </c>
      <c r="CO16" s="2">
        <f t="shared" si="4"/>
        <v>1.4999999999999999E-2</v>
      </c>
      <c r="CP16" s="2">
        <f t="shared" si="5"/>
        <v>5.5E-2</v>
      </c>
      <c r="CQ16" s="2">
        <f t="shared" si="6"/>
        <v>1.19</v>
      </c>
    </row>
    <row r="17" spans="1:95" x14ac:dyDescent="0.35">
      <c r="A17" s="8">
        <v>95</v>
      </c>
      <c r="B17" s="8" t="s">
        <v>249</v>
      </c>
      <c r="C17" s="8" t="s">
        <v>137</v>
      </c>
      <c r="D17" s="8" t="s">
        <v>203</v>
      </c>
      <c r="E17" s="8">
        <v>16.483333333333</v>
      </c>
      <c r="F17" s="8" t="s">
        <v>130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0.31000000000000005</v>
      </c>
      <c r="CK17" s="2">
        <f t="shared" si="7"/>
        <v>0.33</v>
      </c>
      <c r="CL17" s="2">
        <f t="shared" si="2"/>
        <v>-0.09</v>
      </c>
      <c r="CM17" s="2">
        <f t="shared" si="9"/>
        <v>0</v>
      </c>
      <c r="CN17" s="2">
        <f t="shared" si="3"/>
        <v>7.0000000000000007E-2</v>
      </c>
      <c r="CO17" s="2">
        <f t="shared" si="4"/>
        <v>0</v>
      </c>
      <c r="CP17" s="2">
        <f t="shared" si="5"/>
        <v>0</v>
      </c>
      <c r="CQ17" s="2">
        <f t="shared" si="6"/>
        <v>0.31000000000000005</v>
      </c>
    </row>
    <row r="18" spans="1:95" x14ac:dyDescent="0.35">
      <c r="A18" s="8">
        <v>71</v>
      </c>
      <c r="B18" s="8" t="s">
        <v>250</v>
      </c>
      <c r="C18" s="8" t="s">
        <v>137</v>
      </c>
      <c r="D18" s="8" t="s">
        <v>190</v>
      </c>
      <c r="E18" s="8">
        <v>14.95</v>
      </c>
      <c r="F18" s="8" t="s">
        <v>130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0.76500000000000001</v>
      </c>
      <c r="CK18" s="2">
        <f t="shared" si="7"/>
        <v>0.64000000000000012</v>
      </c>
      <c r="CL18" s="2">
        <f t="shared" si="2"/>
        <v>0.1</v>
      </c>
      <c r="CM18" s="2">
        <f t="shared" si="9"/>
        <v>0.08</v>
      </c>
      <c r="CN18" s="2">
        <f t="shared" si="3"/>
        <v>-7.0000000000000007E-2</v>
      </c>
      <c r="CO18" s="2">
        <f t="shared" si="4"/>
        <v>1.4999999999999999E-2</v>
      </c>
      <c r="CP18" s="2">
        <f t="shared" si="5"/>
        <v>0</v>
      </c>
      <c r="CQ18" s="2">
        <f t="shared" si="6"/>
        <v>0.76500000000000001</v>
      </c>
    </row>
    <row r="19" spans="1:95" x14ac:dyDescent="0.35">
      <c r="A19" s="8">
        <v>2</v>
      </c>
      <c r="B19" s="8" t="s">
        <v>251</v>
      </c>
      <c r="C19" s="8" t="s">
        <v>137</v>
      </c>
      <c r="D19" s="8" t="s">
        <v>187</v>
      </c>
      <c r="E19" s="8">
        <v>19.466666666666999</v>
      </c>
      <c r="F19" s="8" t="s">
        <v>130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15</v>
      </c>
      <c r="AL19" s="5">
        <f>COUNTIFS(Tracking!AF:AF,A19&amp;C19,Tracking!C:C,"5v5")-AT19</f>
        <v>11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6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6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5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0.64500000000000002</v>
      </c>
      <c r="CK19" s="2">
        <f t="shared" si="7"/>
        <v>0.42000000000000004</v>
      </c>
      <c r="CL19" s="2">
        <f t="shared" si="2"/>
        <v>-4.4999999999999998E-2</v>
      </c>
      <c r="CM19" s="2">
        <f t="shared" si="9"/>
        <v>0.155</v>
      </c>
      <c r="CN19" s="2">
        <f t="shared" si="3"/>
        <v>0.11499999999999999</v>
      </c>
      <c r="CO19" s="2">
        <f t="shared" si="4"/>
        <v>0</v>
      </c>
      <c r="CP19" s="2">
        <f t="shared" si="5"/>
        <v>0</v>
      </c>
      <c r="CQ19" s="2">
        <f t="shared" si="6"/>
        <v>0.64500000000000002</v>
      </c>
    </row>
    <row r="20" spans="1:95" x14ac:dyDescent="0.35">
      <c r="A20" s="8">
        <v>15</v>
      </c>
      <c r="B20" s="8" t="s">
        <v>252</v>
      </c>
      <c r="C20" s="8" t="s">
        <v>132</v>
      </c>
      <c r="D20" s="8" t="s">
        <v>190</v>
      </c>
      <c r="E20" s="8">
        <v>14.1</v>
      </c>
      <c r="F20" s="8" t="s">
        <v>130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2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5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1.1749999999999998</v>
      </c>
      <c r="CK20" s="2">
        <f t="shared" si="7"/>
        <v>0.74</v>
      </c>
      <c r="CL20" s="2">
        <f t="shared" si="2"/>
        <v>0.18</v>
      </c>
      <c r="CM20" s="2">
        <f t="shared" si="9"/>
        <v>-0.04</v>
      </c>
      <c r="CN20" s="2">
        <f t="shared" si="3"/>
        <v>0.13</v>
      </c>
      <c r="CO20" s="2">
        <f t="shared" si="4"/>
        <v>0.16499999999999998</v>
      </c>
      <c r="CP20" s="2">
        <f t="shared" si="5"/>
        <v>0</v>
      </c>
      <c r="CQ20" s="2">
        <f t="shared" si="6"/>
        <v>1.1749999999999998</v>
      </c>
    </row>
    <row r="21" spans="1:95" x14ac:dyDescent="0.35">
      <c r="A21" s="8">
        <v>45</v>
      </c>
      <c r="B21" s="8" t="s">
        <v>253</v>
      </c>
      <c r="C21" s="8" t="s">
        <v>132</v>
      </c>
      <c r="D21" s="8" t="s">
        <v>187</v>
      </c>
      <c r="E21" s="8">
        <v>20.149999999999999</v>
      </c>
      <c r="F21" s="8" t="s">
        <v>130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11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5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0.94499999999999995</v>
      </c>
      <c r="CK21" s="2">
        <f t="shared" si="7"/>
        <v>0.38</v>
      </c>
      <c r="CL21" s="2">
        <f t="shared" si="2"/>
        <v>0.08</v>
      </c>
      <c r="CM21" s="2">
        <f t="shared" si="9"/>
        <v>0.39999999999999997</v>
      </c>
      <c r="CN21" s="2">
        <f t="shared" si="3"/>
        <v>8.5000000000000006E-2</v>
      </c>
      <c r="CO21" s="2">
        <f t="shared" si="4"/>
        <v>0</v>
      </c>
      <c r="CP21" s="2">
        <f t="shared" si="5"/>
        <v>0</v>
      </c>
      <c r="CQ21" s="2">
        <f t="shared" si="6"/>
        <v>0.94499999999999995</v>
      </c>
    </row>
    <row r="22" spans="1:95" x14ac:dyDescent="0.35">
      <c r="A22" s="8">
        <v>72</v>
      </c>
      <c r="B22" s="8" t="s">
        <v>254</v>
      </c>
      <c r="C22" s="8" t="s">
        <v>132</v>
      </c>
      <c r="D22" s="8" t="s">
        <v>187</v>
      </c>
      <c r="E22" s="8">
        <v>14.333333333333</v>
      </c>
      <c r="F22" s="8" t="s">
        <v>130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6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0.28000000000000003</v>
      </c>
      <c r="CK22" s="2">
        <f t="shared" si="7"/>
        <v>0.16999999999999998</v>
      </c>
      <c r="CL22" s="2">
        <f t="shared" si="2"/>
        <v>3.5000000000000003E-2</v>
      </c>
      <c r="CM22" s="2">
        <f t="shared" si="9"/>
        <v>7.0000000000000007E-2</v>
      </c>
      <c r="CN22" s="2">
        <f t="shared" si="3"/>
        <v>5.0000000000000044E-3</v>
      </c>
      <c r="CO22" s="2">
        <f t="shared" si="4"/>
        <v>0</v>
      </c>
      <c r="CP22" s="2">
        <f t="shared" si="5"/>
        <v>0</v>
      </c>
      <c r="CQ22" s="2">
        <f t="shared" si="6"/>
        <v>0.28000000000000003</v>
      </c>
    </row>
    <row r="23" spans="1:95" x14ac:dyDescent="0.35">
      <c r="A23" s="8">
        <v>11</v>
      </c>
      <c r="B23" s="8" t="s">
        <v>255</v>
      </c>
      <c r="C23" s="8" t="s">
        <v>132</v>
      </c>
      <c r="D23" s="8" t="s">
        <v>194</v>
      </c>
      <c r="E23" s="8">
        <v>13.566666666667</v>
      </c>
      <c r="F23" s="8" t="s">
        <v>130</v>
      </c>
      <c r="G23" s="19" t="s">
        <v>273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0.45500000000000002</v>
      </c>
      <c r="CK23" s="2">
        <f t="shared" si="7"/>
        <v>0.3</v>
      </c>
      <c r="CL23" s="2">
        <f t="shared" si="2"/>
        <v>0</v>
      </c>
      <c r="CM23" s="2">
        <f t="shared" si="9"/>
        <v>0</v>
      </c>
      <c r="CN23" s="2">
        <f t="shared" si="3"/>
        <v>9.5000000000000001E-2</v>
      </c>
      <c r="CO23" s="2">
        <f t="shared" si="4"/>
        <v>0.06</v>
      </c>
      <c r="CP23" s="2">
        <f t="shared" si="5"/>
        <v>0</v>
      </c>
      <c r="CQ23" s="2">
        <f t="shared" si="6"/>
        <v>0.45500000000000002</v>
      </c>
    </row>
    <row r="24" spans="1:95" x14ac:dyDescent="0.35">
      <c r="A24" s="8">
        <v>28</v>
      </c>
      <c r="B24" s="8" t="s">
        <v>256</v>
      </c>
      <c r="C24" s="8" t="s">
        <v>132</v>
      </c>
      <c r="D24" s="8" t="s">
        <v>190</v>
      </c>
      <c r="E24" s="8">
        <v>14.4</v>
      </c>
      <c r="F24" s="8" t="s">
        <v>130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0.29000000000000004</v>
      </c>
      <c r="CK24" s="2">
        <f t="shared" si="7"/>
        <v>0.16</v>
      </c>
      <c r="CL24" s="2">
        <f t="shared" si="2"/>
        <v>4.4999999999999998E-2</v>
      </c>
      <c r="CM24" s="2">
        <f t="shared" si="9"/>
        <v>0</v>
      </c>
      <c r="CN24" s="2">
        <f t="shared" si="3"/>
        <v>2.4999999999999994E-2</v>
      </c>
      <c r="CO24" s="2">
        <f t="shared" si="4"/>
        <v>0.06</v>
      </c>
      <c r="CP24" s="2">
        <f t="shared" si="5"/>
        <v>0</v>
      </c>
      <c r="CQ24" s="2">
        <f t="shared" si="6"/>
        <v>0.29000000000000004</v>
      </c>
    </row>
    <row r="25" spans="1:95" x14ac:dyDescent="0.35">
      <c r="A25" s="8">
        <v>13</v>
      </c>
      <c r="B25" s="8" t="s">
        <v>257</v>
      </c>
      <c r="C25" s="8" t="s">
        <v>132</v>
      </c>
      <c r="D25" s="8" t="s">
        <v>194</v>
      </c>
      <c r="E25" s="8">
        <v>15.2</v>
      </c>
      <c r="F25" s="8" t="s">
        <v>130</v>
      </c>
      <c r="G25" s="19" t="s">
        <v>273</v>
      </c>
      <c r="H25" s="9">
        <f>COUNTIFS(Tracking!E:E,A25,Tracking!D:D,C25,Tracking!C:C,"5v5")</f>
        <v>5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2</v>
      </c>
      <c r="K25" s="9">
        <f t="shared" si="0"/>
        <v>4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2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2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1.0550000000000002</v>
      </c>
      <c r="CK25" s="2">
        <f t="shared" si="7"/>
        <v>0.9</v>
      </c>
      <c r="CL25" s="2">
        <f t="shared" si="2"/>
        <v>0.13500000000000001</v>
      </c>
      <c r="CM25" s="2">
        <f t="shared" si="9"/>
        <v>0</v>
      </c>
      <c r="CN25" s="2">
        <f t="shared" si="3"/>
        <v>-1.0000000000000002E-2</v>
      </c>
      <c r="CO25" s="2">
        <f t="shared" si="4"/>
        <v>0.03</v>
      </c>
      <c r="CP25" s="2">
        <f t="shared" si="5"/>
        <v>0</v>
      </c>
      <c r="CQ25" s="2">
        <f t="shared" si="6"/>
        <v>1.0550000000000002</v>
      </c>
    </row>
    <row r="26" spans="1:95" x14ac:dyDescent="0.35">
      <c r="A26" s="8">
        <v>58</v>
      </c>
      <c r="B26" s="8" t="s">
        <v>258</v>
      </c>
      <c r="C26" s="8" t="s">
        <v>132</v>
      </c>
      <c r="D26" s="8" t="s">
        <v>187</v>
      </c>
      <c r="E26" s="8">
        <v>14.716666666667001</v>
      </c>
      <c r="F26" s="8" t="s">
        <v>130</v>
      </c>
      <c r="G26" s="19" t="s">
        <v>273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9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0.39499999999999996</v>
      </c>
      <c r="CK26" s="2">
        <f t="shared" si="7"/>
        <v>0.31</v>
      </c>
      <c r="CL26" s="2">
        <f t="shared" si="2"/>
        <v>3.5000000000000003E-2</v>
      </c>
      <c r="CM26" s="2">
        <f t="shared" si="9"/>
        <v>9.5000000000000001E-2</v>
      </c>
      <c r="CN26" s="2">
        <f t="shared" si="3"/>
        <v>-4.5000000000000005E-2</v>
      </c>
      <c r="CO26" s="2">
        <f t="shared" si="4"/>
        <v>0</v>
      </c>
      <c r="CP26" s="2">
        <f t="shared" si="5"/>
        <v>0</v>
      </c>
      <c r="CQ26" s="2">
        <f t="shared" si="6"/>
        <v>0.39499999999999996</v>
      </c>
    </row>
    <row r="27" spans="1:95" x14ac:dyDescent="0.35">
      <c r="A27" s="8">
        <v>51</v>
      </c>
      <c r="B27" s="8" t="s">
        <v>259</v>
      </c>
      <c r="C27" s="8" t="s">
        <v>132</v>
      </c>
      <c r="D27" s="8" t="s">
        <v>203</v>
      </c>
      <c r="E27" s="8">
        <v>10.583333333333</v>
      </c>
      <c r="F27" s="8" t="s">
        <v>130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0.28999999999999998</v>
      </c>
      <c r="CK27" s="2">
        <f t="shared" si="7"/>
        <v>0.245</v>
      </c>
      <c r="CL27" s="2">
        <f t="shared" si="2"/>
        <v>4.4999999999999998E-2</v>
      </c>
      <c r="CM27" s="2">
        <f t="shared" si="9"/>
        <v>0</v>
      </c>
      <c r="CN27" s="2">
        <f t="shared" si="3"/>
        <v>0</v>
      </c>
      <c r="CO27" s="2">
        <f t="shared" si="4"/>
        <v>0</v>
      </c>
      <c r="CP27" s="2">
        <f t="shared" si="5"/>
        <v>0</v>
      </c>
      <c r="CQ27" s="2">
        <f t="shared" si="6"/>
        <v>0.28999999999999998</v>
      </c>
    </row>
    <row r="28" spans="1:95" x14ac:dyDescent="0.35">
      <c r="A28" s="8">
        <v>71</v>
      </c>
      <c r="B28" s="8" t="s">
        <v>260</v>
      </c>
      <c r="C28" s="8" t="s">
        <v>132</v>
      </c>
      <c r="D28" s="8" t="s">
        <v>190</v>
      </c>
      <c r="E28" s="8">
        <v>13.183333333333</v>
      </c>
      <c r="F28" s="8" t="s">
        <v>130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0.47</v>
      </c>
      <c r="CK28" s="2">
        <f t="shared" si="7"/>
        <v>0.46499999999999997</v>
      </c>
      <c r="CL28" s="2">
        <f t="shared" si="2"/>
        <v>0</v>
      </c>
      <c r="CM28" s="2">
        <f t="shared" si="9"/>
        <v>0</v>
      </c>
      <c r="CN28" s="2">
        <f t="shared" si="3"/>
        <v>-7.0000000000000007E-2</v>
      </c>
      <c r="CO28" s="2">
        <f t="shared" si="4"/>
        <v>7.4999999999999997E-2</v>
      </c>
      <c r="CP28" s="2">
        <f t="shared" si="5"/>
        <v>0</v>
      </c>
      <c r="CQ28" s="2">
        <f t="shared" si="6"/>
        <v>0.47</v>
      </c>
    </row>
    <row r="29" spans="1:95" x14ac:dyDescent="0.35">
      <c r="A29" s="8">
        <v>40</v>
      </c>
      <c r="B29" s="8" t="s">
        <v>261</v>
      </c>
      <c r="C29" s="8" t="s">
        <v>132</v>
      </c>
      <c r="D29" s="8" t="s">
        <v>194</v>
      </c>
      <c r="E29" s="8">
        <v>11.916666666667</v>
      </c>
      <c r="F29" s="8" t="s">
        <v>130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0.46</v>
      </c>
      <c r="CK29" s="2">
        <f t="shared" si="7"/>
        <v>0.29000000000000004</v>
      </c>
      <c r="CL29" s="2">
        <f t="shared" si="2"/>
        <v>4.4999999999999998E-2</v>
      </c>
      <c r="CM29" s="2">
        <f t="shared" si="9"/>
        <v>6.5000000000000002E-2</v>
      </c>
      <c r="CN29" s="2">
        <f t="shared" si="3"/>
        <v>0</v>
      </c>
      <c r="CO29" s="2">
        <f t="shared" si="4"/>
        <v>0.06</v>
      </c>
      <c r="CP29" s="2">
        <f t="shared" si="5"/>
        <v>0</v>
      </c>
      <c r="CQ29" s="2">
        <f t="shared" si="6"/>
        <v>0.46</v>
      </c>
    </row>
    <row r="30" spans="1:95" x14ac:dyDescent="0.35">
      <c r="A30" s="8">
        <v>17</v>
      </c>
      <c r="B30" s="8" t="s">
        <v>262</v>
      </c>
      <c r="C30" s="8" t="s">
        <v>132</v>
      </c>
      <c r="D30" s="8" t="s">
        <v>194</v>
      </c>
      <c r="E30" s="8">
        <v>14.983333333333</v>
      </c>
      <c r="F30" s="8" t="s">
        <v>130</v>
      </c>
      <c r="G30" s="19" t="s">
        <v>273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0.73</v>
      </c>
      <c r="CK30" s="2">
        <f t="shared" si="7"/>
        <v>0.5</v>
      </c>
      <c r="CL30" s="2">
        <f t="shared" si="2"/>
        <v>0.1</v>
      </c>
      <c r="CM30" s="2">
        <f t="shared" si="9"/>
        <v>9.5000000000000001E-2</v>
      </c>
      <c r="CN30" s="2">
        <f t="shared" si="3"/>
        <v>3.5000000000000003E-2</v>
      </c>
      <c r="CO30" s="2">
        <f t="shared" si="4"/>
        <v>0</v>
      </c>
      <c r="CP30" s="2">
        <f t="shared" si="5"/>
        <v>0</v>
      </c>
      <c r="CQ30" s="2">
        <f t="shared" si="6"/>
        <v>0.73</v>
      </c>
    </row>
    <row r="31" spans="1:95" x14ac:dyDescent="0.35">
      <c r="A31" s="8">
        <v>20</v>
      </c>
      <c r="B31" s="8" t="s">
        <v>263</v>
      </c>
      <c r="C31" s="8" t="s">
        <v>132</v>
      </c>
      <c r="D31" s="8" t="s">
        <v>203</v>
      </c>
      <c r="E31" s="8">
        <v>15.6</v>
      </c>
      <c r="F31" s="8" t="s">
        <v>130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0.65500000000000003</v>
      </c>
      <c r="CK31" s="2">
        <f t="shared" si="7"/>
        <v>0.47500000000000003</v>
      </c>
      <c r="CL31" s="2">
        <f t="shared" si="2"/>
        <v>5.5E-2</v>
      </c>
      <c r="CM31" s="2">
        <f t="shared" si="9"/>
        <v>0</v>
      </c>
      <c r="CN31" s="2">
        <f t="shared" si="3"/>
        <v>3.5000000000000003E-2</v>
      </c>
      <c r="CO31" s="2">
        <f t="shared" si="4"/>
        <v>0.09</v>
      </c>
      <c r="CP31" s="2">
        <f t="shared" si="5"/>
        <v>0</v>
      </c>
      <c r="CQ31" s="2">
        <f t="shared" si="6"/>
        <v>0.65500000000000003</v>
      </c>
    </row>
    <row r="32" spans="1:95" x14ac:dyDescent="0.35">
      <c r="A32" s="8">
        <v>21</v>
      </c>
      <c r="B32" s="8" t="s">
        <v>264</v>
      </c>
      <c r="C32" s="8" t="s">
        <v>132</v>
      </c>
      <c r="D32" s="8" t="s">
        <v>187</v>
      </c>
      <c r="E32" s="8">
        <v>21.35</v>
      </c>
      <c r="F32" s="8" t="s">
        <v>130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13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0.56000000000000005</v>
      </c>
      <c r="CK32" s="2">
        <f t="shared" si="7"/>
        <v>0.245</v>
      </c>
      <c r="CL32" s="2">
        <f t="shared" si="2"/>
        <v>4.4999999999999998E-2</v>
      </c>
      <c r="CM32" s="2">
        <f t="shared" si="9"/>
        <v>0.28000000000000003</v>
      </c>
      <c r="CN32" s="2">
        <f t="shared" si="3"/>
        <v>-1.0000000000000002E-2</v>
      </c>
      <c r="CO32" s="2">
        <f t="shared" si="4"/>
        <v>0</v>
      </c>
      <c r="CP32" s="2">
        <f t="shared" si="5"/>
        <v>0</v>
      </c>
      <c r="CQ32" s="2">
        <f t="shared" si="6"/>
        <v>0.56000000000000005</v>
      </c>
    </row>
    <row r="33" spans="1:95" x14ac:dyDescent="0.35">
      <c r="A33" s="8">
        <v>77</v>
      </c>
      <c r="B33" s="8" t="s">
        <v>265</v>
      </c>
      <c r="C33" s="8" t="s">
        <v>132</v>
      </c>
      <c r="D33" s="8" t="s">
        <v>190</v>
      </c>
      <c r="E33" s="8">
        <v>14.95</v>
      </c>
      <c r="F33" s="8" t="s">
        <v>130</v>
      </c>
      <c r="G33" s="19" t="s">
        <v>273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0.93000000000000016</v>
      </c>
      <c r="CK33" s="2">
        <f t="shared" si="7"/>
        <v>0.56000000000000005</v>
      </c>
      <c r="CL33" s="2">
        <f t="shared" si="2"/>
        <v>0.155</v>
      </c>
      <c r="CM33" s="2">
        <f t="shared" si="9"/>
        <v>0.13</v>
      </c>
      <c r="CN33" s="2">
        <f t="shared" si="3"/>
        <v>2.5000000000000001E-2</v>
      </c>
      <c r="CO33" s="2">
        <f t="shared" si="4"/>
        <v>0.06</v>
      </c>
      <c r="CP33" s="2">
        <f t="shared" si="5"/>
        <v>0</v>
      </c>
      <c r="CQ33" s="2">
        <f t="shared" si="6"/>
        <v>0.93000000000000016</v>
      </c>
    </row>
    <row r="34" spans="1:95" x14ac:dyDescent="0.35">
      <c r="A34" s="8">
        <v>48</v>
      </c>
      <c r="B34" s="8" t="s">
        <v>266</v>
      </c>
      <c r="C34" s="8" t="s">
        <v>132</v>
      </c>
      <c r="D34" s="8" t="s">
        <v>187</v>
      </c>
      <c r="E34" s="8">
        <v>21.316666666667</v>
      </c>
      <c r="F34" s="8" t="s">
        <v>130</v>
      </c>
      <c r="G34" s="19" t="s">
        <v>273</v>
      </c>
      <c r="H34" s="9">
        <f>COUNTIFS(Tracking!E:E,A34,Tracking!D:D,C34,Tracking!C:C,"5v5")</f>
        <v>4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5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7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1.1400000000000001</v>
      </c>
      <c r="CK34" s="2">
        <f t="shared" si="7"/>
        <v>0.76000000000000012</v>
      </c>
      <c r="CL34" s="2">
        <f t="shared" si="2"/>
        <v>0.19</v>
      </c>
      <c r="CM34" s="2">
        <f t="shared" si="9"/>
        <v>0.19500000000000001</v>
      </c>
      <c r="CN34" s="2">
        <f t="shared" si="3"/>
        <v>-2.0000000000000004E-2</v>
      </c>
      <c r="CO34" s="2">
        <f t="shared" si="4"/>
        <v>1.4999999999999999E-2</v>
      </c>
      <c r="CP34" s="2">
        <f t="shared" si="5"/>
        <v>0</v>
      </c>
      <c r="CQ34" s="2">
        <f t="shared" si="6"/>
        <v>1.1400000000000001</v>
      </c>
    </row>
    <row r="35" spans="1:95" x14ac:dyDescent="0.35">
      <c r="A35" s="8">
        <v>8</v>
      </c>
      <c r="B35" s="8" t="s">
        <v>267</v>
      </c>
      <c r="C35" s="8" t="s">
        <v>132</v>
      </c>
      <c r="D35" s="8" t="s">
        <v>187</v>
      </c>
      <c r="E35" s="8">
        <v>20.483333333333</v>
      </c>
      <c r="F35" s="8" t="s">
        <v>130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13</v>
      </c>
      <c r="AZ35" s="1">
        <f>COUNTIFS(Tracking!AA:AA,A35&amp;C35,Tracking!C:C,"5v5",Tracking!Y:Y,"C")</f>
        <v>9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0.58500000000000008</v>
      </c>
      <c r="CK35" s="2">
        <f t="shared" si="7"/>
        <v>0.32500000000000001</v>
      </c>
      <c r="CL35" s="2">
        <f t="shared" si="2"/>
        <v>0</v>
      </c>
      <c r="CM35" s="2">
        <f t="shared" si="9"/>
        <v>0.255</v>
      </c>
      <c r="CN35" s="2">
        <f t="shared" si="3"/>
        <v>5.0000000000000044E-3</v>
      </c>
      <c r="CO35" s="2">
        <f t="shared" si="4"/>
        <v>0</v>
      </c>
      <c r="CP35" s="2">
        <f t="shared" si="5"/>
        <v>0</v>
      </c>
      <c r="CQ35" s="2">
        <f t="shared" si="6"/>
        <v>0.58500000000000008</v>
      </c>
    </row>
    <row r="36" spans="1:95" x14ac:dyDescent="0.35">
      <c r="A36" s="8">
        <v>14</v>
      </c>
      <c r="B36" s="8" t="s">
        <v>268</v>
      </c>
      <c r="C36" s="8" t="s">
        <v>132</v>
      </c>
      <c r="D36" s="8" t="s">
        <v>190</v>
      </c>
      <c r="E36" s="8">
        <v>15.283333333332999</v>
      </c>
      <c r="F36" s="8" t="s">
        <v>130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5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6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2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0.87</v>
      </c>
      <c r="CK36" s="2">
        <f t="shared" si="7"/>
        <v>0.5</v>
      </c>
      <c r="CL36" s="2">
        <f t="shared" si="2"/>
        <v>0.23499999999999999</v>
      </c>
      <c r="CM36" s="2">
        <f t="shared" si="9"/>
        <v>0</v>
      </c>
      <c r="CN36" s="2">
        <f t="shared" si="3"/>
        <v>0.12000000000000002</v>
      </c>
      <c r="CO36" s="2">
        <f t="shared" si="4"/>
        <v>1.4999999999999999E-2</v>
      </c>
      <c r="CP36" s="2">
        <f t="shared" si="5"/>
        <v>0</v>
      </c>
      <c r="CQ36" s="2">
        <f t="shared" si="6"/>
        <v>0.87</v>
      </c>
    </row>
    <row r="37" spans="1:95" x14ac:dyDescent="0.35">
      <c r="A37" s="8">
        <v>92</v>
      </c>
      <c r="B37" s="8" t="s">
        <v>269</v>
      </c>
      <c r="C37" s="8" t="s">
        <v>132</v>
      </c>
      <c r="D37" s="8" t="s">
        <v>203</v>
      </c>
      <c r="E37" s="8">
        <v>14.05</v>
      </c>
      <c r="F37" s="8" t="s">
        <v>130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0.46500000000000002</v>
      </c>
      <c r="CK37" s="2">
        <f t="shared" si="7"/>
        <v>0.2</v>
      </c>
      <c r="CL37" s="2">
        <f t="shared" si="2"/>
        <v>0.09</v>
      </c>
      <c r="CM37" s="2">
        <f t="shared" si="9"/>
        <v>6.5000000000000002E-2</v>
      </c>
      <c r="CN37" s="2">
        <f t="shared" si="3"/>
        <v>-1.0000000000000009E-2</v>
      </c>
      <c r="CO37" s="2">
        <f t="shared" si="4"/>
        <v>0.12</v>
      </c>
      <c r="CP37" s="2">
        <f t="shared" si="5"/>
        <v>0</v>
      </c>
      <c r="CQ37" s="2">
        <f t="shared" si="6"/>
        <v>0.46500000000000002</v>
      </c>
    </row>
    <row r="38" spans="1:95" x14ac:dyDescent="0.35">
      <c r="A38" s="8">
        <v>35</v>
      </c>
      <c r="B38" s="8" t="s">
        <v>270</v>
      </c>
      <c r="C38" s="8" t="s">
        <v>132</v>
      </c>
      <c r="D38" s="8" t="s">
        <v>271</v>
      </c>
      <c r="E38" s="8">
        <v>56.033299999999997</v>
      </c>
      <c r="F38" s="8" t="s">
        <v>130</v>
      </c>
      <c r="G38" s="19" t="s">
        <v>273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272</v>
      </c>
      <c r="C39" s="8" t="s">
        <v>137</v>
      </c>
      <c r="D39" s="8" t="s">
        <v>271</v>
      </c>
      <c r="E39" s="8">
        <v>56.033299999999997</v>
      </c>
      <c r="F39" s="8" t="s">
        <v>130</v>
      </c>
      <c r="G39" s="19" t="s">
        <v>273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2025-01-05T03:21:08Z</dcterms:modified>
</cp:coreProperties>
</file>