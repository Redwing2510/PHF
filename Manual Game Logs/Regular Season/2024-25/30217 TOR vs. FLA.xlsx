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7F0083E-3D65-4DD0-9981-4FC66AA9C0B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6" i="2" l="1"/>
  <c r="CK35" i="2"/>
  <c r="CK30" i="2"/>
  <c r="CK28" i="2"/>
  <c r="CK27" i="2"/>
  <c r="CK25" i="2"/>
  <c r="CK24" i="2"/>
  <c r="CK23" i="2"/>
  <c r="CK22" i="2"/>
  <c r="CK21" i="2"/>
  <c r="CK20" i="2"/>
  <c r="CK10" i="2"/>
  <c r="CK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1" i="2"/>
  <c r="CK34" i="2"/>
  <c r="CP4" i="2"/>
  <c r="CK13" i="2"/>
  <c r="CP3" i="2"/>
  <c r="CP7" i="2"/>
  <c r="CP10" i="2"/>
  <c r="CK2" i="2"/>
  <c r="CP6" i="2"/>
  <c r="CK16" i="2"/>
  <c r="CK6" i="2"/>
  <c r="CK19" i="2"/>
  <c r="CK33" i="2"/>
  <c r="CK12" i="2"/>
  <c r="CK15" i="2"/>
  <c r="CK5" i="2"/>
  <c r="CK26" i="2"/>
  <c r="CP8" i="2"/>
  <c r="CK9" i="2"/>
  <c r="CP12" i="2"/>
  <c r="CP9" i="2"/>
  <c r="CK18" i="2"/>
  <c r="CK8" i="2"/>
  <c r="CP5" i="2"/>
  <c r="CK32" i="2"/>
  <c r="CK29" i="2"/>
  <c r="CK4" i="2"/>
  <c r="CK14" i="2"/>
  <c r="CK11" i="2"/>
  <c r="CK17" i="2"/>
  <c r="CP11" i="2"/>
  <c r="CK3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<sst xmlns="http://schemas.openxmlformats.org/spreadsheetml/2006/main" count="2650" uniqueCount="274">
  <si>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</si>
  <si>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</si>
  <si>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</si>
  <si>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</si>
  <si>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</si>
  <si>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</si>
  <si>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</si>
  <si>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</si>
  <si>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</si>
  <si>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</si>
  <si>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</si>
  <si>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</si>
  <si>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</si>
  <si>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</si>
  <si>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</si>
  <si>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</si>
  <si>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</si>
  <si>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</si>
  <si>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</si>
  <si>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</si>
  <si>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</si>
  <si>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</si>
  <si>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</si>
  <si>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</si>
  <si>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</si>
  <si>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</si>
  <si>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</si>
  <si>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</si>
  <si>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</si>
  <si>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</si>
  <si>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</si>
  <si>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</si>
  <si>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</si>
  <si>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</si>
  <si>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</si>
  <si>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</si>
  <si>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</si>
  <si>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</si>
  <si>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</si>
  <si>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</si>
  <si>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</si>
  <si>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</si>
  <si>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</si>
  <si>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</si>
  <si>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</si>
  <si>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</si>
  <si>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</si>
  <si>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</si>
  <si>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</si>
  <si>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</si>
  <si>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</si>
  <si>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</si>
  <si>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</si>
  <si>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</si>
  <si>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</si>
  <si>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</si>
  <si>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</si>
  <si>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</si>
  <si>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</si>
  <si>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</si>
  <si>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</si>
  <si>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</si>
  <si>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</si>
  <si>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</si>
  <si>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</si>
  <si>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</si>
  <si>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</si>
  <si>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</si>
  <si>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</si>
  <si>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</si>
  <si>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</si>
  <si>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</si>
  <si>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</si>
  <si>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</si>
  <si>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</si>
  <si>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</si>
  <si>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</si>
  <si>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</si>
  <si>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</si>
  <si>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</si>
  <si>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</si>
  <si>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</si>
  <si>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</si>
  <si>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</si>
  <si>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</si>
  <si>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</si>
  <si>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</si>
  <si>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</si>
  <si>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</si>
  <si>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</si>
  <si>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</si>
  <si>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</si>
  <si>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</si>
  <si>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</si>
  <si>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</si>
  <si>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</si>
  <si>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</si>
  <si>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</si>
  <si>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</si>
  <si>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</si>
  <si>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</si>
  <si>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</si>
  <si>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</si>
  <si>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</si>
  <si>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</si>
  <si>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</si>
  <si>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</si>
  <si>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</si>
  <si>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</si>
  <si>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</si>
  <si>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</si>
  <si>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</si>
  <si>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</si>
  <si>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</si>
  <si>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</si>
  <si>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</si>
  <si>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</si>
  <si>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</si>
  <si>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</si>
  <si>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</si>
  <si>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</si>
  <si>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</si>
  <si>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</si>
  <si>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</si>
  <si>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</si>
  <si>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</si>
  <si>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</si>
  <si>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</si>
  <si>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</si>
  <si>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</si>
  <si>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</si>
  <si>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</si>
  <si>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</si>
  <si>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B</t>
  </si>
  <si>
    <t>Y</t>
  </si>
  <si>
    <t>f</t>
  </si>
  <si>
    <t>oz</t>
  </si>
  <si>
    <t>W</t>
  </si>
  <si>
    <t>nc</t>
  </si>
  <si>
    <t>dl</t>
  </si>
  <si>
    <t>y</t>
  </si>
  <si>
    <t>r</t>
  </si>
  <si>
    <t>dz</t>
  </si>
  <si>
    <t>dz exit</t>
  </si>
  <si>
    <t>w</t>
  </si>
  <si>
    <t>opl</t>
  </si>
  <si>
    <t>O</t>
  </si>
  <si>
    <t>oelpr</t>
  </si>
  <si>
    <t>oell</t>
  </si>
  <si>
    <t>nl</t>
  </si>
  <si>
    <t>nz</t>
  </si>
  <si>
    <t>nz reload</t>
  </si>
  <si>
    <t>t</t>
  </si>
  <si>
    <t>s</t>
  </si>
  <si>
    <t>ol</t>
  </si>
  <si>
    <t>or</t>
  </si>
  <si>
    <t>oz faceoff</t>
  </si>
  <si>
    <t>opr</t>
  </si>
  <si>
    <t>dr</t>
  </si>
  <si>
    <t>TOR</t>
  </si>
  <si>
    <t>b</t>
  </si>
  <si>
    <t>dz counter</t>
  </si>
  <si>
    <t>oelpc</t>
  </si>
  <si>
    <t>nr</t>
  </si>
  <si>
    <t>nz regroup</t>
  </si>
  <si>
    <t>1 on 0</t>
  </si>
  <si>
    <t>c</t>
  </si>
  <si>
    <t>5v4</t>
  </si>
  <si>
    <t>oelr</t>
  </si>
  <si>
    <t>S</t>
  </si>
  <si>
    <t>nz turnover</t>
  </si>
  <si>
    <t>2 on 1</t>
  </si>
  <si>
    <t>dc</t>
  </si>
  <si>
    <t>o</t>
  </si>
  <si>
    <t>oc</t>
  </si>
  <si>
    <t>nz faceoff</t>
  </si>
  <si>
    <t>oelc</t>
  </si>
  <si>
    <t>ofp</t>
  </si>
  <si>
    <t>T</t>
  </si>
  <si>
    <t>of</t>
  </si>
  <si>
    <t>controlled breakout</t>
  </si>
  <si>
    <t>D</t>
  </si>
  <si>
    <t>77FLA</t>
  </si>
  <si>
    <t>N</t>
  </si>
  <si>
    <t>L</t>
  </si>
  <si>
    <t>22TOR</t>
  </si>
  <si>
    <t>EXC</t>
  </si>
  <si>
    <t>16TOR</t>
  </si>
  <si>
    <t>FEX</t>
  </si>
  <si>
    <t>CLE</t>
  </si>
  <si>
    <t>19FLA</t>
  </si>
  <si>
    <t>R</t>
  </si>
  <si>
    <t>25TOR</t>
  </si>
  <si>
    <t>C</t>
  </si>
  <si>
    <t>91TOR</t>
  </si>
  <si>
    <t>42FLA</t>
  </si>
  <si>
    <t>23FLA</t>
  </si>
  <si>
    <t>9FLA</t>
  </si>
  <si>
    <t>CEX</t>
  </si>
  <si>
    <t>44TOR</t>
  </si>
  <si>
    <t>5FLA</t>
  </si>
  <si>
    <t>29TOR</t>
  </si>
  <si>
    <t>24TOR</t>
  </si>
  <si>
    <t>2TOR</t>
  </si>
  <si>
    <t>18TOR</t>
  </si>
  <si>
    <t>PEX</t>
  </si>
  <si>
    <t>88FLA</t>
  </si>
  <si>
    <t>7FLA</t>
  </si>
  <si>
    <t>63FLA</t>
  </si>
  <si>
    <t>10FLA</t>
  </si>
  <si>
    <t>67TOR</t>
  </si>
  <si>
    <t>74TOR</t>
  </si>
  <si>
    <t>MEX</t>
  </si>
  <si>
    <t>F</t>
  </si>
  <si>
    <t>11TOR</t>
  </si>
  <si>
    <t>60TOR</t>
  </si>
  <si>
    <t>13FLA</t>
  </si>
  <si>
    <t>16FLA</t>
  </si>
  <si>
    <t>95TOR</t>
  </si>
  <si>
    <t>3FLA</t>
  </si>
  <si>
    <t>BOT</t>
  </si>
  <si>
    <t>15FLA</t>
  </si>
  <si>
    <t>12FLA</t>
  </si>
  <si>
    <t>17FLA</t>
  </si>
  <si>
    <t>X</t>
  </si>
  <si>
    <t>88TOR</t>
  </si>
  <si>
    <t>19TOR</t>
  </si>
  <si>
    <t>92FLA</t>
  </si>
  <si>
    <t>8TOR</t>
  </si>
  <si>
    <t>23TOR</t>
  </si>
  <si>
    <t>34TOR</t>
  </si>
  <si>
    <t>72FLA</t>
  </si>
  <si>
    <t>27FLA</t>
  </si>
  <si>
    <t>n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</si>
  <si>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</si>
  <si>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</si>
  <si>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</si>
  <si>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</si>
  <si>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</si>
  <si>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</si>
  <si>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</si>
  <si>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</si>
  <si>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</si>
  <si>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</si>
  <si>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</si>
  <si>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</si>
  <si>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</si>
  <si>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</si>
  <si>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</si>
  <si>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</si>
  <si>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</si>
  <si>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</si>
  <si>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A.J. Greer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</si>
  <si>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</si>
  <si>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</si>
  <si>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</si>
  <si>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</si>
  <si>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</si>
  <si>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</si>
  <si>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</si>
  <si>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</si>
  <si>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</si>
  <si>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</si>
  <si>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</si>
  <si>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</si>
  <si>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</si>
  <si>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</si>
  <si>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</si>
  <si>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</si>
  <si>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</si>
  <si>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</si>
  <si>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</si>
  <si>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Joseph Woll</t>
  </si>
  <si>
    <t>TOR vs. FLA Game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</si>
</sst>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2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16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60</v>
      </c>
      <c r="W2" s="1">
        <v>30217</v>
      </c>
      <c r="X2" s="1">
        <v>45795</v>
      </c>
      <c r="AK2" s="7"/>
      <c r="AL2" s="7"/>
    </row>
    <row r="3" spans="1:40" x14ac:dyDescent="0.35">
      <c r="A3" s="2">
        <v>1</v>
      </c>
      <c r="B3" s="15">
        <v>0.79722222222222228</v>
      </c>
      <c r="C3" s="21" t="s">
        <v>131</v>
      </c>
      <c r="D3" s="1" t="s">
        <v>132</v>
      </c>
      <c r="E3" s="1">
        <v>5</v>
      </c>
      <c r="F3" s="1" t="s">
        <v>137</v>
      </c>
      <c r="G3" s="1">
        <v>9</v>
      </c>
      <c r="H3" s="1">
        <v>23</v>
      </c>
      <c r="J3" s="1" t="s">
        <v>138</v>
      </c>
      <c r="K3" s="1" t="s">
        <v>139</v>
      </c>
      <c r="N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60</v>
      </c>
      <c r="W3" s="1">
        <v>30217</v>
      </c>
      <c r="X3" s="1">
        <v>45795</v>
      </c>
      <c r="AK3" s="7"/>
      <c r="AL3" s="7"/>
    </row>
    <row r="4" spans="1:40" x14ac:dyDescent="0.35">
      <c r="A4" s="7">
        <v>1</v>
      </c>
      <c r="B4" s="15">
        <v>0.79097222222222219</v>
      </c>
      <c r="C4" s="21" t="s">
        <v>131</v>
      </c>
      <c r="D4" s="1" t="s">
        <v>132</v>
      </c>
      <c r="E4" s="1">
        <v>5</v>
      </c>
      <c r="F4" s="1" t="s">
        <v>144</v>
      </c>
      <c r="G4" s="1">
        <v>23</v>
      </c>
      <c r="J4" s="1" t="s">
        <v>145</v>
      </c>
      <c r="N4" s="1" t="s">
        <v>140</v>
      </c>
      <c r="O4" s="1" t="s">
        <v>140</v>
      </c>
      <c r="P4" s="1" t="s">
        <v>135</v>
      </c>
      <c r="Q4" s="1" t="s">
        <v>136</v>
      </c>
      <c r="U4" s="1">
        <v>0</v>
      </c>
      <c r="V4" s="1">
        <v>60</v>
      </c>
      <c r="W4" s="1">
        <v>30217</v>
      </c>
      <c r="X4" s="1">
        <v>45795</v>
      </c>
      <c r="AK4" s="7"/>
      <c r="AL4" s="7"/>
    </row>
    <row r="5" spans="1:40" x14ac:dyDescent="0.35">
      <c r="A5" s="7">
        <v>1</v>
      </c>
      <c r="B5" s="14">
        <v>0.77430555555555558</v>
      </c>
      <c r="C5" s="21" t="s">
        <v>131</v>
      </c>
      <c r="D5" s="1" t="s">
        <v>132</v>
      </c>
      <c r="E5" s="1">
        <v>5</v>
      </c>
      <c r="F5" s="1" t="s">
        <v>137</v>
      </c>
      <c r="P5" s="1" t="s">
        <v>135</v>
      </c>
      <c r="Q5" s="1" t="s">
        <v>136</v>
      </c>
      <c r="U5" s="1">
        <v>0</v>
      </c>
      <c r="AK5" s="7"/>
      <c r="AL5" s="7"/>
    </row>
    <row r="6" spans="1:40" x14ac:dyDescent="0.35">
      <c r="A6" s="2">
        <v>1</v>
      </c>
      <c r="B6" s="15">
        <v>0.75138888888888888</v>
      </c>
      <c r="C6" s="21" t="s">
        <v>131</v>
      </c>
      <c r="D6" s="1" t="s">
        <v>132</v>
      </c>
      <c r="E6" s="1">
        <v>63</v>
      </c>
      <c r="F6" s="1" t="s">
        <v>144</v>
      </c>
      <c r="N6" s="1" t="s">
        <v>140</v>
      </c>
      <c r="P6" s="1" t="s">
        <v>135</v>
      </c>
      <c r="Q6" s="1" t="s">
        <v>136</v>
      </c>
      <c r="U6" s="1">
        <v>0</v>
      </c>
      <c r="V6" s="1">
        <v>60</v>
      </c>
      <c r="W6" s="1">
        <v>30217</v>
      </c>
      <c r="X6" s="1">
        <v>45795</v>
      </c>
      <c r="AK6" s="7"/>
      <c r="AL6" s="7"/>
    </row>
    <row r="7" spans="1:40" x14ac:dyDescent="0.35">
      <c r="A7" s="2">
        <v>1</v>
      </c>
      <c r="B7" s="15">
        <v>0.69166666666666665</v>
      </c>
      <c r="C7" s="21" t="s">
        <v>131</v>
      </c>
      <c r="D7" s="1" t="s">
        <v>132</v>
      </c>
      <c r="E7" s="1">
        <v>5</v>
      </c>
      <c r="F7" s="1" t="s">
        <v>146</v>
      </c>
      <c r="G7" s="1">
        <v>17</v>
      </c>
      <c r="H7" s="1">
        <v>13</v>
      </c>
      <c r="J7" s="1" t="s">
        <v>147</v>
      </c>
      <c r="K7" s="1" t="s">
        <v>148</v>
      </c>
      <c r="P7" s="1" t="s">
        <v>135</v>
      </c>
      <c r="Q7" s="1" t="s">
        <v>136</v>
      </c>
      <c r="U7" s="1">
        <v>0</v>
      </c>
      <c r="V7" s="1">
        <v>60</v>
      </c>
      <c r="W7" s="1">
        <v>30217</v>
      </c>
      <c r="X7" s="1">
        <v>45795</v>
      </c>
      <c r="AK7" s="7"/>
      <c r="AL7" s="7"/>
    </row>
    <row r="8" spans="1:40" x14ac:dyDescent="0.35">
      <c r="A8" s="7">
        <v>1</v>
      </c>
      <c r="B8" s="15">
        <v>0.68402777777777779</v>
      </c>
      <c r="C8" s="21" t="s">
        <v>131</v>
      </c>
      <c r="D8" s="1" t="s">
        <v>132</v>
      </c>
      <c r="E8" s="1">
        <v>16</v>
      </c>
      <c r="F8" s="1" t="s">
        <v>144</v>
      </c>
      <c r="G8" s="1">
        <v>42</v>
      </c>
      <c r="J8" s="1" t="s">
        <v>149</v>
      </c>
      <c r="N8" s="1" t="s">
        <v>140</v>
      </c>
      <c r="P8" s="1" t="s">
        <v>141</v>
      </c>
      <c r="Q8" s="1" t="s">
        <v>150</v>
      </c>
      <c r="R8" s="1" t="s">
        <v>151</v>
      </c>
      <c r="U8" s="1">
        <v>0</v>
      </c>
      <c r="V8" s="1">
        <v>60</v>
      </c>
      <c r="W8" s="1">
        <v>30217</v>
      </c>
      <c r="X8" s="1">
        <v>45795</v>
      </c>
      <c r="AK8" s="7"/>
      <c r="AL8" s="7"/>
    </row>
    <row r="9" spans="1:40" x14ac:dyDescent="0.35">
      <c r="A9" s="2">
        <v>1</v>
      </c>
      <c r="B9" s="15">
        <v>0.65625</v>
      </c>
      <c r="C9" s="21" t="s">
        <v>131</v>
      </c>
      <c r="D9" s="1" t="s">
        <v>132</v>
      </c>
      <c r="E9" s="1">
        <v>19</v>
      </c>
      <c r="F9" s="1" t="s">
        <v>152</v>
      </c>
      <c r="G9" s="1">
        <v>77</v>
      </c>
      <c r="H9" s="1">
        <v>3</v>
      </c>
      <c r="J9" s="1" t="s">
        <v>153</v>
      </c>
      <c r="K9" s="1" t="s">
        <v>154</v>
      </c>
      <c r="P9" s="1" t="s">
        <v>135</v>
      </c>
      <c r="Q9" s="1" t="s">
        <v>136</v>
      </c>
      <c r="U9" s="1">
        <v>0</v>
      </c>
      <c r="V9" s="1">
        <v>60</v>
      </c>
      <c r="W9" s="1">
        <v>30217</v>
      </c>
      <c r="X9" s="1">
        <v>45795</v>
      </c>
      <c r="AK9" s="7"/>
      <c r="AL9" s="7"/>
    </row>
    <row r="10" spans="1:40" x14ac:dyDescent="0.35">
      <c r="A10" s="2">
        <v>1</v>
      </c>
      <c r="B10" s="15">
        <v>0.64236111111111116</v>
      </c>
      <c r="C10" s="21" t="s">
        <v>131</v>
      </c>
      <c r="D10" s="1" t="s">
        <v>132</v>
      </c>
      <c r="E10" s="1">
        <v>77</v>
      </c>
      <c r="F10" s="1" t="s">
        <v>144</v>
      </c>
      <c r="N10" s="1" t="s">
        <v>140</v>
      </c>
      <c r="P10" s="1" t="s">
        <v>135</v>
      </c>
      <c r="Q10" s="1" t="s">
        <v>136</v>
      </c>
      <c r="U10" s="1">
        <v>0</v>
      </c>
      <c r="V10" s="1">
        <v>60</v>
      </c>
      <c r="W10" s="1">
        <v>30217</v>
      </c>
      <c r="X10" s="1">
        <v>45795</v>
      </c>
      <c r="AK10" s="7"/>
      <c r="AL10" s="7"/>
    </row>
    <row r="11" spans="1:40" x14ac:dyDescent="0.35">
      <c r="A11" s="2">
        <v>1</v>
      </c>
      <c r="B11" s="15">
        <v>0.63680555555555551</v>
      </c>
      <c r="C11" s="21" t="s">
        <v>131</v>
      </c>
      <c r="D11" s="1" t="s">
        <v>132</v>
      </c>
      <c r="E11" s="1">
        <v>19</v>
      </c>
      <c r="F11" s="1" t="s">
        <v>152</v>
      </c>
      <c r="G11" s="1">
        <v>77</v>
      </c>
      <c r="H11" s="1">
        <v>3</v>
      </c>
      <c r="J11" s="1" t="s">
        <v>153</v>
      </c>
      <c r="K11" s="1" t="s">
        <v>155</v>
      </c>
      <c r="M11" s="1" t="s">
        <v>140</v>
      </c>
      <c r="N11" s="1" t="s">
        <v>140</v>
      </c>
      <c r="P11" s="1" t="s">
        <v>135</v>
      </c>
      <c r="Q11" s="1" t="s">
        <v>136</v>
      </c>
      <c r="U11" s="1">
        <v>0</v>
      </c>
      <c r="V11" s="1">
        <v>60</v>
      </c>
      <c r="W11" s="1">
        <v>30217</v>
      </c>
      <c r="X11" s="1">
        <v>45795</v>
      </c>
      <c r="AK11" s="7"/>
      <c r="AL11" s="7"/>
    </row>
    <row r="12" spans="1:40" x14ac:dyDescent="0.35">
      <c r="A12" s="2">
        <v>1</v>
      </c>
      <c r="B12" s="15">
        <v>0.62291666666666667</v>
      </c>
      <c r="C12" s="21" t="s">
        <v>131</v>
      </c>
      <c r="D12" s="1" t="s">
        <v>132</v>
      </c>
      <c r="E12" s="1">
        <v>23</v>
      </c>
      <c r="F12" s="1" t="s">
        <v>144</v>
      </c>
      <c r="M12" s="1" t="s">
        <v>140</v>
      </c>
      <c r="N12" s="1" t="s">
        <v>140</v>
      </c>
      <c r="P12" s="1" t="s">
        <v>135</v>
      </c>
      <c r="Q12" s="1" t="s">
        <v>136</v>
      </c>
      <c r="U12" s="1">
        <v>0</v>
      </c>
      <c r="V12" s="1">
        <v>60</v>
      </c>
      <c r="W12" s="1">
        <v>30217</v>
      </c>
      <c r="X12" s="1">
        <v>45795</v>
      </c>
      <c r="AK12" s="7"/>
      <c r="AL12" s="7"/>
    </row>
    <row r="13" spans="1:40" x14ac:dyDescent="0.35">
      <c r="A13" s="7">
        <v>1</v>
      </c>
      <c r="B13" s="15">
        <v>0.60763888888888884</v>
      </c>
      <c r="C13" s="21" t="s">
        <v>131</v>
      </c>
      <c r="D13" s="1" t="s">
        <v>132</v>
      </c>
      <c r="E13" s="1">
        <v>15</v>
      </c>
      <c r="F13" s="1" t="s">
        <v>137</v>
      </c>
      <c r="N13" s="1" t="s">
        <v>134</v>
      </c>
      <c r="P13" s="1" t="s">
        <v>135</v>
      </c>
      <c r="Q13" s="1" t="s">
        <v>136</v>
      </c>
      <c r="U13" s="1">
        <v>0</v>
      </c>
      <c r="V13" s="1">
        <v>60</v>
      </c>
      <c r="W13" s="1">
        <v>30217</v>
      </c>
      <c r="X13" s="1">
        <v>45795</v>
      </c>
      <c r="AK13" s="7"/>
      <c r="AL13" s="7"/>
    </row>
    <row r="14" spans="1:40" x14ac:dyDescent="0.35">
      <c r="A14" s="2">
        <v>1</v>
      </c>
      <c r="B14" s="15">
        <v>0.60486111111111107</v>
      </c>
      <c r="C14" s="21" t="s">
        <v>131</v>
      </c>
      <c r="D14" s="1" t="s">
        <v>132</v>
      </c>
      <c r="E14" s="1">
        <v>88</v>
      </c>
      <c r="F14" s="1" t="s">
        <v>137</v>
      </c>
      <c r="G14" s="1">
        <v>12</v>
      </c>
      <c r="J14" s="1" t="s">
        <v>145</v>
      </c>
      <c r="N14" s="1" t="s">
        <v>134</v>
      </c>
      <c r="Q14" s="1" t="s">
        <v>136</v>
      </c>
      <c r="R14" s="1" t="s">
        <v>156</v>
      </c>
      <c r="U14" s="1">
        <v>0</v>
      </c>
      <c r="V14" s="1">
        <v>60</v>
      </c>
      <c r="W14" s="1">
        <v>30217</v>
      </c>
      <c r="X14" s="1">
        <v>45795</v>
      </c>
      <c r="AK14" s="7"/>
      <c r="AL14" s="7"/>
    </row>
    <row r="15" spans="1:40" x14ac:dyDescent="0.35">
      <c r="A15" s="2">
        <v>1</v>
      </c>
      <c r="B15" s="15">
        <v>0.5625</v>
      </c>
      <c r="C15" s="21" t="s">
        <v>131</v>
      </c>
      <c r="D15" s="1" t="s">
        <v>132</v>
      </c>
      <c r="E15" s="1">
        <v>5</v>
      </c>
      <c r="F15" s="1" t="s">
        <v>144</v>
      </c>
      <c r="G15" s="1">
        <v>42</v>
      </c>
      <c r="H15" s="1">
        <v>16</v>
      </c>
      <c r="J15" s="1" t="s">
        <v>154</v>
      </c>
      <c r="K15" s="1" t="s">
        <v>145</v>
      </c>
      <c r="N15" s="1" t="s">
        <v>140</v>
      </c>
      <c r="O15" s="1" t="s">
        <v>140</v>
      </c>
      <c r="P15" s="1" t="s">
        <v>135</v>
      </c>
      <c r="Q15" s="1" t="s">
        <v>136</v>
      </c>
      <c r="U15" s="1">
        <v>0</v>
      </c>
      <c r="V15" s="1">
        <v>60</v>
      </c>
      <c r="W15" s="1">
        <v>30217</v>
      </c>
      <c r="X15" s="1">
        <v>45795</v>
      </c>
      <c r="AK15" s="7"/>
      <c r="AL15" s="7"/>
    </row>
    <row r="16" spans="1:40" x14ac:dyDescent="0.35">
      <c r="A16" s="2">
        <v>1</v>
      </c>
      <c r="B16" s="15">
        <v>0.49444444444444446</v>
      </c>
      <c r="C16" s="21" t="s">
        <v>131</v>
      </c>
      <c r="D16" s="1" t="s">
        <v>132</v>
      </c>
      <c r="E16" s="1">
        <v>7</v>
      </c>
      <c r="F16" s="1" t="s">
        <v>144</v>
      </c>
      <c r="G16" s="1">
        <v>63</v>
      </c>
      <c r="J16" s="1" t="s">
        <v>157</v>
      </c>
      <c r="P16" s="1" t="s">
        <v>135</v>
      </c>
      <c r="Q16" s="1" t="s">
        <v>136</v>
      </c>
      <c r="U16" s="1">
        <v>0</v>
      </c>
      <c r="V16" s="1">
        <v>60</v>
      </c>
      <c r="W16" s="1">
        <v>30217</v>
      </c>
      <c r="X16" s="1">
        <v>45795</v>
      </c>
      <c r="AK16" s="7"/>
      <c r="AL16" s="7"/>
    </row>
    <row r="17" spans="1:38" x14ac:dyDescent="0.35">
      <c r="A17" s="2">
        <v>1</v>
      </c>
      <c r="B17" s="15">
        <v>0.46388888888888891</v>
      </c>
      <c r="C17" s="21" t="s">
        <v>131</v>
      </c>
      <c r="D17" s="1" t="s">
        <v>132</v>
      </c>
      <c r="E17" s="1">
        <v>92</v>
      </c>
      <c r="F17" s="1" t="s">
        <v>144</v>
      </c>
      <c r="G17" s="1">
        <v>10</v>
      </c>
      <c r="H17" s="1">
        <v>88</v>
      </c>
      <c r="J17" s="1" t="s">
        <v>158</v>
      </c>
      <c r="K17" s="1" t="s">
        <v>158</v>
      </c>
      <c r="N17" s="1" t="s">
        <v>140</v>
      </c>
      <c r="P17" s="1" t="s">
        <v>141</v>
      </c>
      <c r="Q17" s="1" t="s">
        <v>142</v>
      </c>
      <c r="R17" s="1" t="s">
        <v>143</v>
      </c>
      <c r="U17" s="1">
        <v>0</v>
      </c>
      <c r="V17" s="1">
        <v>60</v>
      </c>
      <c r="W17" s="1">
        <v>30217</v>
      </c>
      <c r="X17" s="1">
        <v>45795</v>
      </c>
      <c r="AK17" s="7"/>
      <c r="AL17" s="7"/>
    </row>
    <row r="18" spans="1:38" x14ac:dyDescent="0.35">
      <c r="A18" s="2">
        <v>1</v>
      </c>
      <c r="B18" s="15">
        <v>0.44444444444444442</v>
      </c>
      <c r="C18" s="21" t="s">
        <v>131</v>
      </c>
      <c r="D18" s="1" t="s">
        <v>159</v>
      </c>
      <c r="E18" s="1">
        <v>34</v>
      </c>
      <c r="F18" s="1" t="s">
        <v>160</v>
      </c>
      <c r="G18" s="1">
        <v>16</v>
      </c>
      <c r="H18" s="1">
        <v>34</v>
      </c>
      <c r="J18" s="1" t="s">
        <v>149</v>
      </c>
      <c r="K18" s="1" t="s">
        <v>139</v>
      </c>
      <c r="P18" s="1" t="s">
        <v>141</v>
      </c>
      <c r="Q18" s="1" t="s">
        <v>142</v>
      </c>
      <c r="R18" s="1" t="s">
        <v>143</v>
      </c>
      <c r="U18" s="1">
        <v>0</v>
      </c>
      <c r="V18" s="1">
        <v>72</v>
      </c>
      <c r="W18" s="1">
        <v>30217</v>
      </c>
      <c r="X18" s="1">
        <v>45795</v>
      </c>
      <c r="AK18" s="7"/>
      <c r="AL18" s="7"/>
    </row>
    <row r="19" spans="1:38" x14ac:dyDescent="0.35">
      <c r="A19" s="7">
        <v>1</v>
      </c>
      <c r="B19" s="15">
        <v>0.43819444444444444</v>
      </c>
      <c r="C19" s="21" t="s">
        <v>131</v>
      </c>
      <c r="D19" s="1" t="s">
        <v>159</v>
      </c>
      <c r="E19" s="1">
        <v>23</v>
      </c>
      <c r="F19" s="1" t="s">
        <v>144</v>
      </c>
      <c r="M19" s="1" t="s">
        <v>140</v>
      </c>
      <c r="N19" s="1" t="s">
        <v>140</v>
      </c>
      <c r="P19" s="1" t="s">
        <v>135</v>
      </c>
      <c r="Q19" s="1" t="s">
        <v>136</v>
      </c>
      <c r="U19" s="1">
        <v>0</v>
      </c>
      <c r="V19" s="1">
        <v>72</v>
      </c>
      <c r="W19" s="1">
        <v>30217</v>
      </c>
      <c r="X19" s="1">
        <v>45795</v>
      </c>
      <c r="AK19" s="7"/>
      <c r="AL19" s="7"/>
    </row>
    <row r="20" spans="1:38" x14ac:dyDescent="0.35">
      <c r="A20" s="2">
        <v>1</v>
      </c>
      <c r="B20" s="15">
        <v>0.41249999999999998</v>
      </c>
      <c r="C20" s="21" t="s">
        <v>131</v>
      </c>
      <c r="D20" s="1" t="s">
        <v>159</v>
      </c>
      <c r="E20" s="1">
        <v>67</v>
      </c>
      <c r="F20" s="1" t="s">
        <v>152</v>
      </c>
      <c r="G20" s="1">
        <v>11</v>
      </c>
      <c r="J20" s="1" t="s">
        <v>154</v>
      </c>
      <c r="P20" s="1" t="s">
        <v>135</v>
      </c>
      <c r="Q20" s="1" t="s">
        <v>136</v>
      </c>
      <c r="U20" s="1">
        <v>0</v>
      </c>
      <c r="V20" s="1">
        <v>72</v>
      </c>
      <c r="W20" s="1">
        <v>30217</v>
      </c>
      <c r="X20" s="1">
        <v>45795</v>
      </c>
      <c r="AK20" s="7"/>
      <c r="AL20" s="7"/>
    </row>
    <row r="21" spans="1:38" x14ac:dyDescent="0.35">
      <c r="A21" s="7">
        <v>1</v>
      </c>
      <c r="B21" s="15">
        <v>0.37152777777777779</v>
      </c>
      <c r="C21" s="21" t="s">
        <v>131</v>
      </c>
      <c r="D21" s="1" t="s">
        <v>159</v>
      </c>
      <c r="E21" s="1">
        <v>88</v>
      </c>
      <c r="F21" s="1" t="s">
        <v>144</v>
      </c>
      <c r="G21" s="1">
        <v>2</v>
      </c>
      <c r="J21" s="1" t="s">
        <v>139</v>
      </c>
      <c r="P21" s="1" t="s">
        <v>141</v>
      </c>
      <c r="Q21" s="1" t="s">
        <v>142</v>
      </c>
      <c r="R21" s="1" t="s">
        <v>161</v>
      </c>
      <c r="U21" s="1">
        <v>0</v>
      </c>
      <c r="V21" s="1">
        <v>72</v>
      </c>
      <c r="W21" s="1">
        <v>30217</v>
      </c>
      <c r="X21" s="1">
        <v>45795</v>
      </c>
      <c r="AK21" s="7"/>
      <c r="AL21" s="7"/>
    </row>
    <row r="22" spans="1:38" x14ac:dyDescent="0.35">
      <c r="A22" s="7">
        <v>1</v>
      </c>
      <c r="B22" s="15">
        <v>0.36458333333333331</v>
      </c>
      <c r="C22" s="21" t="s">
        <v>131</v>
      </c>
      <c r="D22" s="1" t="s">
        <v>159</v>
      </c>
      <c r="E22" s="1">
        <v>2</v>
      </c>
      <c r="F22" s="1" t="s">
        <v>153</v>
      </c>
      <c r="P22" s="1" t="s">
        <v>135</v>
      </c>
      <c r="Q22" s="1" t="s">
        <v>136</v>
      </c>
      <c r="U22" s="1">
        <v>0</v>
      </c>
      <c r="V22" s="1">
        <v>72</v>
      </c>
      <c r="W22" s="1">
        <v>30217</v>
      </c>
      <c r="X22" s="1">
        <v>45795</v>
      </c>
      <c r="AK22" s="7"/>
      <c r="AL22" s="7"/>
    </row>
    <row r="23" spans="1:38" x14ac:dyDescent="0.35">
      <c r="A23" s="2">
        <v>1</v>
      </c>
      <c r="B23" s="15">
        <v>0.35069444444444442</v>
      </c>
      <c r="C23" s="21" t="s">
        <v>131</v>
      </c>
      <c r="D23" s="1" t="s">
        <v>159</v>
      </c>
      <c r="E23" s="1">
        <v>88</v>
      </c>
      <c r="F23" s="1" t="s">
        <v>144</v>
      </c>
      <c r="M23" s="1" t="s">
        <v>140</v>
      </c>
      <c r="N23" s="1" t="s">
        <v>140</v>
      </c>
      <c r="P23" s="1" t="s">
        <v>135</v>
      </c>
      <c r="Q23" s="1" t="s">
        <v>136</v>
      </c>
      <c r="U23" s="1">
        <v>0</v>
      </c>
      <c r="V23" s="1">
        <v>72</v>
      </c>
      <c r="W23" s="1">
        <v>30217</v>
      </c>
      <c r="X23" s="1">
        <v>45795</v>
      </c>
      <c r="AK23" s="7"/>
      <c r="AL23" s="7"/>
    </row>
    <row r="24" spans="1:38" x14ac:dyDescent="0.35">
      <c r="A24" s="7">
        <v>1</v>
      </c>
      <c r="B24" s="15">
        <v>0.27569444444444446</v>
      </c>
      <c r="C24" s="21" t="s">
        <v>131</v>
      </c>
      <c r="D24" s="1" t="s">
        <v>159</v>
      </c>
      <c r="E24" s="1">
        <v>67</v>
      </c>
      <c r="F24" s="1" t="s">
        <v>137</v>
      </c>
      <c r="G24" s="1">
        <v>22</v>
      </c>
      <c r="H24" s="1">
        <v>8</v>
      </c>
      <c r="I24" s="1">
        <v>67</v>
      </c>
      <c r="J24" s="1" t="s">
        <v>153</v>
      </c>
      <c r="K24" s="1" t="s">
        <v>155</v>
      </c>
      <c r="L24" s="1" t="s">
        <v>162</v>
      </c>
      <c r="M24" s="1" t="s">
        <v>134</v>
      </c>
      <c r="N24" s="1" t="s">
        <v>134</v>
      </c>
      <c r="P24" s="1" t="s">
        <v>135</v>
      </c>
      <c r="Q24" s="1" t="s">
        <v>136</v>
      </c>
      <c r="U24" s="1">
        <v>0</v>
      </c>
      <c r="V24" s="1">
        <v>72</v>
      </c>
      <c r="W24" s="1">
        <v>30217</v>
      </c>
      <c r="X24" s="1">
        <v>45795</v>
      </c>
      <c r="AK24" s="7"/>
      <c r="AL24" s="7"/>
    </row>
    <row r="25" spans="1:38" x14ac:dyDescent="0.35">
      <c r="A25" s="2">
        <v>1</v>
      </c>
      <c r="B25" s="15">
        <v>0.22847222222222222</v>
      </c>
      <c r="C25" s="21" t="s">
        <v>131</v>
      </c>
      <c r="D25" s="1" t="s">
        <v>159</v>
      </c>
      <c r="E25" s="1">
        <v>24</v>
      </c>
      <c r="F25" s="1" t="s">
        <v>144</v>
      </c>
      <c r="G25" s="1">
        <v>18</v>
      </c>
      <c r="H25" s="1">
        <v>19</v>
      </c>
      <c r="J25" s="1" t="s">
        <v>163</v>
      </c>
      <c r="K25" s="1" t="s">
        <v>163</v>
      </c>
      <c r="M25" s="1" t="s">
        <v>140</v>
      </c>
      <c r="N25" s="1" t="s">
        <v>140</v>
      </c>
      <c r="P25" s="1" t="s">
        <v>141</v>
      </c>
      <c r="Q25" s="1" t="s">
        <v>150</v>
      </c>
      <c r="R25" s="1" t="s">
        <v>164</v>
      </c>
      <c r="S25" s="1" t="s">
        <v>165</v>
      </c>
      <c r="U25" s="1">
        <v>0</v>
      </c>
      <c r="V25" s="1">
        <v>72</v>
      </c>
      <c r="W25" s="1">
        <v>30217</v>
      </c>
      <c r="X25" s="1">
        <v>45795</v>
      </c>
      <c r="AK25" s="7"/>
      <c r="AL25" s="7"/>
    </row>
    <row r="26" spans="1:38" x14ac:dyDescent="0.35">
      <c r="A26" s="7">
        <v>1</v>
      </c>
      <c r="B26" s="15">
        <v>0.22361111111111112</v>
      </c>
      <c r="C26" s="21" t="s">
        <v>131</v>
      </c>
      <c r="D26" s="1" t="s">
        <v>159</v>
      </c>
      <c r="E26" s="1">
        <v>74</v>
      </c>
      <c r="F26" s="1" t="s">
        <v>133</v>
      </c>
      <c r="G26" s="1">
        <v>44</v>
      </c>
      <c r="J26" s="1" t="s">
        <v>153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0</v>
      </c>
      <c r="V26" s="1">
        <v>72</v>
      </c>
      <c r="W26" s="1">
        <v>30217</v>
      </c>
      <c r="X26" s="1">
        <v>45795</v>
      </c>
      <c r="AK26" s="7"/>
      <c r="AL26" s="7"/>
    </row>
    <row r="27" spans="1:38" x14ac:dyDescent="0.35">
      <c r="A27" s="2">
        <v>1</v>
      </c>
      <c r="B27" s="15">
        <v>0.21527777777777779</v>
      </c>
      <c r="C27" s="21" t="s">
        <v>131</v>
      </c>
      <c r="D27" s="1" t="s">
        <v>132</v>
      </c>
      <c r="E27" s="1">
        <v>9</v>
      </c>
      <c r="F27" s="1" t="s">
        <v>144</v>
      </c>
      <c r="G27" s="1">
        <v>19</v>
      </c>
      <c r="J27" s="1" t="s">
        <v>158</v>
      </c>
      <c r="P27" s="1" t="s">
        <v>141</v>
      </c>
      <c r="Q27" s="1" t="s">
        <v>142</v>
      </c>
      <c r="R27" s="1" t="s">
        <v>143</v>
      </c>
      <c r="U27" s="1">
        <v>0</v>
      </c>
      <c r="V27" s="1">
        <v>60</v>
      </c>
      <c r="W27" s="1">
        <v>30217</v>
      </c>
      <c r="X27" s="1">
        <v>45795</v>
      </c>
      <c r="AK27" s="7"/>
      <c r="AL27" s="7"/>
    </row>
    <row r="28" spans="1:38" x14ac:dyDescent="0.35">
      <c r="A28" s="7">
        <v>1</v>
      </c>
      <c r="B28" s="14">
        <v>0.20833333333333334</v>
      </c>
      <c r="C28" s="21" t="s">
        <v>131</v>
      </c>
      <c r="D28" s="1" t="s">
        <v>132</v>
      </c>
      <c r="E28" s="1">
        <v>23</v>
      </c>
      <c r="F28" s="1" t="s">
        <v>144</v>
      </c>
      <c r="P28" s="1" t="s">
        <v>141</v>
      </c>
      <c r="Q28" s="1" t="s">
        <v>150</v>
      </c>
      <c r="R28" s="1" t="s">
        <v>151</v>
      </c>
      <c r="U28" s="1">
        <v>0</v>
      </c>
      <c r="V28" s="1">
        <v>60</v>
      </c>
      <c r="W28" s="1">
        <v>30217</v>
      </c>
      <c r="X28" s="1">
        <v>45795</v>
      </c>
      <c r="AK28" s="7"/>
      <c r="AL28" s="7"/>
    </row>
    <row r="29" spans="1:38" x14ac:dyDescent="0.35">
      <c r="A29" s="7">
        <v>1</v>
      </c>
      <c r="B29" s="14">
        <v>0.1736111111111111</v>
      </c>
      <c r="C29" s="21" t="s">
        <v>131</v>
      </c>
      <c r="D29" s="1" t="s">
        <v>132</v>
      </c>
      <c r="E29" s="1">
        <v>17</v>
      </c>
      <c r="F29" s="1" t="s">
        <v>144</v>
      </c>
      <c r="G29" s="1">
        <v>3</v>
      </c>
      <c r="J29" s="1" t="s">
        <v>154</v>
      </c>
      <c r="M29" s="1" t="s">
        <v>140</v>
      </c>
      <c r="N29" s="1" t="s">
        <v>140</v>
      </c>
      <c r="P29" s="1" t="s">
        <v>135</v>
      </c>
      <c r="Q29" s="1" t="s">
        <v>136</v>
      </c>
      <c r="U29" s="1">
        <v>0</v>
      </c>
      <c r="V29" s="1">
        <v>60</v>
      </c>
      <c r="W29" s="1">
        <v>30217</v>
      </c>
      <c r="X29" s="1">
        <v>45795</v>
      </c>
      <c r="AK29" s="7"/>
      <c r="AL29" s="7"/>
    </row>
    <row r="30" spans="1:38" x14ac:dyDescent="0.35">
      <c r="A30" s="2">
        <v>1</v>
      </c>
      <c r="B30" s="15">
        <v>0.17291666666666666</v>
      </c>
      <c r="C30" s="21" t="s">
        <v>131</v>
      </c>
      <c r="D30" s="1" t="s">
        <v>132</v>
      </c>
      <c r="E30" s="1">
        <v>17</v>
      </c>
      <c r="F30" s="1" t="s">
        <v>144</v>
      </c>
      <c r="G30" s="1">
        <v>13</v>
      </c>
      <c r="J30" s="1" t="s">
        <v>155</v>
      </c>
      <c r="N30" s="1" t="s">
        <v>134</v>
      </c>
      <c r="P30" s="1" t="s">
        <v>166</v>
      </c>
      <c r="Q30" s="1" t="s">
        <v>136</v>
      </c>
      <c r="U30" s="1">
        <v>0</v>
      </c>
      <c r="V30" s="1">
        <v>60</v>
      </c>
      <c r="W30" s="1">
        <v>30217</v>
      </c>
      <c r="X30" s="1">
        <v>45795</v>
      </c>
      <c r="AK30" s="7"/>
      <c r="AL30" s="7"/>
    </row>
    <row r="31" spans="1:38" x14ac:dyDescent="0.35">
      <c r="A31" s="7">
        <v>1</v>
      </c>
      <c r="B31" s="14">
        <v>0.16388888888888889</v>
      </c>
      <c r="C31" s="21" t="s">
        <v>131</v>
      </c>
      <c r="D31" s="1" t="s">
        <v>159</v>
      </c>
      <c r="E31" s="1">
        <v>18</v>
      </c>
      <c r="F31" s="1" t="s">
        <v>144</v>
      </c>
      <c r="G31" s="1">
        <v>24</v>
      </c>
      <c r="H31" s="1">
        <v>8</v>
      </c>
      <c r="J31" s="1" t="s">
        <v>138</v>
      </c>
      <c r="K31" s="1" t="s">
        <v>158</v>
      </c>
      <c r="M31" s="1" t="s">
        <v>140</v>
      </c>
      <c r="N31" s="1" t="s">
        <v>140</v>
      </c>
      <c r="P31" s="1" t="s">
        <v>141</v>
      </c>
      <c r="Q31" s="1" t="s">
        <v>142</v>
      </c>
      <c r="R31" s="1" t="s">
        <v>143</v>
      </c>
      <c r="S31" s="1" t="s">
        <v>165</v>
      </c>
      <c r="U31" s="1">
        <v>0</v>
      </c>
      <c r="V31" s="1">
        <v>72</v>
      </c>
      <c r="W31" s="1">
        <v>30217</v>
      </c>
      <c r="X31" s="1">
        <v>45795</v>
      </c>
      <c r="AK31" s="7"/>
      <c r="AL31" s="7"/>
    </row>
    <row r="32" spans="1:38" x14ac:dyDescent="0.35">
      <c r="A32" s="2">
        <v>1</v>
      </c>
      <c r="B32" s="15">
        <v>0.14930555555555555</v>
      </c>
      <c r="C32" s="21" t="s">
        <v>131</v>
      </c>
      <c r="D32" s="1" t="s">
        <v>159</v>
      </c>
      <c r="E32" s="1">
        <v>25</v>
      </c>
      <c r="F32" s="1" t="s">
        <v>137</v>
      </c>
      <c r="G32" s="1">
        <v>44</v>
      </c>
      <c r="H32" s="1">
        <v>74</v>
      </c>
      <c r="J32" s="1" t="s">
        <v>154</v>
      </c>
      <c r="K32" s="1" t="s">
        <v>145</v>
      </c>
      <c r="N32" s="1" t="s">
        <v>134</v>
      </c>
      <c r="P32" s="1" t="s">
        <v>135</v>
      </c>
      <c r="Q32" s="1" t="s">
        <v>136</v>
      </c>
      <c r="U32" s="1">
        <v>0</v>
      </c>
      <c r="V32" s="1">
        <v>72</v>
      </c>
      <c r="W32" s="1">
        <v>30217</v>
      </c>
      <c r="X32" s="1">
        <v>45795</v>
      </c>
      <c r="AK32" s="7"/>
      <c r="AL32" s="7"/>
    </row>
    <row r="33" spans="1:38" x14ac:dyDescent="0.35">
      <c r="A33" s="2">
        <v>1</v>
      </c>
      <c r="B33" s="15">
        <v>0.1388888888888889</v>
      </c>
      <c r="C33" s="21" t="s">
        <v>131</v>
      </c>
      <c r="D33" s="1" t="s">
        <v>159</v>
      </c>
      <c r="E33" s="1">
        <v>34</v>
      </c>
      <c r="F33" s="1" t="s">
        <v>144</v>
      </c>
      <c r="G33" s="1">
        <v>8</v>
      </c>
      <c r="J33" s="1" t="s">
        <v>155</v>
      </c>
      <c r="N33" s="1" t="s">
        <v>140</v>
      </c>
      <c r="P33" s="1" t="s">
        <v>135</v>
      </c>
      <c r="Q33" s="1" t="s">
        <v>136</v>
      </c>
      <c r="U33" s="1">
        <v>0</v>
      </c>
      <c r="V33" s="1">
        <v>72</v>
      </c>
      <c r="W33" s="1">
        <v>30217</v>
      </c>
      <c r="X33" s="1">
        <v>45795</v>
      </c>
      <c r="AK33" s="7"/>
      <c r="AL33" s="7"/>
    </row>
    <row r="34" spans="1:38" x14ac:dyDescent="0.35">
      <c r="A34" s="7">
        <v>1</v>
      </c>
      <c r="B34" s="15">
        <v>2.4305555555555556E-2</v>
      </c>
      <c r="C34" s="21" t="s">
        <v>167</v>
      </c>
      <c r="D34" s="1" t="s">
        <v>132</v>
      </c>
      <c r="E34" s="1">
        <v>3</v>
      </c>
      <c r="F34" s="1" t="s">
        <v>146</v>
      </c>
      <c r="G34" s="1">
        <v>16</v>
      </c>
      <c r="H34" s="1">
        <v>15</v>
      </c>
      <c r="J34" s="1" t="s">
        <v>157</v>
      </c>
      <c r="K34" s="1" t="s">
        <v>168</v>
      </c>
      <c r="N34" s="1" t="s">
        <v>134</v>
      </c>
      <c r="O34" s="1" t="s">
        <v>134</v>
      </c>
      <c r="U34" s="1">
        <v>0</v>
      </c>
      <c r="V34" s="1">
        <v>60</v>
      </c>
      <c r="W34" s="1">
        <v>30217</v>
      </c>
      <c r="X34" s="1">
        <v>45795</v>
      </c>
      <c r="AK34" s="7"/>
      <c r="AL34" s="7"/>
    </row>
    <row r="35" spans="1:38" x14ac:dyDescent="0.35">
      <c r="A35" s="2">
        <v>1</v>
      </c>
      <c r="B35" s="15">
        <v>1.9444444444444445E-2</v>
      </c>
      <c r="C35" s="21" t="s">
        <v>167</v>
      </c>
      <c r="D35" s="1" t="s">
        <v>132</v>
      </c>
      <c r="E35" s="1">
        <v>3</v>
      </c>
      <c r="F35" s="1" t="s">
        <v>137</v>
      </c>
      <c r="N35" s="1" t="s">
        <v>134</v>
      </c>
      <c r="O35" s="1" t="s">
        <v>134</v>
      </c>
      <c r="U35" s="1">
        <v>0</v>
      </c>
      <c r="V35" s="1">
        <v>60</v>
      </c>
      <c r="W35" s="1">
        <v>30217</v>
      </c>
      <c r="X35" s="1">
        <v>45795</v>
      </c>
      <c r="AK35" s="7"/>
      <c r="AL35" s="7"/>
    </row>
    <row r="36" spans="1:38" x14ac:dyDescent="0.35">
      <c r="A36" s="7">
        <v>1</v>
      </c>
      <c r="B36" s="15">
        <v>6.2500000000000003E-3</v>
      </c>
      <c r="C36" s="21" t="s">
        <v>167</v>
      </c>
      <c r="D36" s="1" t="s">
        <v>132</v>
      </c>
      <c r="E36" s="1">
        <v>9</v>
      </c>
      <c r="F36" s="1" t="s">
        <v>144</v>
      </c>
      <c r="U36" s="1">
        <v>0</v>
      </c>
      <c r="V36" s="1">
        <v>60</v>
      </c>
      <c r="W36" s="1">
        <v>30217</v>
      </c>
      <c r="X36" s="1">
        <v>45795</v>
      </c>
      <c r="AK36" s="7"/>
      <c r="AL36" s="7"/>
    </row>
    <row r="37" spans="1:38" x14ac:dyDescent="0.35">
      <c r="A37" s="7">
        <v>2</v>
      </c>
      <c r="B37" s="15">
        <v>0.8</v>
      </c>
      <c r="C37" s="21" t="s">
        <v>131</v>
      </c>
      <c r="D37" s="1" t="s">
        <v>132</v>
      </c>
      <c r="E37" s="1">
        <v>5</v>
      </c>
      <c r="F37" s="1" t="s">
        <v>169</v>
      </c>
      <c r="N37" s="1" t="s">
        <v>134</v>
      </c>
      <c r="P37" s="1" t="s">
        <v>135</v>
      </c>
      <c r="Q37" s="1" t="s">
        <v>136</v>
      </c>
      <c r="U37" s="1">
        <v>0</v>
      </c>
      <c r="V37" s="1">
        <v>60</v>
      </c>
      <c r="W37" s="1">
        <v>30217</v>
      </c>
      <c r="X37" s="1">
        <v>45795</v>
      </c>
      <c r="AK37" s="7"/>
      <c r="AL37" s="7"/>
    </row>
    <row r="38" spans="1:38" x14ac:dyDescent="0.35">
      <c r="A38" s="7">
        <v>2</v>
      </c>
      <c r="B38" s="15">
        <v>0.76736111111111116</v>
      </c>
      <c r="C38" s="21" t="s">
        <v>131</v>
      </c>
      <c r="D38" s="1" t="s">
        <v>132</v>
      </c>
      <c r="E38" s="1">
        <v>63</v>
      </c>
      <c r="F38" s="1" t="s">
        <v>144</v>
      </c>
      <c r="P38" s="1" t="s">
        <v>135</v>
      </c>
      <c r="Q38" s="1" t="s">
        <v>136</v>
      </c>
      <c r="U38" s="1">
        <v>0</v>
      </c>
      <c r="V38" s="1">
        <v>60</v>
      </c>
      <c r="W38" s="1">
        <v>30217</v>
      </c>
      <c r="X38" s="1">
        <v>45795</v>
      </c>
      <c r="AK38" s="7"/>
      <c r="AL38" s="7"/>
    </row>
    <row r="39" spans="1:38" x14ac:dyDescent="0.35">
      <c r="A39" s="2">
        <v>2</v>
      </c>
      <c r="B39" s="15">
        <v>0.74791666666666667</v>
      </c>
      <c r="C39" s="21" t="s">
        <v>131</v>
      </c>
      <c r="D39" s="1" t="s">
        <v>132</v>
      </c>
      <c r="E39" s="1">
        <v>7</v>
      </c>
      <c r="F39" s="1" t="s">
        <v>144</v>
      </c>
      <c r="G39" s="1">
        <v>63</v>
      </c>
      <c r="J39" s="1" t="s">
        <v>157</v>
      </c>
      <c r="P39" s="1" t="s">
        <v>135</v>
      </c>
      <c r="Q39" s="1" t="s">
        <v>136</v>
      </c>
      <c r="U39" s="1">
        <v>0</v>
      </c>
      <c r="V39" s="1">
        <v>60</v>
      </c>
      <c r="W39" s="1">
        <v>30217</v>
      </c>
      <c r="X39" s="1">
        <v>45795</v>
      </c>
      <c r="AK39" s="7"/>
      <c r="AL39" s="7"/>
    </row>
    <row r="40" spans="1:38" x14ac:dyDescent="0.35">
      <c r="A40" s="7">
        <v>2</v>
      </c>
      <c r="B40" s="15">
        <v>0.71875</v>
      </c>
      <c r="C40" s="21" t="s">
        <v>131</v>
      </c>
      <c r="D40" s="1" t="s">
        <v>132</v>
      </c>
      <c r="E40" s="1">
        <v>10</v>
      </c>
      <c r="F40" s="1" t="s">
        <v>144</v>
      </c>
      <c r="G40" s="1">
        <v>92</v>
      </c>
      <c r="J40" s="1" t="s">
        <v>163</v>
      </c>
      <c r="N40" s="1" t="s">
        <v>140</v>
      </c>
      <c r="P40" s="1" t="s">
        <v>141</v>
      </c>
      <c r="Q40" s="1" t="s">
        <v>150</v>
      </c>
      <c r="R40" s="1" t="s">
        <v>170</v>
      </c>
      <c r="U40" s="1">
        <v>0</v>
      </c>
      <c r="V40" s="1">
        <v>60</v>
      </c>
      <c r="W40" s="1">
        <v>30217</v>
      </c>
      <c r="X40" s="1">
        <v>45795</v>
      </c>
      <c r="AK40" s="7"/>
      <c r="AL40" s="7"/>
    </row>
    <row r="41" spans="1:38" x14ac:dyDescent="0.35">
      <c r="A41" s="7">
        <v>2</v>
      </c>
      <c r="B41" s="14">
        <v>0.69791666666666663</v>
      </c>
      <c r="C41" s="21" t="s">
        <v>131</v>
      </c>
      <c r="D41" s="1" t="s">
        <v>132</v>
      </c>
      <c r="E41" s="1">
        <v>3</v>
      </c>
      <c r="F41" s="1" t="s">
        <v>144</v>
      </c>
      <c r="G41" s="1">
        <v>17</v>
      </c>
      <c r="H41" s="1">
        <v>16</v>
      </c>
      <c r="J41" s="1" t="s">
        <v>163</v>
      </c>
      <c r="K41" s="1" t="s">
        <v>158</v>
      </c>
      <c r="M41" s="1" t="s">
        <v>140</v>
      </c>
      <c r="N41" s="1" t="s">
        <v>140</v>
      </c>
      <c r="P41" s="1" t="s">
        <v>141</v>
      </c>
      <c r="Q41" s="1" t="s">
        <v>142</v>
      </c>
      <c r="R41" s="1" t="s">
        <v>143</v>
      </c>
      <c r="S41" s="1" t="s">
        <v>171</v>
      </c>
      <c r="T41" s="1" t="s">
        <v>140</v>
      </c>
      <c r="U41" s="1">
        <v>0</v>
      </c>
      <c r="V41" s="1">
        <v>60</v>
      </c>
      <c r="W41" s="1">
        <v>30217</v>
      </c>
      <c r="X41" s="1">
        <v>45795</v>
      </c>
      <c r="AK41" s="7"/>
      <c r="AL41" s="7"/>
    </row>
    <row r="42" spans="1:38" x14ac:dyDescent="0.35">
      <c r="A42" s="2">
        <v>2</v>
      </c>
      <c r="B42" s="15">
        <v>0.65416666666666667</v>
      </c>
      <c r="C42" s="21" t="s">
        <v>131</v>
      </c>
      <c r="D42" s="1" t="s">
        <v>132</v>
      </c>
      <c r="E42" s="1">
        <v>15</v>
      </c>
      <c r="F42" s="1" t="s">
        <v>144</v>
      </c>
      <c r="N42" s="1" t="s">
        <v>140</v>
      </c>
      <c r="P42" s="1" t="s">
        <v>135</v>
      </c>
      <c r="Q42" s="1" t="s">
        <v>136</v>
      </c>
      <c r="U42" s="1">
        <v>-1</v>
      </c>
      <c r="V42" s="1">
        <v>60</v>
      </c>
      <c r="W42" s="1">
        <v>30217</v>
      </c>
      <c r="X42" s="1">
        <v>45795</v>
      </c>
      <c r="AK42" s="7"/>
      <c r="AL42" s="7"/>
    </row>
    <row r="43" spans="1:38" x14ac:dyDescent="0.35">
      <c r="A43" s="7">
        <v>2</v>
      </c>
      <c r="B43" s="15">
        <v>0.64722222222222225</v>
      </c>
      <c r="C43" s="21" t="s">
        <v>131</v>
      </c>
      <c r="D43" s="1" t="s">
        <v>132</v>
      </c>
      <c r="E43" s="1">
        <v>88</v>
      </c>
      <c r="F43" s="1" t="s">
        <v>144</v>
      </c>
      <c r="G43" s="1">
        <v>77</v>
      </c>
      <c r="J43" s="1" t="s">
        <v>155</v>
      </c>
      <c r="N43" s="1" t="s">
        <v>140</v>
      </c>
      <c r="O43" s="1" t="s">
        <v>140</v>
      </c>
      <c r="P43" s="1" t="s">
        <v>135</v>
      </c>
      <c r="Q43" s="1" t="s">
        <v>136</v>
      </c>
      <c r="U43" s="1">
        <v>-1</v>
      </c>
      <c r="V43" s="1">
        <v>60</v>
      </c>
      <c r="W43" s="1">
        <v>30217</v>
      </c>
      <c r="X43" s="1">
        <v>45795</v>
      </c>
      <c r="AK43" s="7"/>
      <c r="AL43" s="7"/>
    </row>
    <row r="44" spans="1:38" x14ac:dyDescent="0.35">
      <c r="A44" s="2">
        <v>2</v>
      </c>
      <c r="B44" s="15">
        <v>0.63888888888888884</v>
      </c>
      <c r="C44" s="21" t="s">
        <v>131</v>
      </c>
      <c r="D44" s="1" t="s">
        <v>132</v>
      </c>
      <c r="E44" s="1">
        <v>27</v>
      </c>
      <c r="F44" s="1" t="s">
        <v>137</v>
      </c>
      <c r="G44" s="1">
        <v>88</v>
      </c>
      <c r="J44" s="1" t="s">
        <v>145</v>
      </c>
      <c r="P44" s="1" t="s">
        <v>135</v>
      </c>
      <c r="Q44" s="1" t="s">
        <v>136</v>
      </c>
      <c r="U44" s="1">
        <v>-1</v>
      </c>
      <c r="V44" s="1">
        <v>60</v>
      </c>
      <c r="W44" s="1">
        <v>30217</v>
      </c>
      <c r="X44" s="1">
        <v>45795</v>
      </c>
      <c r="AK44" s="7"/>
      <c r="AL44" s="7"/>
    </row>
    <row r="45" spans="1:38" x14ac:dyDescent="0.35">
      <c r="A45" s="7">
        <v>2</v>
      </c>
      <c r="B45" s="14">
        <v>0.62986111111111109</v>
      </c>
      <c r="C45" s="21" t="s">
        <v>131</v>
      </c>
      <c r="D45" s="1" t="s">
        <v>159</v>
      </c>
      <c r="E45" s="1">
        <v>88</v>
      </c>
      <c r="F45" s="1" t="s">
        <v>144</v>
      </c>
      <c r="G45" s="1">
        <v>95</v>
      </c>
      <c r="H45" s="1">
        <v>11</v>
      </c>
      <c r="I45" s="1">
        <v>88</v>
      </c>
      <c r="J45" s="1" t="s">
        <v>172</v>
      </c>
      <c r="K45" s="1" t="s">
        <v>158</v>
      </c>
      <c r="L45" s="1" t="s">
        <v>158</v>
      </c>
      <c r="N45" s="1" t="s">
        <v>140</v>
      </c>
      <c r="P45" s="1" t="s">
        <v>141</v>
      </c>
      <c r="Q45" s="1" t="s">
        <v>142</v>
      </c>
      <c r="R45" s="1" t="s">
        <v>143</v>
      </c>
      <c r="U45" s="1">
        <v>-1</v>
      </c>
      <c r="V45" s="1">
        <v>72</v>
      </c>
      <c r="W45" s="1">
        <v>30217</v>
      </c>
      <c r="X45" s="1">
        <v>45795</v>
      </c>
      <c r="AK45" s="7"/>
      <c r="AL45" s="7"/>
    </row>
    <row r="46" spans="1:38" x14ac:dyDescent="0.35">
      <c r="A46" s="7">
        <v>2</v>
      </c>
      <c r="B46" s="15">
        <v>0.53680555555555554</v>
      </c>
      <c r="C46" s="21" t="s">
        <v>131</v>
      </c>
      <c r="D46" s="1" t="s">
        <v>132</v>
      </c>
      <c r="E46" s="1">
        <v>63</v>
      </c>
      <c r="F46" s="1" t="s">
        <v>144</v>
      </c>
      <c r="G46" s="1">
        <v>15</v>
      </c>
      <c r="H46" s="1">
        <v>72</v>
      </c>
      <c r="J46" s="1" t="s">
        <v>149</v>
      </c>
      <c r="K46" s="1" t="s">
        <v>172</v>
      </c>
      <c r="N46" s="1" t="s">
        <v>140</v>
      </c>
      <c r="P46" s="1" t="s">
        <v>141</v>
      </c>
      <c r="Q46" s="1" t="s">
        <v>142</v>
      </c>
      <c r="R46" s="1" t="s">
        <v>143</v>
      </c>
      <c r="U46" s="1">
        <v>-1</v>
      </c>
      <c r="V46" s="1">
        <v>60</v>
      </c>
      <c r="W46" s="1">
        <v>30217</v>
      </c>
      <c r="X46" s="1">
        <v>45795</v>
      </c>
      <c r="AK46" s="7"/>
      <c r="AL46" s="7"/>
    </row>
    <row r="47" spans="1:38" x14ac:dyDescent="0.35">
      <c r="A47" s="2">
        <v>2</v>
      </c>
      <c r="B47" s="15">
        <v>0.53055555555555556</v>
      </c>
      <c r="C47" s="21" t="s">
        <v>131</v>
      </c>
      <c r="D47" s="1" t="s">
        <v>132</v>
      </c>
      <c r="E47" s="1">
        <v>63</v>
      </c>
      <c r="F47" s="1" t="s">
        <v>144</v>
      </c>
      <c r="G47" s="1">
        <v>77</v>
      </c>
      <c r="H47" s="1">
        <v>63</v>
      </c>
      <c r="I47" s="1">
        <v>15</v>
      </c>
      <c r="J47" s="1" t="s">
        <v>155</v>
      </c>
      <c r="K47" s="1" t="s">
        <v>147</v>
      </c>
      <c r="L47" s="1" t="s">
        <v>148</v>
      </c>
      <c r="N47" s="1" t="s">
        <v>140</v>
      </c>
      <c r="P47" s="1" t="s">
        <v>166</v>
      </c>
      <c r="Q47" s="1" t="s">
        <v>136</v>
      </c>
      <c r="U47" s="1">
        <v>-1</v>
      </c>
      <c r="AK47" s="7"/>
      <c r="AL47" s="7"/>
    </row>
    <row r="48" spans="1:38" x14ac:dyDescent="0.35">
      <c r="A48" s="7">
        <v>2</v>
      </c>
      <c r="B48" s="14">
        <v>0.52916666666666667</v>
      </c>
      <c r="C48" s="21" t="s">
        <v>131</v>
      </c>
      <c r="D48" s="1" t="s">
        <v>132</v>
      </c>
      <c r="E48" s="1">
        <v>15</v>
      </c>
      <c r="F48" s="1" t="s">
        <v>141</v>
      </c>
      <c r="M48" s="1" t="s">
        <v>140</v>
      </c>
      <c r="N48" s="1" t="s">
        <v>140</v>
      </c>
      <c r="P48" s="1" t="s">
        <v>166</v>
      </c>
      <c r="Q48" s="1" t="s">
        <v>136</v>
      </c>
      <c r="T48" s="1" t="s">
        <v>140</v>
      </c>
      <c r="U48" s="1">
        <v>-1</v>
      </c>
      <c r="V48" s="1">
        <v>60</v>
      </c>
      <c r="W48" s="1">
        <v>30217</v>
      </c>
      <c r="X48" s="1">
        <v>45795</v>
      </c>
      <c r="AK48" s="7"/>
      <c r="AL48" s="7"/>
    </row>
    <row r="49" spans="1:38" x14ac:dyDescent="0.35">
      <c r="A49" s="7">
        <v>2</v>
      </c>
      <c r="B49" s="15">
        <v>0.43402777777777779</v>
      </c>
      <c r="C49" s="21" t="s">
        <v>131</v>
      </c>
      <c r="D49" s="1" t="s">
        <v>132</v>
      </c>
      <c r="E49" s="1">
        <v>10</v>
      </c>
      <c r="F49" s="1" t="s">
        <v>144</v>
      </c>
      <c r="G49" s="1">
        <v>3</v>
      </c>
      <c r="J49" s="1" t="s">
        <v>154</v>
      </c>
      <c r="M49" s="1" t="s">
        <v>140</v>
      </c>
      <c r="N49" s="1" t="s">
        <v>140</v>
      </c>
      <c r="P49" s="1" t="s">
        <v>141</v>
      </c>
      <c r="Q49" s="1" t="s">
        <v>150</v>
      </c>
      <c r="R49" s="1" t="s">
        <v>170</v>
      </c>
      <c r="U49" s="1">
        <v>-2</v>
      </c>
      <c r="V49" s="1">
        <v>60</v>
      </c>
      <c r="W49" s="1">
        <v>30217</v>
      </c>
      <c r="X49" s="1">
        <v>45795</v>
      </c>
      <c r="AK49" s="7"/>
      <c r="AL49" s="7"/>
    </row>
    <row r="50" spans="1:38" x14ac:dyDescent="0.35">
      <c r="A50" s="7">
        <v>2</v>
      </c>
      <c r="B50" s="15">
        <v>0.43125000000000002</v>
      </c>
      <c r="C50" s="21" t="s">
        <v>131</v>
      </c>
      <c r="D50" s="1" t="s">
        <v>132</v>
      </c>
      <c r="E50" s="1">
        <v>12</v>
      </c>
      <c r="F50" s="1" t="s">
        <v>173</v>
      </c>
      <c r="G50" s="1">
        <v>10</v>
      </c>
      <c r="J50" s="1" t="s">
        <v>174</v>
      </c>
      <c r="M50" s="1" t="s">
        <v>140</v>
      </c>
      <c r="N50" s="1" t="s">
        <v>140</v>
      </c>
      <c r="P50" s="1" t="s">
        <v>141</v>
      </c>
      <c r="Q50" s="1" t="s">
        <v>150</v>
      </c>
      <c r="R50" s="1" t="s">
        <v>170</v>
      </c>
      <c r="T50" s="1" t="s">
        <v>140</v>
      </c>
      <c r="U50" s="1">
        <v>-2</v>
      </c>
      <c r="V50" s="1">
        <v>60</v>
      </c>
      <c r="W50" s="1">
        <v>30217</v>
      </c>
      <c r="X50" s="1">
        <v>45795</v>
      </c>
      <c r="AK50" s="7"/>
      <c r="AL50" s="7"/>
    </row>
    <row r="51" spans="1:38" x14ac:dyDescent="0.35">
      <c r="A51" s="2">
        <v>2</v>
      </c>
      <c r="B51" s="15">
        <v>0.42430555555555555</v>
      </c>
      <c r="C51" s="21" t="s">
        <v>131</v>
      </c>
      <c r="D51" s="1" t="s">
        <v>132</v>
      </c>
      <c r="E51" s="1">
        <v>16</v>
      </c>
      <c r="F51" s="1" t="s">
        <v>144</v>
      </c>
      <c r="G51" s="1">
        <v>13</v>
      </c>
      <c r="J51" s="1" t="s">
        <v>163</v>
      </c>
      <c r="N51" s="1" t="s">
        <v>140</v>
      </c>
      <c r="P51" s="1" t="s">
        <v>141</v>
      </c>
      <c r="Q51" s="1" t="s">
        <v>150</v>
      </c>
      <c r="R51" s="1" t="s">
        <v>175</v>
      </c>
      <c r="U51" s="1">
        <v>-3</v>
      </c>
      <c r="V51" s="1">
        <v>60</v>
      </c>
      <c r="W51" s="1">
        <v>30217</v>
      </c>
      <c r="X51" s="1">
        <v>45795</v>
      </c>
      <c r="AK51" s="7"/>
      <c r="AL51" s="7"/>
    </row>
    <row r="52" spans="1:38" x14ac:dyDescent="0.35">
      <c r="A52" s="7">
        <v>2</v>
      </c>
      <c r="B52" s="14">
        <v>0.38194444444444442</v>
      </c>
      <c r="C52" s="21" t="s">
        <v>131</v>
      </c>
      <c r="D52" s="1" t="s">
        <v>132</v>
      </c>
      <c r="E52" s="1">
        <v>23</v>
      </c>
      <c r="F52" s="1" t="s">
        <v>144</v>
      </c>
      <c r="G52" s="1">
        <v>19</v>
      </c>
      <c r="J52" s="1" t="s">
        <v>138</v>
      </c>
      <c r="M52" s="1" t="s">
        <v>140</v>
      </c>
      <c r="N52" s="1" t="s">
        <v>140</v>
      </c>
      <c r="P52" s="1" t="s">
        <v>135</v>
      </c>
      <c r="Q52" s="1" t="s">
        <v>136</v>
      </c>
      <c r="U52" s="1">
        <v>-3</v>
      </c>
      <c r="V52" s="1">
        <v>60</v>
      </c>
      <c r="W52" s="1">
        <v>30217</v>
      </c>
      <c r="X52" s="1">
        <v>45795</v>
      </c>
      <c r="AK52" s="7"/>
      <c r="AL52" s="7"/>
    </row>
    <row r="53" spans="1:38" x14ac:dyDescent="0.35">
      <c r="A53" s="7">
        <v>2</v>
      </c>
      <c r="B53" s="14">
        <v>0.37708333333333333</v>
      </c>
      <c r="C53" s="21" t="s">
        <v>131</v>
      </c>
      <c r="D53" s="1" t="s">
        <v>132</v>
      </c>
      <c r="E53" s="1">
        <v>9</v>
      </c>
      <c r="F53" s="1" t="s">
        <v>144</v>
      </c>
      <c r="G53" s="1">
        <v>23</v>
      </c>
      <c r="H53" s="1">
        <v>5</v>
      </c>
      <c r="J53" s="1" t="s">
        <v>176</v>
      </c>
      <c r="K53" s="1" t="s">
        <v>155</v>
      </c>
      <c r="M53" s="1" t="s">
        <v>140</v>
      </c>
      <c r="N53" s="1" t="s">
        <v>140</v>
      </c>
      <c r="P53" s="1" t="s">
        <v>166</v>
      </c>
      <c r="Q53" s="1" t="s">
        <v>136</v>
      </c>
      <c r="U53" s="1">
        <v>-3</v>
      </c>
      <c r="V53" s="1">
        <v>60</v>
      </c>
      <c r="W53" s="1">
        <v>30217</v>
      </c>
      <c r="X53" s="1">
        <v>45795</v>
      </c>
      <c r="AK53" s="7"/>
      <c r="AL53" s="7"/>
    </row>
    <row r="54" spans="1:38" x14ac:dyDescent="0.35">
      <c r="A54" s="2">
        <v>2</v>
      </c>
      <c r="B54" s="15">
        <v>0.37430555555555556</v>
      </c>
      <c r="C54" s="21" t="s">
        <v>131</v>
      </c>
      <c r="D54" s="1" t="s">
        <v>132</v>
      </c>
      <c r="E54" s="1">
        <v>63</v>
      </c>
      <c r="F54" s="1" t="s">
        <v>141</v>
      </c>
      <c r="M54" s="1" t="s">
        <v>140</v>
      </c>
      <c r="N54" s="1" t="s">
        <v>140</v>
      </c>
      <c r="P54" s="1" t="s">
        <v>166</v>
      </c>
      <c r="Q54" s="1" t="s">
        <v>136</v>
      </c>
      <c r="U54" s="1">
        <v>-3</v>
      </c>
      <c r="V54" s="1">
        <v>60</v>
      </c>
      <c r="W54" s="1">
        <v>30217</v>
      </c>
      <c r="X54" s="1">
        <v>45795</v>
      </c>
      <c r="AK54" s="7"/>
      <c r="AL54" s="7"/>
    </row>
    <row r="55" spans="1:38" x14ac:dyDescent="0.35">
      <c r="A55" s="7">
        <v>2</v>
      </c>
      <c r="B55" s="15">
        <v>0.36180555555555555</v>
      </c>
      <c r="C55" s="21" t="s">
        <v>131</v>
      </c>
      <c r="D55" s="1" t="s">
        <v>132</v>
      </c>
      <c r="E55" s="1">
        <v>9</v>
      </c>
      <c r="F55" s="1" t="s">
        <v>144</v>
      </c>
      <c r="G55" s="1">
        <v>23</v>
      </c>
      <c r="H55" s="1">
        <v>63</v>
      </c>
      <c r="J55" s="1" t="s">
        <v>153</v>
      </c>
      <c r="K55" s="1" t="s">
        <v>147</v>
      </c>
      <c r="M55" s="1" t="s">
        <v>140</v>
      </c>
      <c r="P55" s="1" t="s">
        <v>166</v>
      </c>
      <c r="Q55" s="1" t="s">
        <v>136</v>
      </c>
      <c r="U55" s="1">
        <v>-3</v>
      </c>
      <c r="V55" s="1">
        <v>60</v>
      </c>
      <c r="W55" s="1">
        <v>30217</v>
      </c>
      <c r="X55" s="1">
        <v>45795</v>
      </c>
      <c r="AK55" s="7"/>
      <c r="AL55" s="7"/>
    </row>
    <row r="56" spans="1:38" x14ac:dyDescent="0.35">
      <c r="A56" s="7">
        <v>2</v>
      </c>
      <c r="B56" s="15">
        <v>0.35</v>
      </c>
      <c r="C56" s="21" t="s">
        <v>131</v>
      </c>
      <c r="D56" s="1" t="s">
        <v>132</v>
      </c>
      <c r="E56" s="1">
        <v>15</v>
      </c>
      <c r="F56" s="1" t="s">
        <v>144</v>
      </c>
      <c r="G56" s="1">
        <v>63</v>
      </c>
      <c r="J56" s="1" t="s">
        <v>154</v>
      </c>
      <c r="N56" s="1" t="s">
        <v>140</v>
      </c>
      <c r="O56" s="1" t="s">
        <v>140</v>
      </c>
      <c r="P56" s="1" t="s">
        <v>166</v>
      </c>
      <c r="Q56" s="1" t="s">
        <v>136</v>
      </c>
      <c r="U56" s="1">
        <v>-3</v>
      </c>
      <c r="V56" s="1">
        <v>60</v>
      </c>
      <c r="W56" s="1">
        <v>30217</v>
      </c>
      <c r="X56" s="1">
        <v>45795</v>
      </c>
      <c r="AK56" s="7"/>
      <c r="AL56" s="7"/>
    </row>
    <row r="57" spans="1:38" x14ac:dyDescent="0.35">
      <c r="A57" s="7">
        <v>2</v>
      </c>
      <c r="B57" s="14">
        <v>0.34861111111111109</v>
      </c>
      <c r="C57" s="21" t="s">
        <v>131</v>
      </c>
      <c r="D57" s="1" t="s">
        <v>132</v>
      </c>
      <c r="E57" s="1">
        <v>27</v>
      </c>
      <c r="F57" s="1" t="s">
        <v>141</v>
      </c>
      <c r="N57" s="1" t="s">
        <v>140</v>
      </c>
      <c r="P57" s="1" t="s">
        <v>166</v>
      </c>
      <c r="Q57" s="1" t="s">
        <v>136</v>
      </c>
      <c r="U57" s="1">
        <v>-3</v>
      </c>
      <c r="V57" s="1">
        <v>60</v>
      </c>
      <c r="W57" s="1">
        <v>30217</v>
      </c>
      <c r="X57" s="1">
        <v>45795</v>
      </c>
      <c r="AK57" s="7"/>
      <c r="AL57" s="7"/>
    </row>
    <row r="58" spans="1:38" x14ac:dyDescent="0.35">
      <c r="A58" s="7">
        <v>2</v>
      </c>
      <c r="B58" s="14">
        <v>0.2902777777777778</v>
      </c>
      <c r="C58" s="21" t="s">
        <v>131</v>
      </c>
      <c r="D58" s="1" t="s">
        <v>132</v>
      </c>
      <c r="E58" s="1">
        <v>88</v>
      </c>
      <c r="F58" s="1" t="s">
        <v>144</v>
      </c>
      <c r="G58" s="1">
        <v>23</v>
      </c>
      <c r="H58" s="1">
        <v>9</v>
      </c>
      <c r="J58" s="1" t="s">
        <v>157</v>
      </c>
      <c r="K58" s="1" t="s">
        <v>154</v>
      </c>
      <c r="N58" s="1" t="s">
        <v>140</v>
      </c>
      <c r="O58" s="1" t="s">
        <v>140</v>
      </c>
      <c r="P58" s="1" t="s">
        <v>166</v>
      </c>
      <c r="Q58" s="1" t="s">
        <v>136</v>
      </c>
      <c r="U58" s="1">
        <v>-3</v>
      </c>
      <c r="V58" s="1">
        <v>60</v>
      </c>
      <c r="W58" s="1">
        <v>30217</v>
      </c>
      <c r="X58" s="1">
        <v>45795</v>
      </c>
      <c r="AK58" s="7"/>
      <c r="AL58" s="7"/>
    </row>
    <row r="59" spans="1:38" x14ac:dyDescent="0.35">
      <c r="A59" s="2">
        <v>2</v>
      </c>
      <c r="B59" s="15">
        <v>0.28263888888888888</v>
      </c>
      <c r="C59" s="21" t="s">
        <v>131</v>
      </c>
      <c r="D59" s="1" t="s">
        <v>159</v>
      </c>
      <c r="E59" s="1">
        <v>91</v>
      </c>
      <c r="F59" s="1" t="s">
        <v>152</v>
      </c>
      <c r="G59" s="1">
        <v>44</v>
      </c>
      <c r="J59" s="1" t="s">
        <v>154</v>
      </c>
      <c r="N59" s="1" t="s">
        <v>140</v>
      </c>
      <c r="P59" s="1" t="s">
        <v>141</v>
      </c>
      <c r="Q59" s="1" t="s">
        <v>142</v>
      </c>
      <c r="R59" s="1" t="s">
        <v>161</v>
      </c>
      <c r="U59" s="1">
        <v>-3</v>
      </c>
      <c r="V59" s="1">
        <v>72</v>
      </c>
      <c r="W59" s="1">
        <v>30217</v>
      </c>
      <c r="X59" s="1">
        <v>45795</v>
      </c>
      <c r="AK59" s="7"/>
      <c r="AL59" s="7"/>
    </row>
    <row r="60" spans="1:38" x14ac:dyDescent="0.35">
      <c r="A60" s="2">
        <v>2</v>
      </c>
      <c r="B60" s="15">
        <v>0.20902777777777778</v>
      </c>
      <c r="C60" s="21" t="s">
        <v>131</v>
      </c>
      <c r="D60" s="1" t="s">
        <v>132</v>
      </c>
      <c r="E60" s="1">
        <v>3</v>
      </c>
      <c r="F60" s="1" t="s">
        <v>137</v>
      </c>
      <c r="M60" s="1" t="s">
        <v>134</v>
      </c>
      <c r="N60" s="1" t="s">
        <v>134</v>
      </c>
      <c r="P60" s="1" t="s">
        <v>141</v>
      </c>
      <c r="Q60" s="1" t="s">
        <v>150</v>
      </c>
      <c r="R60" s="1" t="s">
        <v>151</v>
      </c>
      <c r="U60" s="1">
        <v>-3</v>
      </c>
      <c r="V60" s="1">
        <v>60</v>
      </c>
      <c r="W60" s="1">
        <v>30217</v>
      </c>
      <c r="X60" s="1">
        <v>45795</v>
      </c>
      <c r="AK60" s="7"/>
      <c r="AL60" s="7"/>
    </row>
    <row r="61" spans="1:38" x14ac:dyDescent="0.35">
      <c r="A61" s="2">
        <v>2</v>
      </c>
      <c r="B61" s="15">
        <v>0.1875</v>
      </c>
      <c r="C61" s="21" t="s">
        <v>131</v>
      </c>
      <c r="D61" s="1" t="s">
        <v>132</v>
      </c>
      <c r="E61" s="1">
        <v>5</v>
      </c>
      <c r="F61" s="1" t="s">
        <v>173</v>
      </c>
      <c r="G61" s="1">
        <v>19</v>
      </c>
      <c r="H61" s="1">
        <v>23</v>
      </c>
      <c r="J61" s="1" t="s">
        <v>157</v>
      </c>
      <c r="K61" s="1" t="s">
        <v>149</v>
      </c>
      <c r="N61" s="1" t="s">
        <v>140</v>
      </c>
      <c r="P61" s="1" t="s">
        <v>141</v>
      </c>
      <c r="Q61" s="1" t="s">
        <v>150</v>
      </c>
      <c r="R61" s="1" t="s">
        <v>151</v>
      </c>
      <c r="U61" s="1">
        <v>-3</v>
      </c>
      <c r="V61" s="1">
        <v>60</v>
      </c>
      <c r="W61" s="1">
        <v>30217</v>
      </c>
      <c r="X61" s="1">
        <v>45795</v>
      </c>
      <c r="AK61" s="7"/>
      <c r="AL61" s="7"/>
    </row>
    <row r="62" spans="1:38" x14ac:dyDescent="0.35">
      <c r="A62" s="2">
        <v>2</v>
      </c>
      <c r="B62" s="15">
        <v>0.18611111111111112</v>
      </c>
      <c r="C62" s="21" t="s">
        <v>131</v>
      </c>
      <c r="D62" s="1" t="s">
        <v>132</v>
      </c>
      <c r="E62" s="1">
        <v>42</v>
      </c>
      <c r="F62" s="1" t="s">
        <v>153</v>
      </c>
      <c r="N62" s="1" t="s">
        <v>140</v>
      </c>
      <c r="P62" s="1" t="s">
        <v>135</v>
      </c>
      <c r="Q62" s="1" t="s">
        <v>136</v>
      </c>
      <c r="U62" s="1">
        <v>-3</v>
      </c>
      <c r="V62" s="1">
        <v>60</v>
      </c>
      <c r="W62" s="1">
        <v>30217</v>
      </c>
      <c r="X62" s="1">
        <v>45795</v>
      </c>
      <c r="AK62" s="7"/>
      <c r="AL62" s="7"/>
    </row>
    <row r="63" spans="1:38" x14ac:dyDescent="0.35">
      <c r="A63" s="2">
        <v>2</v>
      </c>
      <c r="B63" s="15">
        <v>0.1736111111111111</v>
      </c>
      <c r="C63" s="21" t="s">
        <v>131</v>
      </c>
      <c r="D63" s="1" t="s">
        <v>132</v>
      </c>
      <c r="E63" s="1">
        <v>42</v>
      </c>
      <c r="F63" s="1" t="s">
        <v>137</v>
      </c>
      <c r="G63" s="1">
        <v>5</v>
      </c>
      <c r="H63" s="1">
        <v>19</v>
      </c>
      <c r="J63" s="1" t="s">
        <v>155</v>
      </c>
      <c r="K63" s="1" t="s">
        <v>157</v>
      </c>
      <c r="M63" s="1" t="s">
        <v>140</v>
      </c>
      <c r="N63" s="1" t="s">
        <v>140</v>
      </c>
      <c r="P63" s="1" t="s">
        <v>166</v>
      </c>
      <c r="Q63" s="1" t="s">
        <v>136</v>
      </c>
      <c r="U63" s="1">
        <v>-3</v>
      </c>
      <c r="V63" s="1">
        <v>60</v>
      </c>
      <c r="W63" s="1">
        <v>30217</v>
      </c>
      <c r="X63" s="1">
        <v>45795</v>
      </c>
      <c r="AK63" s="7"/>
      <c r="AL63" s="7"/>
    </row>
    <row r="64" spans="1:38" x14ac:dyDescent="0.35">
      <c r="A64" s="2">
        <v>2</v>
      </c>
      <c r="B64" s="15">
        <v>0.16666666666666666</v>
      </c>
      <c r="C64" s="21" t="s">
        <v>131</v>
      </c>
      <c r="D64" s="1" t="s">
        <v>132</v>
      </c>
      <c r="E64" s="1">
        <v>42</v>
      </c>
      <c r="F64" s="1" t="s">
        <v>146</v>
      </c>
      <c r="G64" s="1">
        <v>63</v>
      </c>
      <c r="H64" s="1">
        <v>23</v>
      </c>
      <c r="J64" s="1" t="s">
        <v>145</v>
      </c>
      <c r="K64" s="1" t="s">
        <v>154</v>
      </c>
      <c r="N64" s="1" t="s">
        <v>134</v>
      </c>
      <c r="P64" s="1" t="s">
        <v>166</v>
      </c>
      <c r="Q64" s="1" t="s">
        <v>136</v>
      </c>
      <c r="U64" s="1">
        <v>-3</v>
      </c>
      <c r="V64" s="1">
        <v>60</v>
      </c>
      <c r="W64" s="1">
        <v>30217</v>
      </c>
      <c r="X64" s="1">
        <v>45795</v>
      </c>
      <c r="AK64" s="7"/>
      <c r="AL64" s="7"/>
    </row>
    <row r="65" spans="1:38" x14ac:dyDescent="0.35">
      <c r="A65" s="2">
        <v>2</v>
      </c>
      <c r="B65" s="15">
        <v>0.14861111111111111</v>
      </c>
      <c r="C65" s="21" t="s">
        <v>131</v>
      </c>
      <c r="D65" s="1" t="s">
        <v>132</v>
      </c>
      <c r="E65" s="1">
        <v>63</v>
      </c>
      <c r="F65" s="1" t="s">
        <v>144</v>
      </c>
      <c r="N65" s="1" t="s">
        <v>140</v>
      </c>
      <c r="P65" s="1" t="s">
        <v>166</v>
      </c>
      <c r="Q65" s="1" t="s">
        <v>136</v>
      </c>
      <c r="U65" s="1">
        <v>-3</v>
      </c>
      <c r="V65" s="1">
        <v>60</v>
      </c>
      <c r="W65" s="1">
        <v>30217</v>
      </c>
      <c r="X65" s="1">
        <v>45795</v>
      </c>
      <c r="AK65" s="7"/>
      <c r="AL65" s="7"/>
    </row>
    <row r="66" spans="1:38" x14ac:dyDescent="0.35">
      <c r="A66" s="2">
        <v>2</v>
      </c>
      <c r="B66" s="15">
        <v>0.14583333333333334</v>
      </c>
      <c r="C66" s="21" t="s">
        <v>131</v>
      </c>
      <c r="D66" s="1" t="s">
        <v>132</v>
      </c>
      <c r="E66" s="1">
        <v>3</v>
      </c>
      <c r="F66" s="1" t="s">
        <v>144</v>
      </c>
      <c r="G66" s="1">
        <v>13</v>
      </c>
      <c r="J66" s="1" t="s">
        <v>177</v>
      </c>
      <c r="N66" s="1" t="s">
        <v>140</v>
      </c>
      <c r="Q66" s="1" t="s">
        <v>136</v>
      </c>
      <c r="R66" s="1" t="s">
        <v>156</v>
      </c>
      <c r="U66" s="1">
        <v>-3</v>
      </c>
      <c r="V66" s="1">
        <v>60</v>
      </c>
      <c r="W66" s="1">
        <v>30217</v>
      </c>
      <c r="X66" s="1">
        <v>45795</v>
      </c>
      <c r="AK66" s="7"/>
      <c r="AL66" s="7"/>
    </row>
    <row r="67" spans="1:38" x14ac:dyDescent="0.35">
      <c r="A67" s="2">
        <v>2</v>
      </c>
      <c r="B67" s="15">
        <v>0.11597222222222223</v>
      </c>
      <c r="C67" s="23" t="s">
        <v>131</v>
      </c>
      <c r="D67" s="1" t="s">
        <v>159</v>
      </c>
      <c r="E67" s="1">
        <v>16</v>
      </c>
      <c r="F67" s="1" t="s">
        <v>144</v>
      </c>
      <c r="G67" s="1">
        <v>11</v>
      </c>
      <c r="J67" s="1" t="s">
        <v>149</v>
      </c>
      <c r="N67" s="1" t="s">
        <v>140</v>
      </c>
      <c r="P67" s="1" t="s">
        <v>166</v>
      </c>
      <c r="Q67" s="1" t="s">
        <v>150</v>
      </c>
      <c r="R67" s="1" t="s">
        <v>164</v>
      </c>
      <c r="U67" s="1">
        <v>-3</v>
      </c>
      <c r="V67" s="1">
        <v>72</v>
      </c>
      <c r="W67" s="1">
        <v>30217</v>
      </c>
      <c r="X67" s="1">
        <v>45795</v>
      </c>
      <c r="AK67" s="7"/>
      <c r="AL67" s="7"/>
    </row>
    <row r="68" spans="1:38" x14ac:dyDescent="0.35">
      <c r="A68" s="2">
        <v>2</v>
      </c>
      <c r="B68" s="15">
        <v>2.1527777777777778E-2</v>
      </c>
      <c r="C68" s="21" t="s">
        <v>131</v>
      </c>
      <c r="D68" s="1" t="s">
        <v>159</v>
      </c>
      <c r="E68" s="1">
        <v>22</v>
      </c>
      <c r="F68" s="1" t="s">
        <v>144</v>
      </c>
      <c r="G68" s="1">
        <v>11</v>
      </c>
      <c r="J68" s="1" t="s">
        <v>158</v>
      </c>
      <c r="N68" s="1" t="s">
        <v>140</v>
      </c>
      <c r="P68" s="1" t="s">
        <v>141</v>
      </c>
      <c r="Q68" s="1" t="s">
        <v>142</v>
      </c>
      <c r="R68" s="1" t="s">
        <v>143</v>
      </c>
      <c r="U68" s="1">
        <v>-3</v>
      </c>
      <c r="V68" s="1">
        <v>72</v>
      </c>
      <c r="W68" s="1">
        <v>30217</v>
      </c>
      <c r="X68" s="1">
        <v>45795</v>
      </c>
      <c r="AK68" s="7"/>
      <c r="AL68" s="7"/>
    </row>
    <row r="69" spans="1:38" x14ac:dyDescent="0.35">
      <c r="A69" s="2">
        <v>3</v>
      </c>
      <c r="B69" s="15">
        <v>0.74513888888888891</v>
      </c>
      <c r="C69" s="21" t="s">
        <v>131</v>
      </c>
      <c r="D69" s="1" t="s">
        <v>159</v>
      </c>
      <c r="E69" s="1">
        <v>11</v>
      </c>
      <c r="F69" s="1" t="s">
        <v>144</v>
      </c>
      <c r="G69" s="1">
        <v>74</v>
      </c>
      <c r="J69" s="1" t="s">
        <v>163</v>
      </c>
      <c r="M69" s="1" t="s">
        <v>140</v>
      </c>
      <c r="N69" s="1" t="s">
        <v>140</v>
      </c>
      <c r="P69" s="1" t="s">
        <v>141</v>
      </c>
      <c r="Q69" s="1" t="s">
        <v>150</v>
      </c>
      <c r="R69" s="1" t="s">
        <v>151</v>
      </c>
      <c r="T69" s="1" t="s">
        <v>140</v>
      </c>
      <c r="U69" s="1">
        <v>-3</v>
      </c>
      <c r="V69" s="1">
        <v>72</v>
      </c>
      <c r="W69" s="1">
        <v>30217</v>
      </c>
      <c r="X69" s="1">
        <v>45795</v>
      </c>
      <c r="AK69" s="7"/>
      <c r="AL69" s="7"/>
    </row>
    <row r="70" spans="1:38" x14ac:dyDescent="0.35">
      <c r="A70" s="2">
        <v>3</v>
      </c>
      <c r="B70" s="15">
        <v>0.71250000000000002</v>
      </c>
      <c r="C70" s="21" t="s">
        <v>131</v>
      </c>
      <c r="D70" s="1" t="s">
        <v>132</v>
      </c>
      <c r="E70" s="1">
        <v>27</v>
      </c>
      <c r="F70" s="1" t="s">
        <v>178</v>
      </c>
      <c r="G70" s="1">
        <v>63</v>
      </c>
      <c r="J70" s="1" t="s">
        <v>154</v>
      </c>
      <c r="M70" s="1" t="s">
        <v>134</v>
      </c>
      <c r="N70" s="1" t="s">
        <v>134</v>
      </c>
      <c r="P70" s="1" t="s">
        <v>135</v>
      </c>
      <c r="Q70" s="1" t="s">
        <v>136</v>
      </c>
      <c r="T70" s="1" t="s">
        <v>134</v>
      </c>
      <c r="U70" s="1">
        <v>-2</v>
      </c>
      <c r="V70" s="1">
        <v>60</v>
      </c>
      <c r="W70" s="1">
        <v>30217</v>
      </c>
      <c r="X70" s="1">
        <v>45795</v>
      </c>
      <c r="AK70" s="7"/>
      <c r="AL70" s="7"/>
    </row>
    <row r="71" spans="1:38" x14ac:dyDescent="0.35">
      <c r="A71" s="2">
        <v>3</v>
      </c>
      <c r="B71" s="15">
        <v>0.63749999999999996</v>
      </c>
      <c r="C71" s="21" t="s">
        <v>131</v>
      </c>
      <c r="D71" s="1" t="s">
        <v>132</v>
      </c>
      <c r="E71" s="1">
        <v>92</v>
      </c>
      <c r="F71" s="1" t="s">
        <v>144</v>
      </c>
      <c r="G71" s="1">
        <v>63</v>
      </c>
      <c r="J71" s="1" t="s">
        <v>163</v>
      </c>
      <c r="N71" s="1" t="s">
        <v>140</v>
      </c>
      <c r="P71" s="1" t="s">
        <v>141</v>
      </c>
      <c r="Q71" s="1" t="s">
        <v>150</v>
      </c>
      <c r="R71" s="1" t="s">
        <v>151</v>
      </c>
      <c r="U71" s="1">
        <v>-3</v>
      </c>
      <c r="V71" s="1">
        <v>60</v>
      </c>
      <c r="W71" s="1">
        <v>30217</v>
      </c>
      <c r="X71" s="1">
        <v>45795</v>
      </c>
      <c r="AK71" s="7"/>
      <c r="AL71" s="7"/>
    </row>
    <row r="72" spans="1:38" x14ac:dyDescent="0.35">
      <c r="A72" s="2">
        <v>3</v>
      </c>
      <c r="B72" s="15">
        <v>0.55902777777777779</v>
      </c>
      <c r="C72" s="21" t="s">
        <v>131</v>
      </c>
      <c r="D72" s="1" t="s">
        <v>132</v>
      </c>
      <c r="E72" s="1">
        <v>7</v>
      </c>
      <c r="F72" s="1" t="s">
        <v>153</v>
      </c>
      <c r="N72" s="1" t="s">
        <v>140</v>
      </c>
      <c r="P72" s="1" t="s">
        <v>135</v>
      </c>
      <c r="Q72" s="1" t="s">
        <v>136</v>
      </c>
      <c r="U72" s="1">
        <v>-3</v>
      </c>
      <c r="V72" s="1">
        <v>60</v>
      </c>
      <c r="W72" s="1">
        <v>30217</v>
      </c>
      <c r="X72" s="1">
        <v>45795</v>
      </c>
      <c r="AK72" s="7"/>
      <c r="AL72" s="7"/>
    </row>
    <row r="73" spans="1:38" x14ac:dyDescent="0.35">
      <c r="A73" s="2">
        <v>3</v>
      </c>
      <c r="B73" s="15">
        <v>0.48125000000000001</v>
      </c>
      <c r="C73" s="21" t="s">
        <v>131</v>
      </c>
      <c r="D73" s="1" t="s">
        <v>159</v>
      </c>
      <c r="E73" s="1">
        <v>19</v>
      </c>
      <c r="F73" s="1" t="s">
        <v>160</v>
      </c>
      <c r="G73" s="1">
        <v>25</v>
      </c>
      <c r="H73" s="1">
        <v>44</v>
      </c>
      <c r="I73" s="1">
        <v>18</v>
      </c>
      <c r="J73" s="1" t="s">
        <v>153</v>
      </c>
      <c r="K73" s="1" t="s">
        <v>154</v>
      </c>
      <c r="L73" s="1" t="s">
        <v>145</v>
      </c>
      <c r="P73" s="1" t="s">
        <v>135</v>
      </c>
      <c r="Q73" s="1" t="s">
        <v>136</v>
      </c>
      <c r="U73" s="1">
        <v>-3</v>
      </c>
      <c r="V73" s="1">
        <v>72</v>
      </c>
      <c r="W73" s="1">
        <v>30217</v>
      </c>
      <c r="X73" s="1">
        <v>45795</v>
      </c>
      <c r="AK73" s="7"/>
      <c r="AL73" s="7"/>
    </row>
    <row r="74" spans="1:38" x14ac:dyDescent="0.35">
      <c r="A74" s="2">
        <v>3</v>
      </c>
      <c r="B74" s="15">
        <v>0.46180555555555558</v>
      </c>
      <c r="C74" s="21" t="s">
        <v>131</v>
      </c>
      <c r="D74" s="1" t="s">
        <v>159</v>
      </c>
      <c r="E74" s="1">
        <v>44</v>
      </c>
      <c r="F74" s="1" t="s">
        <v>144</v>
      </c>
      <c r="G74" s="1">
        <v>74</v>
      </c>
      <c r="H74" s="1">
        <v>88</v>
      </c>
      <c r="J74" s="1" t="s">
        <v>145</v>
      </c>
      <c r="K74" s="1" t="s">
        <v>155</v>
      </c>
      <c r="P74" s="1" t="s">
        <v>166</v>
      </c>
      <c r="Q74" s="1" t="s">
        <v>150</v>
      </c>
      <c r="R74" s="1" t="s">
        <v>164</v>
      </c>
      <c r="U74" s="1">
        <v>-3</v>
      </c>
      <c r="V74" s="1">
        <v>72</v>
      </c>
      <c r="W74" s="1">
        <v>30217</v>
      </c>
      <c r="X74" s="1">
        <v>45795</v>
      </c>
      <c r="AK74" s="7"/>
      <c r="AL74" s="7"/>
    </row>
    <row r="75" spans="1:38" x14ac:dyDescent="0.35">
      <c r="A75" s="2">
        <v>3</v>
      </c>
      <c r="B75" s="15">
        <v>0.44097222222222221</v>
      </c>
      <c r="C75" s="21" t="s">
        <v>131</v>
      </c>
      <c r="D75" s="1" t="s">
        <v>132</v>
      </c>
      <c r="E75" s="1">
        <v>13</v>
      </c>
      <c r="F75" s="1" t="s">
        <v>144</v>
      </c>
      <c r="G75" s="1">
        <v>16</v>
      </c>
      <c r="J75" s="1" t="s">
        <v>179</v>
      </c>
      <c r="M75" s="1" t="s">
        <v>140</v>
      </c>
      <c r="N75" s="1" t="s">
        <v>140</v>
      </c>
      <c r="O75" s="1" t="s">
        <v>140</v>
      </c>
      <c r="Q75" s="1" t="s">
        <v>136</v>
      </c>
      <c r="R75" s="1" t="s">
        <v>156</v>
      </c>
      <c r="T75" s="1" t="s">
        <v>140</v>
      </c>
      <c r="U75" s="1">
        <v>-3</v>
      </c>
      <c r="V75" s="1">
        <v>60</v>
      </c>
      <c r="W75" s="1">
        <v>30217</v>
      </c>
      <c r="X75" s="1">
        <v>45795</v>
      </c>
      <c r="AK75" s="7"/>
      <c r="AL75" s="7"/>
    </row>
    <row r="76" spans="1:38" x14ac:dyDescent="0.35">
      <c r="A76" s="2">
        <v>3</v>
      </c>
      <c r="B76" s="15">
        <v>0.41388888888888886</v>
      </c>
      <c r="C76" s="21" t="s">
        <v>131</v>
      </c>
      <c r="D76" s="1" t="s">
        <v>159</v>
      </c>
      <c r="E76" s="1">
        <v>2</v>
      </c>
      <c r="F76" s="1" t="s">
        <v>173</v>
      </c>
      <c r="G76" s="1">
        <v>67</v>
      </c>
      <c r="H76" s="1">
        <v>23</v>
      </c>
      <c r="J76" s="1" t="s">
        <v>145</v>
      </c>
      <c r="K76" s="1" t="s">
        <v>154</v>
      </c>
      <c r="N76" s="1" t="s">
        <v>140</v>
      </c>
      <c r="P76" s="1" t="s">
        <v>141</v>
      </c>
      <c r="Q76" s="1" t="s">
        <v>142</v>
      </c>
      <c r="R76" s="1" t="s">
        <v>180</v>
      </c>
      <c r="U76" s="1">
        <v>-4</v>
      </c>
      <c r="V76" s="1">
        <v>72</v>
      </c>
      <c r="W76" s="1">
        <v>30217</v>
      </c>
      <c r="X76" s="1">
        <v>45795</v>
      </c>
      <c r="AK76" s="7"/>
      <c r="AL76" s="7"/>
    </row>
    <row r="77" spans="1:38" x14ac:dyDescent="0.35">
      <c r="A77" s="2">
        <v>3</v>
      </c>
      <c r="B77" s="15">
        <v>0.39652777777777776</v>
      </c>
      <c r="C77" s="21" t="s">
        <v>131</v>
      </c>
      <c r="D77" s="1" t="s">
        <v>159</v>
      </c>
      <c r="E77" s="1">
        <v>22</v>
      </c>
      <c r="F77" s="1" t="s">
        <v>144</v>
      </c>
      <c r="N77" s="1" t="s">
        <v>140</v>
      </c>
      <c r="P77" s="1" t="s">
        <v>135</v>
      </c>
      <c r="Q77" s="1" t="s">
        <v>136</v>
      </c>
      <c r="U77" s="1">
        <v>-4</v>
      </c>
      <c r="V77" s="1">
        <v>72</v>
      </c>
      <c r="W77" s="1">
        <v>30217</v>
      </c>
      <c r="X77" s="1">
        <v>45795</v>
      </c>
      <c r="AK77" s="7"/>
      <c r="AL77" s="7"/>
    </row>
    <row r="78" spans="1:38" x14ac:dyDescent="0.35">
      <c r="A78" s="2">
        <v>3</v>
      </c>
      <c r="B78" s="15">
        <v>0.36736111111111114</v>
      </c>
      <c r="C78" s="21" t="s">
        <v>131</v>
      </c>
      <c r="D78" s="1" t="s">
        <v>132</v>
      </c>
      <c r="E78" s="1">
        <v>9</v>
      </c>
      <c r="F78" s="1" t="s">
        <v>160</v>
      </c>
      <c r="N78" s="1" t="s">
        <v>140</v>
      </c>
      <c r="P78" s="1" t="s">
        <v>141</v>
      </c>
      <c r="Q78" s="1" t="s">
        <v>150</v>
      </c>
      <c r="R78" s="1" t="s">
        <v>170</v>
      </c>
      <c r="U78" s="1">
        <v>-4</v>
      </c>
      <c r="V78" s="1">
        <v>60</v>
      </c>
      <c r="W78" s="1">
        <v>30217</v>
      </c>
      <c r="X78" s="1">
        <v>45795</v>
      </c>
      <c r="AK78" s="7"/>
      <c r="AL78" s="7"/>
    </row>
    <row r="79" spans="1:38" x14ac:dyDescent="0.35">
      <c r="A79" s="2">
        <v>3</v>
      </c>
      <c r="B79" s="15">
        <v>0.29583333333333334</v>
      </c>
      <c r="C79" s="21" t="s">
        <v>131</v>
      </c>
      <c r="D79" s="1" t="s">
        <v>159</v>
      </c>
      <c r="E79" s="1">
        <v>18</v>
      </c>
      <c r="F79" s="1" t="s">
        <v>144</v>
      </c>
      <c r="G79" s="1">
        <v>24</v>
      </c>
      <c r="H79" s="1">
        <v>18</v>
      </c>
      <c r="I79" s="1">
        <v>19</v>
      </c>
      <c r="J79" s="1" t="s">
        <v>154</v>
      </c>
      <c r="K79" s="1" t="s">
        <v>149</v>
      </c>
      <c r="L79" s="1" t="s">
        <v>172</v>
      </c>
      <c r="M79" s="1" t="s">
        <v>140</v>
      </c>
      <c r="N79" s="1" t="s">
        <v>140</v>
      </c>
      <c r="P79" s="1" t="s">
        <v>141</v>
      </c>
      <c r="Q79" s="1" t="s">
        <v>142</v>
      </c>
      <c r="R79" s="1" t="s">
        <v>143</v>
      </c>
      <c r="U79" s="1">
        <v>-4</v>
      </c>
      <c r="V79" s="1">
        <v>72</v>
      </c>
      <c r="W79" s="1">
        <v>30217</v>
      </c>
      <c r="X79" s="1">
        <v>45795</v>
      </c>
      <c r="AK79" s="7"/>
      <c r="AL79" s="7"/>
    </row>
    <row r="80" spans="1:38" x14ac:dyDescent="0.35">
      <c r="A80" s="2">
        <v>3</v>
      </c>
      <c r="B80" s="15">
        <v>0.25486111111111109</v>
      </c>
      <c r="C80" s="21" t="s">
        <v>131</v>
      </c>
      <c r="D80" s="1" t="s">
        <v>159</v>
      </c>
      <c r="E80" s="1">
        <v>44</v>
      </c>
      <c r="F80" s="1" t="s">
        <v>144</v>
      </c>
      <c r="G80" s="1">
        <v>8</v>
      </c>
      <c r="H80" s="1">
        <v>23</v>
      </c>
      <c r="J80" s="1" t="s">
        <v>155</v>
      </c>
      <c r="K80" s="1" t="s">
        <v>147</v>
      </c>
      <c r="P80" s="1" t="s">
        <v>135</v>
      </c>
      <c r="Q80" s="1" t="s">
        <v>136</v>
      </c>
      <c r="U80" s="1">
        <v>-4</v>
      </c>
      <c r="V80" s="1">
        <v>72</v>
      </c>
      <c r="W80" s="1">
        <v>30217</v>
      </c>
      <c r="X80" s="1">
        <v>45795</v>
      </c>
      <c r="AK80" s="7"/>
      <c r="AL80" s="7"/>
    </row>
    <row r="81" spans="1:38" x14ac:dyDescent="0.35">
      <c r="A81" s="2">
        <v>3</v>
      </c>
      <c r="B81" s="15">
        <v>0.25069444444444444</v>
      </c>
      <c r="C81" s="21" t="s">
        <v>131</v>
      </c>
      <c r="D81" s="1" t="s">
        <v>159</v>
      </c>
      <c r="E81" s="1">
        <v>16</v>
      </c>
      <c r="F81" s="1" t="s">
        <v>144</v>
      </c>
      <c r="P81" s="1" t="s">
        <v>135</v>
      </c>
      <c r="Q81" s="1" t="s">
        <v>136</v>
      </c>
      <c r="U81" s="1">
        <v>-4</v>
      </c>
      <c r="V81" s="1">
        <v>72</v>
      </c>
      <c r="W81" s="1">
        <v>30217</v>
      </c>
      <c r="X81" s="1">
        <v>45795</v>
      </c>
      <c r="AK81" s="7"/>
      <c r="AL81" s="7"/>
    </row>
    <row r="82" spans="1:38" x14ac:dyDescent="0.35">
      <c r="A82" s="2">
        <v>3</v>
      </c>
      <c r="B82" s="15">
        <v>0.21666666666666667</v>
      </c>
      <c r="C82" s="21" t="s">
        <v>131</v>
      </c>
      <c r="D82" s="1" t="s">
        <v>159</v>
      </c>
      <c r="E82" s="1">
        <v>74</v>
      </c>
      <c r="F82" s="1" t="s">
        <v>133</v>
      </c>
      <c r="G82" s="1">
        <v>11</v>
      </c>
      <c r="J82" s="1" t="s">
        <v>155</v>
      </c>
      <c r="M82" s="1" t="s">
        <v>134</v>
      </c>
      <c r="N82" s="1" t="s">
        <v>134</v>
      </c>
      <c r="P82" s="1" t="s">
        <v>135</v>
      </c>
      <c r="Q82" s="1" t="s">
        <v>136</v>
      </c>
      <c r="U82" s="1">
        <v>-4</v>
      </c>
      <c r="V82" s="1">
        <v>72</v>
      </c>
      <c r="W82" s="1">
        <v>30217</v>
      </c>
      <c r="X82" s="1">
        <v>45795</v>
      </c>
      <c r="AK82" s="7"/>
      <c r="AL82" s="7"/>
    </row>
    <row r="83" spans="1:38" x14ac:dyDescent="0.35">
      <c r="A83" s="2">
        <v>3</v>
      </c>
      <c r="B83" s="15">
        <v>0.20416666666666666</v>
      </c>
      <c r="C83" s="21" t="s">
        <v>131</v>
      </c>
      <c r="D83" s="1" t="s">
        <v>159</v>
      </c>
      <c r="E83" s="1">
        <v>34</v>
      </c>
      <c r="F83" s="1" t="s">
        <v>144</v>
      </c>
      <c r="G83" s="1">
        <v>2</v>
      </c>
      <c r="J83" s="1" t="s">
        <v>149</v>
      </c>
      <c r="N83" s="1" t="s">
        <v>140</v>
      </c>
      <c r="P83" s="1" t="s">
        <v>141</v>
      </c>
      <c r="Q83" s="1" t="s">
        <v>150</v>
      </c>
      <c r="R83" s="1" t="s">
        <v>164</v>
      </c>
      <c r="U83" s="1">
        <v>-4</v>
      </c>
      <c r="V83" s="1">
        <v>72</v>
      </c>
      <c r="W83" s="1">
        <v>30217</v>
      </c>
      <c r="X83" s="1">
        <v>45795</v>
      </c>
      <c r="AK83" s="7"/>
      <c r="AL83" s="7"/>
    </row>
    <row r="84" spans="1:38" x14ac:dyDescent="0.35">
      <c r="A84" s="2">
        <v>1</v>
      </c>
      <c r="B84" s="15">
        <v>0.82777777777777772</v>
      </c>
      <c r="C84" s="21" t="s">
        <v>131</v>
      </c>
      <c r="Y84" s="16" t="s">
        <v>181</v>
      </c>
      <c r="Z84" s="16" t="s">
        <v>182</v>
      </c>
      <c r="AA84" s="16" t="s">
        <v>183</v>
      </c>
      <c r="AC84" s="16" t="s">
        <v>184</v>
      </c>
      <c r="AD84" s="16" t="s">
        <v>183</v>
      </c>
      <c r="AE84" s="16" t="s">
        <v>134</v>
      </c>
      <c r="AF84" s="5" t="s">
        <v>185</v>
      </c>
      <c r="AG84" s="5" t="s">
        <v>186</v>
      </c>
      <c r="AH84" s="5" t="s">
        <v>182</v>
      </c>
      <c r="AI84" s="5" t="s">
        <v>187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0.81874999999999998</v>
      </c>
      <c r="C85" s="21" t="s">
        <v>131</v>
      </c>
      <c r="AF85" s="5" t="s">
        <v>187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0.80763888888888891</v>
      </c>
      <c r="C86" s="21" t="s">
        <v>131</v>
      </c>
      <c r="Y86" s="16" t="s">
        <v>181</v>
      </c>
      <c r="Z86" s="16" t="s">
        <v>190</v>
      </c>
      <c r="AA86" s="16" t="s">
        <v>183</v>
      </c>
      <c r="AC86" s="16" t="s">
        <v>191</v>
      </c>
      <c r="AD86" s="16" t="s">
        <v>183</v>
      </c>
      <c r="AE86" s="16" t="s">
        <v>183</v>
      </c>
      <c r="AF86" s="5" t="s">
        <v>192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0.80347222222222225</v>
      </c>
      <c r="C87" s="21" t="s">
        <v>131</v>
      </c>
      <c r="Y87" s="16" t="s">
        <v>193</v>
      </c>
      <c r="Z87" s="16" t="s">
        <v>194</v>
      </c>
      <c r="AA87" s="16" t="s">
        <v>195</v>
      </c>
      <c r="AB87" s="16" t="s">
        <v>183</v>
      </c>
      <c r="AC87" s="16" t="s">
        <v>191</v>
      </c>
      <c r="AD87" s="16" t="s">
        <v>183</v>
      </c>
      <c r="AE87" s="16" t="s">
        <v>183</v>
      </c>
      <c r="AF87" s="5" t="s">
        <v>196</v>
      </c>
      <c r="AG87" s="5" t="s">
        <v>186</v>
      </c>
      <c r="AH87" s="5" t="s">
        <v>183</v>
      </c>
      <c r="AI87" s="5" t="s">
        <v>197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0.79722222222222228</v>
      </c>
      <c r="C88" s="21" t="s">
        <v>131</v>
      </c>
      <c r="Y88" s="16" t="s">
        <v>193</v>
      </c>
      <c r="Z88" s="16" t="s">
        <v>197</v>
      </c>
      <c r="AA88" s="16" t="s">
        <v>199</v>
      </c>
      <c r="AB88" s="16" t="s">
        <v>134</v>
      </c>
      <c r="AC88" s="16" t="s">
        <v>191</v>
      </c>
      <c r="AD88" s="16" t="s">
        <v>183</v>
      </c>
      <c r="AE88" s="16" t="s">
        <v>183</v>
      </c>
      <c r="AF88" s="5" t="s">
        <v>192</v>
      </c>
      <c r="AG88" s="5" t="s">
        <v>188</v>
      </c>
      <c r="AH88" s="5" t="s">
        <v>190</v>
      </c>
      <c r="AK88" s="7"/>
      <c r="AL88" s="7"/>
    </row>
    <row r="89" spans="1:38" x14ac:dyDescent="0.35">
      <c r="A89" s="2">
        <v>1</v>
      </c>
      <c r="B89" s="15">
        <v>0.77986111111111112</v>
      </c>
      <c r="C89" s="21" t="s">
        <v>131</v>
      </c>
      <c r="AF89" s="5" t="s">
        <v>192</v>
      </c>
      <c r="AG89" s="5" t="s">
        <v>186</v>
      </c>
      <c r="AH89" s="5" t="s">
        <v>200</v>
      </c>
      <c r="AI89" s="5" t="s">
        <v>201</v>
      </c>
      <c r="AJ89" s="5" t="s">
        <v>188</v>
      </c>
      <c r="AK89" s="7"/>
      <c r="AL89" s="7"/>
    </row>
    <row r="90" spans="1:38" x14ac:dyDescent="0.35">
      <c r="A90" s="2">
        <v>1</v>
      </c>
      <c r="B90" s="15">
        <v>0.75277777777777777</v>
      </c>
      <c r="C90" s="21" t="s">
        <v>131</v>
      </c>
      <c r="AF90" s="5" t="s">
        <v>202</v>
      </c>
      <c r="AG90" s="5" t="s">
        <v>186</v>
      </c>
      <c r="AH90" s="5" t="s">
        <v>183</v>
      </c>
      <c r="AI90" s="5" t="s">
        <v>203</v>
      </c>
      <c r="AJ90" s="5" t="s">
        <v>188</v>
      </c>
      <c r="AK90" s="7"/>
      <c r="AL90" s="7"/>
    </row>
    <row r="91" spans="1:38" x14ac:dyDescent="0.35">
      <c r="A91" s="2">
        <v>1</v>
      </c>
      <c r="B91" s="15">
        <v>0.74652777777777779</v>
      </c>
      <c r="C91" s="21" t="s">
        <v>131</v>
      </c>
      <c r="AF91" s="5" t="s">
        <v>204</v>
      </c>
      <c r="AG91" s="5" t="s">
        <v>205</v>
      </c>
      <c r="AK91" s="7"/>
      <c r="AL91" s="7"/>
    </row>
    <row r="92" spans="1:38" x14ac:dyDescent="0.35">
      <c r="A92" s="2">
        <v>1</v>
      </c>
      <c r="B92" s="15">
        <v>0.74236111111111114</v>
      </c>
      <c r="C92" s="21" t="s">
        <v>131</v>
      </c>
      <c r="Y92" s="16" t="s">
        <v>181</v>
      </c>
      <c r="Z92" s="16" t="s">
        <v>203</v>
      </c>
      <c r="AA92" s="16" t="s">
        <v>206</v>
      </c>
      <c r="AC92" s="16" t="s">
        <v>191</v>
      </c>
      <c r="AD92" s="16" t="s">
        <v>183</v>
      </c>
      <c r="AE92" s="16" t="s">
        <v>183</v>
      </c>
      <c r="AF92" s="5" t="s">
        <v>207</v>
      </c>
      <c r="AG92" s="5" t="s">
        <v>186</v>
      </c>
      <c r="AH92" s="5" t="s">
        <v>186</v>
      </c>
      <c r="AI92" s="5" t="s">
        <v>208</v>
      </c>
      <c r="AJ92" s="5" t="s">
        <v>205</v>
      </c>
      <c r="AK92" s="7"/>
      <c r="AL92" s="7"/>
    </row>
    <row r="93" spans="1:38" x14ac:dyDescent="0.35">
      <c r="A93" s="2">
        <v>1</v>
      </c>
      <c r="B93" s="15">
        <v>0.71736111111111112</v>
      </c>
      <c r="C93" s="21" t="s">
        <v>131</v>
      </c>
      <c r="Y93" s="16" t="s">
        <v>193</v>
      </c>
      <c r="Z93" s="16" t="s">
        <v>209</v>
      </c>
      <c r="AA93" s="16" t="s">
        <v>199</v>
      </c>
      <c r="AB93" s="16" t="s">
        <v>183</v>
      </c>
      <c r="AC93" s="16" t="s">
        <v>191</v>
      </c>
      <c r="AD93" s="16" t="s">
        <v>183</v>
      </c>
      <c r="AE93" s="16" t="s">
        <v>183</v>
      </c>
      <c r="AF93" s="5" t="s">
        <v>210</v>
      </c>
      <c r="AG93" s="5" t="s">
        <v>186</v>
      </c>
      <c r="AH93" s="5" t="s">
        <v>183</v>
      </c>
      <c r="AI93" s="5" t="s">
        <v>211</v>
      </c>
      <c r="AJ93" s="5" t="s">
        <v>212</v>
      </c>
      <c r="AK93" s="7"/>
      <c r="AL93" s="7"/>
    </row>
    <row r="94" spans="1:38" x14ac:dyDescent="0.35">
      <c r="A94" s="2">
        <v>1</v>
      </c>
      <c r="B94" s="15">
        <v>0.70763888888888893</v>
      </c>
      <c r="C94" s="21" t="s">
        <v>131</v>
      </c>
      <c r="Y94" s="16" t="s">
        <v>213</v>
      </c>
      <c r="Z94" s="16" t="s">
        <v>182</v>
      </c>
      <c r="AA94" s="16" t="s">
        <v>214</v>
      </c>
      <c r="AC94" s="16" t="s">
        <v>193</v>
      </c>
      <c r="AD94" s="16" t="s">
        <v>183</v>
      </c>
      <c r="AE94" s="16" t="s">
        <v>183</v>
      </c>
      <c r="AK94" s="7"/>
      <c r="AL94" s="7"/>
    </row>
    <row r="95" spans="1:38" x14ac:dyDescent="0.35">
      <c r="A95" s="2">
        <v>1</v>
      </c>
      <c r="B95" s="15">
        <v>0.70277777777777772</v>
      </c>
      <c r="C95" s="21" t="s">
        <v>131</v>
      </c>
      <c r="Y95" s="16" t="s">
        <v>181</v>
      </c>
      <c r="Z95" s="16" t="s">
        <v>209</v>
      </c>
      <c r="AA95" s="16" t="s">
        <v>199</v>
      </c>
      <c r="AC95" s="16" t="s">
        <v>191</v>
      </c>
      <c r="AD95" s="16" t="s">
        <v>183</v>
      </c>
      <c r="AE95" s="16" t="s">
        <v>183</v>
      </c>
      <c r="AF95" s="5" t="s">
        <v>215</v>
      </c>
      <c r="AG95" s="5" t="s">
        <v>186</v>
      </c>
      <c r="AH95" s="5" t="s">
        <v>216</v>
      </c>
      <c r="AI95" s="5" t="s">
        <v>199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0.68402777777777779</v>
      </c>
      <c r="C96" s="21" t="s">
        <v>131</v>
      </c>
      <c r="Y96" s="16" t="s">
        <v>193</v>
      </c>
      <c r="Z96" s="16" t="s">
        <v>217</v>
      </c>
      <c r="AA96" s="16" t="s">
        <v>183</v>
      </c>
      <c r="AB96" s="16" t="s">
        <v>183</v>
      </c>
      <c r="AC96" s="16" t="s">
        <v>193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0.67361111111111116</v>
      </c>
      <c r="C97" s="21" t="s">
        <v>131</v>
      </c>
      <c r="Y97" s="16" t="s">
        <v>213</v>
      </c>
      <c r="Z97" s="16" t="s">
        <v>203</v>
      </c>
      <c r="AA97" s="16" t="s">
        <v>200</v>
      </c>
      <c r="AC97" s="16" t="s">
        <v>184</v>
      </c>
      <c r="AD97" s="16" t="s">
        <v>183</v>
      </c>
      <c r="AE97" s="16" t="s">
        <v>183</v>
      </c>
      <c r="AF97" s="5" t="s">
        <v>218</v>
      </c>
      <c r="AG97" s="5" t="s">
        <v>186</v>
      </c>
      <c r="AH97" s="5" t="s">
        <v>190</v>
      </c>
      <c r="AI97" s="5" t="s">
        <v>203</v>
      </c>
      <c r="AJ97" s="5" t="s">
        <v>189</v>
      </c>
      <c r="AK97" s="7"/>
      <c r="AL97" s="7"/>
    </row>
    <row r="98" spans="1:38" x14ac:dyDescent="0.35">
      <c r="A98" s="2">
        <v>1</v>
      </c>
      <c r="B98" s="15">
        <v>0.66111111111111109</v>
      </c>
      <c r="C98" s="21" t="s">
        <v>131</v>
      </c>
      <c r="Y98" s="16" t="s">
        <v>181</v>
      </c>
      <c r="Z98" s="16" t="s">
        <v>182</v>
      </c>
      <c r="AA98" s="16" t="s">
        <v>183</v>
      </c>
      <c r="AC98" s="16" t="s">
        <v>184</v>
      </c>
      <c r="AD98" s="16" t="s">
        <v>219</v>
      </c>
      <c r="AE98" s="16" t="s">
        <v>140</v>
      </c>
      <c r="AF98" s="5" t="s">
        <v>194</v>
      </c>
      <c r="AG98" s="5" t="s">
        <v>220</v>
      </c>
      <c r="AH98" s="5" t="s">
        <v>196</v>
      </c>
      <c r="AK98" s="7"/>
      <c r="AL98" s="7"/>
    </row>
    <row r="99" spans="1:38" x14ac:dyDescent="0.35">
      <c r="A99" s="2">
        <v>1</v>
      </c>
      <c r="B99" s="15">
        <v>0.62569444444444444</v>
      </c>
      <c r="C99" s="21" t="s">
        <v>131</v>
      </c>
      <c r="Y99" s="16" t="s">
        <v>193</v>
      </c>
      <c r="Z99" s="16" t="s">
        <v>197</v>
      </c>
      <c r="AA99" s="16" t="s">
        <v>218</v>
      </c>
      <c r="AB99" s="16" t="s">
        <v>183</v>
      </c>
      <c r="AC99" s="16" t="s">
        <v>184</v>
      </c>
      <c r="AD99" s="16" t="s">
        <v>183</v>
      </c>
      <c r="AE99" s="16" t="s">
        <v>134</v>
      </c>
      <c r="AF99" s="5" t="s">
        <v>185</v>
      </c>
      <c r="AG99" s="5" t="s">
        <v>220</v>
      </c>
      <c r="AH99" s="5" t="s">
        <v>196</v>
      </c>
      <c r="AK99" s="7"/>
      <c r="AL99" s="7"/>
    </row>
    <row r="100" spans="1:38" x14ac:dyDescent="0.35">
      <c r="A100" s="2">
        <v>1</v>
      </c>
      <c r="B100" s="15">
        <v>0.6166666666666667</v>
      </c>
      <c r="C100" s="21" t="s">
        <v>131</v>
      </c>
      <c r="AF100" s="5" t="s">
        <v>204</v>
      </c>
      <c r="AG100" s="5" t="s">
        <v>186</v>
      </c>
      <c r="AH100" s="5" t="s">
        <v>221</v>
      </c>
      <c r="AI100" s="5" t="s">
        <v>185</v>
      </c>
      <c r="AJ100" s="5" t="s">
        <v>188</v>
      </c>
      <c r="AK100" s="7"/>
      <c r="AL100" s="7"/>
    </row>
    <row r="101" spans="1:38" x14ac:dyDescent="0.35">
      <c r="A101" s="2">
        <v>1</v>
      </c>
      <c r="B101" s="15">
        <v>0.6</v>
      </c>
      <c r="C101" s="21" t="s">
        <v>131</v>
      </c>
      <c r="AF101" s="5" t="s">
        <v>199</v>
      </c>
      <c r="AG101" s="5" t="s">
        <v>212</v>
      </c>
      <c r="AK101" s="7"/>
      <c r="AL101" s="7"/>
    </row>
    <row r="102" spans="1:38" x14ac:dyDescent="0.35">
      <c r="A102" s="2">
        <v>1</v>
      </c>
      <c r="B102" s="15">
        <v>0.59305555555555556</v>
      </c>
      <c r="C102" s="21" t="s">
        <v>131</v>
      </c>
      <c r="Y102" s="16" t="s">
        <v>181</v>
      </c>
      <c r="Z102" s="16" t="s">
        <v>207</v>
      </c>
      <c r="AA102" s="16" t="s">
        <v>183</v>
      </c>
      <c r="AC102" s="16" t="s">
        <v>184</v>
      </c>
      <c r="AD102" s="16" t="s">
        <v>222</v>
      </c>
      <c r="AE102" s="16" t="s">
        <v>183</v>
      </c>
      <c r="AF102" s="5" t="s">
        <v>215</v>
      </c>
      <c r="AG102" s="5" t="s">
        <v>188</v>
      </c>
      <c r="AH102" s="5" t="s">
        <v>222</v>
      </c>
      <c r="AI102" s="5" t="s">
        <v>192</v>
      </c>
      <c r="AJ102" s="5" t="s">
        <v>188</v>
      </c>
      <c r="AK102" s="7"/>
      <c r="AL102" s="7"/>
    </row>
    <row r="103" spans="1:38" x14ac:dyDescent="0.35">
      <c r="A103" s="2">
        <v>1</v>
      </c>
      <c r="B103" s="15">
        <v>0.58611111111111114</v>
      </c>
      <c r="C103" s="21" t="s">
        <v>131</v>
      </c>
      <c r="AF103" s="5" t="s">
        <v>192</v>
      </c>
      <c r="AG103" s="5" t="s">
        <v>186</v>
      </c>
      <c r="AH103" s="5" t="s">
        <v>183</v>
      </c>
      <c r="AI103" s="5" t="s">
        <v>214</v>
      </c>
      <c r="AJ103" s="5" t="s">
        <v>212</v>
      </c>
      <c r="AK103" s="7"/>
      <c r="AL103" s="7"/>
    </row>
    <row r="104" spans="1:38" x14ac:dyDescent="0.35">
      <c r="A104" s="2">
        <v>1</v>
      </c>
      <c r="B104" s="15">
        <v>0.57222222222222219</v>
      </c>
      <c r="C104" s="21" t="s">
        <v>131</v>
      </c>
      <c r="Y104" s="16" t="s">
        <v>193</v>
      </c>
      <c r="Z104" s="16" t="s">
        <v>216</v>
      </c>
      <c r="AA104" s="16" t="s">
        <v>185</v>
      </c>
      <c r="AB104" s="16" t="s">
        <v>183</v>
      </c>
      <c r="AC104" s="16" t="s">
        <v>191</v>
      </c>
      <c r="AD104" s="16" t="s">
        <v>217</v>
      </c>
      <c r="AE104" s="16" t="s">
        <v>183</v>
      </c>
      <c r="AF104" s="5" t="s">
        <v>185</v>
      </c>
      <c r="AG104" s="5" t="s">
        <v>220</v>
      </c>
      <c r="AH104" s="5" t="s">
        <v>217</v>
      </c>
      <c r="AK104" s="7"/>
      <c r="AL104" s="7"/>
    </row>
    <row r="105" spans="1:38" x14ac:dyDescent="0.35">
      <c r="A105" s="2">
        <v>1</v>
      </c>
      <c r="B105" s="15">
        <v>0.55347222222222225</v>
      </c>
      <c r="C105" s="21" t="s">
        <v>131</v>
      </c>
      <c r="AF105" s="5" t="s">
        <v>187</v>
      </c>
      <c r="AG105" s="5" t="s">
        <v>212</v>
      </c>
      <c r="AH105" s="5" t="s">
        <v>223</v>
      </c>
      <c r="AK105" s="7"/>
      <c r="AL105" s="7"/>
    </row>
    <row r="106" spans="1:38" x14ac:dyDescent="0.35">
      <c r="A106" s="2">
        <v>1</v>
      </c>
      <c r="B106" s="15">
        <v>0.54861111111111116</v>
      </c>
      <c r="C106" s="21" t="s">
        <v>131</v>
      </c>
      <c r="Y106" s="16" t="s">
        <v>193</v>
      </c>
      <c r="Z106" s="16" t="s">
        <v>217</v>
      </c>
      <c r="AA106" s="16" t="s">
        <v>185</v>
      </c>
      <c r="AB106" s="16" t="s">
        <v>183</v>
      </c>
      <c r="AC106" s="16" t="s">
        <v>191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0.53125</v>
      </c>
      <c r="C107" s="21" t="s">
        <v>131</v>
      </c>
      <c r="Y107" s="16" t="s">
        <v>213</v>
      </c>
      <c r="Z107" s="16" t="s">
        <v>194</v>
      </c>
      <c r="AA107" s="16" t="s">
        <v>195</v>
      </c>
      <c r="AC107" s="16" t="s">
        <v>193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0.52638888888888891</v>
      </c>
      <c r="C108" s="21" t="s">
        <v>131</v>
      </c>
      <c r="Y108" s="16" t="s">
        <v>224</v>
      </c>
      <c r="Z108" s="16" t="s">
        <v>132</v>
      </c>
      <c r="AF108" s="5" t="s">
        <v>194</v>
      </c>
      <c r="AG108" s="5" t="s">
        <v>186</v>
      </c>
      <c r="AH108" s="5" t="s">
        <v>183</v>
      </c>
      <c r="AI108" s="5" t="s">
        <v>225</v>
      </c>
      <c r="AJ108" s="5" t="s">
        <v>205</v>
      </c>
      <c r="AK108" s="7"/>
      <c r="AL108" s="7"/>
    </row>
    <row r="109" spans="1:38" x14ac:dyDescent="0.35">
      <c r="A109" s="2">
        <v>1</v>
      </c>
      <c r="B109" s="15">
        <v>0.51875000000000004</v>
      </c>
      <c r="C109" s="21" t="s">
        <v>131</v>
      </c>
      <c r="Y109" s="16" t="s">
        <v>213</v>
      </c>
      <c r="Z109" s="16" t="s">
        <v>194</v>
      </c>
      <c r="AA109" s="16" t="s">
        <v>195</v>
      </c>
      <c r="AC109" s="16" t="s">
        <v>191</v>
      </c>
      <c r="AD109" s="16" t="s">
        <v>183</v>
      </c>
      <c r="AE109" s="16" t="s">
        <v>183</v>
      </c>
      <c r="AF109" s="5" t="s">
        <v>195</v>
      </c>
      <c r="AG109" s="5" t="s">
        <v>205</v>
      </c>
      <c r="AK109" s="7"/>
      <c r="AL109" s="7"/>
    </row>
    <row r="110" spans="1:38" x14ac:dyDescent="0.35">
      <c r="A110" s="2">
        <v>1</v>
      </c>
      <c r="B110" s="15">
        <v>0.51180555555555551</v>
      </c>
      <c r="C110" s="21" t="s">
        <v>131</v>
      </c>
      <c r="Y110" s="16" t="s">
        <v>193</v>
      </c>
      <c r="Z110" s="16" t="s">
        <v>196</v>
      </c>
      <c r="AA110" s="16" t="s">
        <v>199</v>
      </c>
      <c r="AB110" s="16" t="s">
        <v>183</v>
      </c>
      <c r="AC110" s="16" t="s">
        <v>191</v>
      </c>
      <c r="AD110" s="16" t="s">
        <v>183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0.50763888888888886</v>
      </c>
      <c r="C111" s="21" t="s">
        <v>131</v>
      </c>
      <c r="AF111" s="5" t="s">
        <v>192</v>
      </c>
      <c r="AG111" s="5" t="s">
        <v>188</v>
      </c>
      <c r="AH111" s="5" t="s">
        <v>221</v>
      </c>
      <c r="AK111" s="7"/>
      <c r="AL111" s="7"/>
    </row>
    <row r="112" spans="1:38" x14ac:dyDescent="0.35">
      <c r="A112" s="2">
        <v>1</v>
      </c>
      <c r="B112" s="15">
        <v>0.48402777777777778</v>
      </c>
      <c r="C112" s="21" t="s">
        <v>131</v>
      </c>
      <c r="AF112" s="5" t="s">
        <v>204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0.48402777777777778</v>
      </c>
      <c r="C113" s="21" t="s">
        <v>131</v>
      </c>
      <c r="Y113" s="16" t="s">
        <v>181</v>
      </c>
      <c r="Z113" s="16" t="s">
        <v>204</v>
      </c>
      <c r="AA113" s="16" t="s">
        <v>183</v>
      </c>
      <c r="AC113" s="16" t="s">
        <v>193</v>
      </c>
      <c r="AD113" s="16" t="s">
        <v>183</v>
      </c>
      <c r="AE113" s="16" t="s">
        <v>183</v>
      </c>
      <c r="AF113" s="5" t="s">
        <v>207</v>
      </c>
      <c r="AG113" s="5" t="s">
        <v>186</v>
      </c>
      <c r="AH113" s="5" t="s">
        <v>226</v>
      </c>
      <c r="AI113" s="5" t="s">
        <v>208</v>
      </c>
      <c r="AJ113" s="5" t="s">
        <v>212</v>
      </c>
      <c r="AK113" s="7"/>
      <c r="AL113" s="7"/>
    </row>
    <row r="114" spans="1:38" x14ac:dyDescent="0.35">
      <c r="A114" s="2">
        <v>1</v>
      </c>
      <c r="B114" s="15">
        <v>0.46805555555555556</v>
      </c>
      <c r="C114" s="21" t="s">
        <v>131</v>
      </c>
      <c r="Y114" s="16" t="s">
        <v>181</v>
      </c>
      <c r="Z114" s="16" t="s">
        <v>214</v>
      </c>
      <c r="AA114" s="16" t="s">
        <v>183</v>
      </c>
      <c r="AC114" s="16" t="s">
        <v>184</v>
      </c>
      <c r="AD114" s="16" t="s">
        <v>183</v>
      </c>
      <c r="AE114" s="16" t="s">
        <v>183</v>
      </c>
      <c r="AF114" s="5" t="s">
        <v>206</v>
      </c>
      <c r="AG114" s="5" t="s">
        <v>186</v>
      </c>
      <c r="AH114" s="5" t="s">
        <v>214</v>
      </c>
      <c r="AI114" s="5" t="s">
        <v>209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0.46319444444444446</v>
      </c>
      <c r="C115" s="21" t="s">
        <v>131</v>
      </c>
      <c r="Y115" s="16" t="s">
        <v>193</v>
      </c>
      <c r="Z115" s="16" t="s">
        <v>227</v>
      </c>
      <c r="AA115" s="16" t="s">
        <v>228</v>
      </c>
      <c r="AB115" s="16" t="s">
        <v>183</v>
      </c>
      <c r="AC115" s="16" t="s">
        <v>193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0.4597222222222222</v>
      </c>
      <c r="C116" s="21" t="s">
        <v>131</v>
      </c>
      <c r="AF116" s="5" t="s">
        <v>218</v>
      </c>
      <c r="AG116" s="5" t="s">
        <v>186</v>
      </c>
      <c r="AH116" s="5" t="s">
        <v>182</v>
      </c>
      <c r="AI116" s="5" t="s">
        <v>229</v>
      </c>
      <c r="AJ116" s="5" t="s">
        <v>188</v>
      </c>
      <c r="AK116" s="7"/>
      <c r="AL116" s="7"/>
    </row>
    <row r="117" spans="1:38" x14ac:dyDescent="0.35">
      <c r="A117" s="2">
        <v>1</v>
      </c>
      <c r="B117" s="15">
        <v>0.44930555555555557</v>
      </c>
      <c r="C117" s="21" t="s">
        <v>131</v>
      </c>
      <c r="AF117" s="5" t="s">
        <v>230</v>
      </c>
      <c r="AG117" s="5" t="s">
        <v>186</v>
      </c>
      <c r="AH117" s="5" t="s">
        <v>183</v>
      </c>
      <c r="AI117" s="5" t="s">
        <v>187</v>
      </c>
      <c r="AJ117" s="5" t="s">
        <v>198</v>
      </c>
      <c r="AK117" s="7"/>
      <c r="AL117" s="7"/>
    </row>
    <row r="118" spans="1:38" x14ac:dyDescent="0.35">
      <c r="A118" s="2">
        <v>1</v>
      </c>
      <c r="B118" s="15">
        <v>0.44583333333333336</v>
      </c>
      <c r="C118" s="21" t="s">
        <v>131</v>
      </c>
      <c r="Y118" s="16" t="s">
        <v>193</v>
      </c>
      <c r="Z118" s="16" t="s">
        <v>230</v>
      </c>
      <c r="AA118" s="16" t="s">
        <v>182</v>
      </c>
      <c r="AB118" s="16" t="s">
        <v>183</v>
      </c>
      <c r="AC118" s="16" t="s">
        <v>193</v>
      </c>
      <c r="AD118" s="16" t="s">
        <v>183</v>
      </c>
      <c r="AE118" s="16" t="s">
        <v>134</v>
      </c>
      <c r="AF118" s="5" t="s">
        <v>216</v>
      </c>
      <c r="AG118" s="5" t="s">
        <v>186</v>
      </c>
      <c r="AH118" s="5" t="s">
        <v>218</v>
      </c>
      <c r="AI118" s="5" t="s">
        <v>223</v>
      </c>
      <c r="AJ118" s="5" t="s">
        <v>188</v>
      </c>
      <c r="AK118" s="7"/>
      <c r="AL118" s="7"/>
    </row>
    <row r="119" spans="1:38" x14ac:dyDescent="0.35">
      <c r="A119" s="2">
        <v>1</v>
      </c>
      <c r="B119" s="15">
        <v>0.43402777777777779</v>
      </c>
      <c r="C119" s="21" t="s">
        <v>131</v>
      </c>
      <c r="AF119" s="5" t="s">
        <v>219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0.43055555555555558</v>
      </c>
      <c r="C120" s="21" t="s">
        <v>131</v>
      </c>
      <c r="Y120" s="16" t="s">
        <v>181</v>
      </c>
      <c r="Z120" s="16" t="s">
        <v>228</v>
      </c>
      <c r="AA120" s="16" t="s">
        <v>183</v>
      </c>
      <c r="AC120" s="16" t="s">
        <v>193</v>
      </c>
      <c r="AD120" s="16" t="s">
        <v>183</v>
      </c>
      <c r="AE120" s="16" t="s">
        <v>183</v>
      </c>
      <c r="AF120" s="5" t="s">
        <v>197</v>
      </c>
      <c r="AG120" s="5" t="s">
        <v>212</v>
      </c>
      <c r="AK120" s="7"/>
      <c r="AL120" s="7"/>
    </row>
    <row r="121" spans="1:38" x14ac:dyDescent="0.35">
      <c r="A121" s="2">
        <v>1</v>
      </c>
      <c r="B121" s="15">
        <v>0.4201388888888889</v>
      </c>
      <c r="C121" s="21" t="s">
        <v>131</v>
      </c>
      <c r="Y121" s="16" t="s">
        <v>181</v>
      </c>
      <c r="Z121" s="16" t="s">
        <v>210</v>
      </c>
      <c r="AA121" s="16" t="s">
        <v>195</v>
      </c>
      <c r="AC121" s="16" t="s">
        <v>184</v>
      </c>
      <c r="AD121" s="16" t="s">
        <v>211</v>
      </c>
      <c r="AE121" s="16" t="s">
        <v>183</v>
      </c>
      <c r="AF121" s="5" t="s">
        <v>195</v>
      </c>
      <c r="AG121" s="5" t="s">
        <v>220</v>
      </c>
      <c r="AH121" s="5" t="s">
        <v>214</v>
      </c>
      <c r="AK121" s="7"/>
      <c r="AL121" s="7"/>
    </row>
    <row r="122" spans="1:38" x14ac:dyDescent="0.35">
      <c r="A122" s="2">
        <v>1</v>
      </c>
      <c r="B122" s="15">
        <v>0.40763888888888888</v>
      </c>
      <c r="C122" s="21" t="s">
        <v>131</v>
      </c>
      <c r="AF122" s="5" t="s">
        <v>195</v>
      </c>
      <c r="AG122" s="5" t="s">
        <v>205</v>
      </c>
      <c r="AK122" s="7"/>
      <c r="AL122" s="7"/>
    </row>
    <row r="123" spans="1:38" x14ac:dyDescent="0.35">
      <c r="A123" s="2">
        <v>1</v>
      </c>
      <c r="B123" s="15">
        <v>0.40277777777777779</v>
      </c>
      <c r="C123" s="21" t="s">
        <v>131</v>
      </c>
      <c r="Y123" s="16" t="s">
        <v>181</v>
      </c>
      <c r="Z123" s="16" t="s">
        <v>190</v>
      </c>
      <c r="AA123" s="16" t="s">
        <v>183</v>
      </c>
      <c r="AC123" s="16" t="s">
        <v>193</v>
      </c>
      <c r="AD123" s="16" t="s">
        <v>183</v>
      </c>
      <c r="AE123" s="16" t="s">
        <v>183</v>
      </c>
      <c r="AF123" s="5" t="s">
        <v>192</v>
      </c>
      <c r="AG123" s="5" t="s">
        <v>186</v>
      </c>
      <c r="AH123" s="5" t="s">
        <v>196</v>
      </c>
      <c r="AI123" s="5" t="s">
        <v>192</v>
      </c>
      <c r="AJ123" s="5" t="s">
        <v>212</v>
      </c>
      <c r="AK123" s="7"/>
      <c r="AL123" s="7"/>
    </row>
    <row r="124" spans="1:38" x14ac:dyDescent="0.35">
      <c r="A124" s="2">
        <v>1</v>
      </c>
      <c r="B124" s="15">
        <v>0.39027777777777778</v>
      </c>
      <c r="C124" s="21" t="s">
        <v>131</v>
      </c>
      <c r="Y124" s="16" t="s">
        <v>181</v>
      </c>
      <c r="Z124" s="16" t="s">
        <v>207</v>
      </c>
      <c r="AA124" s="16" t="s">
        <v>183</v>
      </c>
      <c r="AC124" s="16" t="s">
        <v>191</v>
      </c>
      <c r="AD124" s="16" t="s">
        <v>208</v>
      </c>
      <c r="AE124" s="16" t="s">
        <v>183</v>
      </c>
      <c r="AF124" s="5" t="s">
        <v>199</v>
      </c>
      <c r="AG124" s="5" t="s">
        <v>212</v>
      </c>
      <c r="AK124" s="7"/>
      <c r="AL124" s="7"/>
    </row>
    <row r="125" spans="1:38" x14ac:dyDescent="0.35">
      <c r="A125" s="2">
        <v>1</v>
      </c>
      <c r="B125" s="15">
        <v>0.37777777777777777</v>
      </c>
      <c r="C125" s="21" t="s">
        <v>131</v>
      </c>
      <c r="Y125" s="16" t="s">
        <v>193</v>
      </c>
      <c r="Z125" s="16" t="s">
        <v>208</v>
      </c>
      <c r="AA125" s="16" t="s">
        <v>199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F125" s="5" t="s">
        <v>203</v>
      </c>
      <c r="AG125" s="5" t="s">
        <v>189</v>
      </c>
      <c r="AH125" s="5" t="s">
        <v>216</v>
      </c>
      <c r="AK125" s="7"/>
      <c r="AL125" s="7"/>
    </row>
    <row r="126" spans="1:38" x14ac:dyDescent="0.35">
      <c r="A126" s="2">
        <v>1</v>
      </c>
      <c r="B126" s="15">
        <v>0.37152777777777779</v>
      </c>
      <c r="C126" s="21" t="s">
        <v>131</v>
      </c>
      <c r="Y126" s="16" t="s">
        <v>193</v>
      </c>
      <c r="Z126" s="16" t="s">
        <v>225</v>
      </c>
      <c r="AA126" s="16" t="s">
        <v>183</v>
      </c>
      <c r="AB126" s="16" t="s">
        <v>183</v>
      </c>
      <c r="AC126" s="16" t="s">
        <v>184</v>
      </c>
      <c r="AD126" s="16" t="s">
        <v>183</v>
      </c>
      <c r="AE126" s="16" t="s">
        <v>140</v>
      </c>
      <c r="AF126" s="5" t="s">
        <v>182</v>
      </c>
      <c r="AG126" s="5" t="s">
        <v>220</v>
      </c>
      <c r="AH126" s="5" t="s">
        <v>201</v>
      </c>
      <c r="AK126" s="7"/>
      <c r="AL126" s="7"/>
    </row>
    <row r="127" spans="1:38" x14ac:dyDescent="0.35">
      <c r="A127" s="2">
        <v>1</v>
      </c>
      <c r="B127" s="15">
        <v>0.34166666666666667</v>
      </c>
      <c r="C127" s="21" t="s">
        <v>131</v>
      </c>
      <c r="AF127" s="5" t="s">
        <v>223</v>
      </c>
      <c r="AG127" s="5" t="s">
        <v>189</v>
      </c>
      <c r="AH127" s="5" t="s">
        <v>230</v>
      </c>
      <c r="AK127" s="7"/>
      <c r="AL127" s="7"/>
    </row>
    <row r="128" spans="1:38" x14ac:dyDescent="0.35">
      <c r="A128" s="2">
        <v>1</v>
      </c>
      <c r="B128" s="15">
        <v>0.33611111111111114</v>
      </c>
      <c r="C128" s="21" t="s">
        <v>131</v>
      </c>
      <c r="Y128" s="16" t="s">
        <v>181</v>
      </c>
      <c r="Z128" s="16" t="s">
        <v>217</v>
      </c>
      <c r="AA128" s="16" t="s">
        <v>203</v>
      </c>
      <c r="AC128" s="16" t="s">
        <v>191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0.31597222222222221</v>
      </c>
      <c r="C129" s="21" t="s">
        <v>131</v>
      </c>
      <c r="Y129" s="16" t="s">
        <v>193</v>
      </c>
      <c r="Z129" s="16" t="s">
        <v>204</v>
      </c>
      <c r="AA129" s="16" t="s">
        <v>200</v>
      </c>
      <c r="AB129" s="16" t="s">
        <v>183</v>
      </c>
      <c r="AC129" s="16" t="s">
        <v>184</v>
      </c>
      <c r="AD129" s="16" t="s">
        <v>183</v>
      </c>
      <c r="AE129" s="16" t="s">
        <v>183</v>
      </c>
      <c r="AF129" s="5" t="s">
        <v>195</v>
      </c>
      <c r="AG129" s="5" t="s">
        <v>186</v>
      </c>
      <c r="AH129" s="5" t="s">
        <v>225</v>
      </c>
      <c r="AI129" s="5" t="s">
        <v>208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0.29236111111111113</v>
      </c>
      <c r="C130" s="21" t="s">
        <v>131</v>
      </c>
      <c r="Y130" s="16" t="s">
        <v>181</v>
      </c>
      <c r="Z130" s="16" t="s">
        <v>221</v>
      </c>
      <c r="AA130" s="16" t="s">
        <v>192</v>
      </c>
      <c r="AC130" s="16" t="s">
        <v>193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0.28263888888888888</v>
      </c>
      <c r="C131" s="21" t="s">
        <v>131</v>
      </c>
      <c r="Y131" s="16" t="s">
        <v>181</v>
      </c>
      <c r="Z131" s="16" t="s">
        <v>211</v>
      </c>
      <c r="AA131" s="16" t="s">
        <v>207</v>
      </c>
      <c r="AC131" s="16" t="s">
        <v>184</v>
      </c>
      <c r="AD131" s="16" t="s">
        <v>214</v>
      </c>
      <c r="AE131" s="16" t="s">
        <v>140</v>
      </c>
      <c r="AF131" s="5" t="s">
        <v>209</v>
      </c>
      <c r="AG131" s="5" t="s">
        <v>212</v>
      </c>
      <c r="AK131" s="7"/>
      <c r="AL131" s="7"/>
    </row>
    <row r="132" spans="1:38" x14ac:dyDescent="0.35">
      <c r="A132" s="2">
        <v>1</v>
      </c>
      <c r="B132" s="15">
        <v>0.2590277777777778</v>
      </c>
      <c r="C132" s="21" t="s">
        <v>131</v>
      </c>
      <c r="Y132" s="16" t="s">
        <v>213</v>
      </c>
      <c r="Z132" s="16" t="s">
        <v>229</v>
      </c>
      <c r="AA132" s="16" t="s">
        <v>219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0.25069444444444444</v>
      </c>
      <c r="C133" s="21" t="s">
        <v>131</v>
      </c>
      <c r="AF133" s="5" t="s">
        <v>203</v>
      </c>
      <c r="AG133" s="5" t="s">
        <v>186</v>
      </c>
      <c r="AH133" s="5" t="s">
        <v>183</v>
      </c>
      <c r="AI133" s="5" t="s">
        <v>187</v>
      </c>
      <c r="AJ133" s="5" t="s">
        <v>205</v>
      </c>
      <c r="AK133" s="7"/>
      <c r="AL133" s="7"/>
    </row>
    <row r="134" spans="1:38" x14ac:dyDescent="0.35">
      <c r="A134" s="2">
        <v>1</v>
      </c>
      <c r="B134" s="15">
        <v>0.24444444444444444</v>
      </c>
      <c r="C134" s="21" t="s">
        <v>131</v>
      </c>
      <c r="Y134" s="16" t="s">
        <v>181</v>
      </c>
      <c r="Z134" s="16" t="s">
        <v>230</v>
      </c>
      <c r="AA134" s="16" t="s">
        <v>183</v>
      </c>
      <c r="AC134" s="16" t="s">
        <v>184</v>
      </c>
      <c r="AD134" s="16" t="s">
        <v>187</v>
      </c>
      <c r="AE134" s="16" t="s">
        <v>183</v>
      </c>
      <c r="AF134" s="5" t="s">
        <v>217</v>
      </c>
      <c r="AG134" s="5" t="s">
        <v>212</v>
      </c>
      <c r="AH134" s="5" t="s">
        <v>229</v>
      </c>
      <c r="AK134" s="7"/>
      <c r="AL134" s="7"/>
    </row>
    <row r="135" spans="1:38" x14ac:dyDescent="0.35">
      <c r="A135" s="2">
        <v>1</v>
      </c>
      <c r="B135" s="15">
        <v>0.2326388888888889</v>
      </c>
      <c r="C135" s="21" t="s">
        <v>131</v>
      </c>
      <c r="AF135" s="5" t="s">
        <v>203</v>
      </c>
      <c r="AG135" s="5" t="s">
        <v>186</v>
      </c>
      <c r="AH135" s="5" t="s">
        <v>183</v>
      </c>
      <c r="AI135" s="5" t="s">
        <v>199</v>
      </c>
      <c r="AJ135" s="5" t="s">
        <v>212</v>
      </c>
      <c r="AK135" s="7"/>
      <c r="AL135" s="7"/>
    </row>
    <row r="136" spans="1:38" x14ac:dyDescent="0.35">
      <c r="A136" s="2">
        <v>1</v>
      </c>
      <c r="B136" s="15">
        <v>0.22916666666666666</v>
      </c>
      <c r="C136" s="21" t="s">
        <v>131</v>
      </c>
      <c r="Y136" s="16" t="s">
        <v>193</v>
      </c>
      <c r="Z136" s="16" t="s">
        <v>204</v>
      </c>
      <c r="AA136" s="16" t="s">
        <v>195</v>
      </c>
      <c r="AB136" s="16" t="s">
        <v>134</v>
      </c>
      <c r="AC136" s="16" t="s">
        <v>191</v>
      </c>
      <c r="AD136" s="16" t="s">
        <v>183</v>
      </c>
      <c r="AE136" s="16" t="s">
        <v>134</v>
      </c>
      <c r="AF136" s="5" t="s">
        <v>190</v>
      </c>
      <c r="AG136" s="5" t="s">
        <v>205</v>
      </c>
      <c r="AK136" s="7"/>
      <c r="AL136" s="7"/>
    </row>
    <row r="137" spans="1:38" x14ac:dyDescent="0.35">
      <c r="A137" s="2">
        <v>1</v>
      </c>
      <c r="B137" s="15">
        <v>0.21736111111111112</v>
      </c>
      <c r="C137" s="21" t="s">
        <v>131</v>
      </c>
      <c r="Y137" s="16" t="s">
        <v>193</v>
      </c>
      <c r="Z137" s="16" t="s">
        <v>197</v>
      </c>
      <c r="AA137" s="16" t="s">
        <v>199</v>
      </c>
      <c r="AB137" s="16" t="s">
        <v>183</v>
      </c>
      <c r="AC137" s="16" t="s">
        <v>193</v>
      </c>
      <c r="AD137" s="16" t="s">
        <v>183</v>
      </c>
      <c r="AE137" s="16" t="s">
        <v>183</v>
      </c>
      <c r="AF137" s="5" t="s">
        <v>228</v>
      </c>
      <c r="AG137" s="5" t="s">
        <v>212</v>
      </c>
      <c r="AK137" s="7"/>
      <c r="AL137" s="7"/>
    </row>
    <row r="138" spans="1:38" x14ac:dyDescent="0.35">
      <c r="A138" s="2">
        <v>1</v>
      </c>
      <c r="B138" s="15">
        <v>0.2076388888888889</v>
      </c>
      <c r="C138" s="21" t="s">
        <v>131</v>
      </c>
      <c r="Y138" s="16" t="s">
        <v>193</v>
      </c>
      <c r="Z138" s="16" t="s">
        <v>196</v>
      </c>
      <c r="AA138" s="16" t="s">
        <v>185</v>
      </c>
      <c r="AB138" s="16" t="s">
        <v>183</v>
      </c>
      <c r="AC138" s="16" t="s">
        <v>193</v>
      </c>
      <c r="AD138" s="16" t="s">
        <v>183</v>
      </c>
      <c r="AE138" s="16" t="s">
        <v>183</v>
      </c>
      <c r="AF138" s="5" t="s">
        <v>228</v>
      </c>
      <c r="AG138" s="5" t="s">
        <v>220</v>
      </c>
      <c r="AH138" s="5" t="s">
        <v>217</v>
      </c>
      <c r="AK138" s="7"/>
      <c r="AL138" s="7"/>
    </row>
    <row r="139" spans="1:38" x14ac:dyDescent="0.35">
      <c r="A139" s="2">
        <v>1</v>
      </c>
      <c r="B139" s="15">
        <v>0.1875</v>
      </c>
      <c r="C139" s="21" t="s">
        <v>131</v>
      </c>
      <c r="Y139" s="16" t="s">
        <v>181</v>
      </c>
      <c r="Z139" s="16" t="s">
        <v>217</v>
      </c>
      <c r="AA139" s="16" t="s">
        <v>230</v>
      </c>
      <c r="AC139" s="16" t="s">
        <v>193</v>
      </c>
      <c r="AD139" s="16" t="s">
        <v>217</v>
      </c>
      <c r="AE139" s="16" t="s">
        <v>134</v>
      </c>
      <c r="AF139" s="5" t="s">
        <v>229</v>
      </c>
      <c r="AG139" s="5" t="s">
        <v>188</v>
      </c>
      <c r="AH139" s="5" t="s">
        <v>216</v>
      </c>
      <c r="AK139" s="7"/>
      <c r="AL139" s="7"/>
    </row>
    <row r="140" spans="1:38" x14ac:dyDescent="0.35">
      <c r="A140" s="2">
        <v>1</v>
      </c>
      <c r="B140" s="15">
        <v>0.1673611111111111</v>
      </c>
      <c r="C140" s="21" t="s">
        <v>131</v>
      </c>
      <c r="AF140" s="5" t="s">
        <v>228</v>
      </c>
      <c r="AG140" s="5" t="s">
        <v>186</v>
      </c>
      <c r="AH140" s="5" t="s">
        <v>183</v>
      </c>
      <c r="AI140" s="5" t="s">
        <v>228</v>
      </c>
      <c r="AJ140" s="5" t="s">
        <v>205</v>
      </c>
      <c r="AK140" s="7"/>
      <c r="AL140" s="7"/>
    </row>
    <row r="141" spans="1:38" x14ac:dyDescent="0.35">
      <c r="A141" s="2">
        <v>1</v>
      </c>
      <c r="B141" s="15">
        <v>0.16458333333333333</v>
      </c>
      <c r="C141" s="21" t="s">
        <v>131</v>
      </c>
      <c r="Y141" s="16" t="s">
        <v>193</v>
      </c>
      <c r="Z141" s="16" t="s">
        <v>202</v>
      </c>
      <c r="AA141" s="16" t="s">
        <v>200</v>
      </c>
      <c r="AB141" s="16" t="s">
        <v>134</v>
      </c>
      <c r="AC141" s="16" t="s">
        <v>193</v>
      </c>
      <c r="AD141" s="16" t="s">
        <v>183</v>
      </c>
      <c r="AE141" s="16" t="s">
        <v>134</v>
      </c>
      <c r="AK141" s="7"/>
      <c r="AL141" s="7"/>
    </row>
    <row r="142" spans="1:38" x14ac:dyDescent="0.35">
      <c r="A142" s="2">
        <v>1</v>
      </c>
      <c r="B142" s="15">
        <v>0.16041666666666668</v>
      </c>
      <c r="C142" s="21" t="s">
        <v>131</v>
      </c>
      <c r="AF142" s="5" t="s">
        <v>207</v>
      </c>
      <c r="AG142" s="5" t="s">
        <v>188</v>
      </c>
      <c r="AH142" s="5" t="s">
        <v>211</v>
      </c>
      <c r="AK142" s="7"/>
      <c r="AL142" s="7"/>
    </row>
    <row r="143" spans="1:38" x14ac:dyDescent="0.35">
      <c r="A143" s="2">
        <v>1</v>
      </c>
      <c r="B143" s="15">
        <v>0.14166666666666666</v>
      </c>
      <c r="C143" s="21" t="s">
        <v>131</v>
      </c>
      <c r="AF143" s="5" t="s">
        <v>219</v>
      </c>
      <c r="AG143" s="5" t="s">
        <v>186</v>
      </c>
      <c r="AH143" s="5" t="s">
        <v>230</v>
      </c>
      <c r="AI143" s="5" t="s">
        <v>182</v>
      </c>
      <c r="AJ143" s="5" t="s">
        <v>188</v>
      </c>
      <c r="AK143" s="7"/>
      <c r="AL143" s="7"/>
    </row>
    <row r="144" spans="1:38" x14ac:dyDescent="0.35">
      <c r="A144" s="2">
        <v>1</v>
      </c>
      <c r="B144" s="15">
        <v>0.13472222222222222</v>
      </c>
      <c r="C144" s="21" t="s">
        <v>131</v>
      </c>
      <c r="AF144" s="5" t="s">
        <v>219</v>
      </c>
      <c r="AG144" s="5" t="s">
        <v>186</v>
      </c>
      <c r="AH144" s="5" t="s">
        <v>183</v>
      </c>
      <c r="AI144" s="5" t="s">
        <v>208</v>
      </c>
      <c r="AJ144" s="5" t="s">
        <v>205</v>
      </c>
      <c r="AK144" s="7"/>
      <c r="AL144" s="7"/>
    </row>
    <row r="145" spans="1:38" x14ac:dyDescent="0.35">
      <c r="A145" s="2">
        <v>1</v>
      </c>
      <c r="B145" s="15">
        <v>0.11805555555555555</v>
      </c>
      <c r="C145" s="21" t="s">
        <v>131</v>
      </c>
      <c r="Y145" s="16" t="s">
        <v>181</v>
      </c>
      <c r="Z145" s="16" t="s">
        <v>199</v>
      </c>
      <c r="AA145" s="16" t="s">
        <v>183</v>
      </c>
      <c r="AC145" s="16" t="s">
        <v>184</v>
      </c>
      <c r="AD145" s="16" t="s">
        <v>183</v>
      </c>
      <c r="AE145" s="16" t="s">
        <v>183</v>
      </c>
      <c r="AF145" s="5" t="s">
        <v>231</v>
      </c>
      <c r="AG145" s="5" t="s">
        <v>186</v>
      </c>
      <c r="AH145" s="5" t="s">
        <v>194</v>
      </c>
      <c r="AI145" s="5" t="s">
        <v>190</v>
      </c>
      <c r="AJ145" s="5" t="s">
        <v>212</v>
      </c>
      <c r="AK145" s="7"/>
      <c r="AL145" s="7"/>
    </row>
    <row r="146" spans="1:38" x14ac:dyDescent="0.35">
      <c r="A146" s="2">
        <v>1</v>
      </c>
      <c r="B146" s="15">
        <v>0.1076388888888889</v>
      </c>
      <c r="C146" s="21" t="s">
        <v>131</v>
      </c>
      <c r="Y146" s="16" t="s">
        <v>181</v>
      </c>
      <c r="Z146" s="16" t="s">
        <v>190</v>
      </c>
      <c r="AA146" s="16" t="s">
        <v>183</v>
      </c>
      <c r="AC146" s="16" t="s">
        <v>191</v>
      </c>
      <c r="AD146" s="16" t="s">
        <v>183</v>
      </c>
      <c r="AE146" s="16" t="s">
        <v>183</v>
      </c>
      <c r="AF146" s="5" t="s">
        <v>218</v>
      </c>
      <c r="AG146" s="5" t="s">
        <v>186</v>
      </c>
      <c r="AH146" s="5" t="s">
        <v>190</v>
      </c>
      <c r="AI146" s="5" t="s">
        <v>203</v>
      </c>
      <c r="AJ146" s="5" t="s">
        <v>198</v>
      </c>
      <c r="AK146" s="7"/>
      <c r="AL146" s="7"/>
    </row>
    <row r="147" spans="1:38" x14ac:dyDescent="0.35">
      <c r="A147" s="2">
        <v>1</v>
      </c>
      <c r="B147" s="15">
        <v>9.375E-2</v>
      </c>
      <c r="C147" s="21" t="s">
        <v>131</v>
      </c>
      <c r="Y147" s="16" t="s">
        <v>181</v>
      </c>
      <c r="Z147" s="16" t="s">
        <v>203</v>
      </c>
      <c r="AA147" s="16" t="s">
        <v>219</v>
      </c>
      <c r="AC147" s="16" t="s">
        <v>184</v>
      </c>
      <c r="AD147" s="16" t="s">
        <v>183</v>
      </c>
      <c r="AE147" s="16" t="s">
        <v>183</v>
      </c>
      <c r="AF147" s="5" t="s">
        <v>231</v>
      </c>
      <c r="AG147" s="5" t="s">
        <v>186</v>
      </c>
      <c r="AH147" s="5" t="s">
        <v>183</v>
      </c>
      <c r="AI147" s="5" t="s">
        <v>217</v>
      </c>
      <c r="AJ147" s="5" t="s">
        <v>189</v>
      </c>
      <c r="AK147" s="7"/>
      <c r="AL147" s="7"/>
    </row>
    <row r="148" spans="1:38" x14ac:dyDescent="0.35">
      <c r="A148" s="2">
        <v>1</v>
      </c>
      <c r="B148" s="15">
        <v>6.25E-2</v>
      </c>
      <c r="C148" s="21" t="s">
        <v>167</v>
      </c>
      <c r="Y148" s="16" t="s">
        <v>193</v>
      </c>
      <c r="Z148" s="16" t="s">
        <v>216</v>
      </c>
      <c r="AA148" s="16" t="s">
        <v>183</v>
      </c>
      <c r="AB148" s="16" t="s">
        <v>183</v>
      </c>
      <c r="AC148" s="16" t="s">
        <v>191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1</v>
      </c>
      <c r="B149" s="15">
        <v>5.0694444444444445E-2</v>
      </c>
      <c r="C149" s="21" t="s">
        <v>167</v>
      </c>
      <c r="Y149" s="16" t="s">
        <v>193</v>
      </c>
      <c r="Z149" s="16" t="s">
        <v>216</v>
      </c>
      <c r="AA149" s="16" t="s">
        <v>203</v>
      </c>
      <c r="AB149" s="16" t="s">
        <v>140</v>
      </c>
      <c r="AC149" s="16" t="s">
        <v>191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9.0277777777777769E-3</v>
      </c>
      <c r="C150" s="21" t="s">
        <v>167</v>
      </c>
      <c r="Y150" s="16" t="s">
        <v>193</v>
      </c>
      <c r="Z150" s="16" t="s">
        <v>197</v>
      </c>
      <c r="AA150" s="16" t="s">
        <v>228</v>
      </c>
      <c r="AB150" s="16" t="s">
        <v>183</v>
      </c>
      <c r="AC150" s="16" t="s">
        <v>184</v>
      </c>
      <c r="AD150" s="16" t="s">
        <v>183</v>
      </c>
      <c r="AE150" s="16" t="s">
        <v>183</v>
      </c>
      <c r="AK150" s="7"/>
      <c r="AL150" s="7"/>
    </row>
    <row r="151" spans="1:38" x14ac:dyDescent="0.35">
      <c r="A151" s="2">
        <v>2</v>
      </c>
      <c r="B151" s="15">
        <v>0.82222222222222219</v>
      </c>
      <c r="C151" s="21" t="s">
        <v>131</v>
      </c>
      <c r="AF151" s="5" t="s">
        <v>182</v>
      </c>
      <c r="AG151" s="5" t="s">
        <v>186</v>
      </c>
      <c r="AH151" s="5" t="s">
        <v>183</v>
      </c>
      <c r="AI151" s="5" t="s">
        <v>216</v>
      </c>
      <c r="AJ151" s="5" t="s">
        <v>189</v>
      </c>
      <c r="AK151" s="7"/>
      <c r="AL151" s="7"/>
    </row>
    <row r="152" spans="1:38" x14ac:dyDescent="0.35">
      <c r="A152" s="2">
        <v>2</v>
      </c>
      <c r="B152" s="15">
        <v>0.81458333333333333</v>
      </c>
      <c r="C152" s="21" t="s">
        <v>131</v>
      </c>
      <c r="Y152" s="16" t="s">
        <v>181</v>
      </c>
      <c r="Z152" s="16" t="s">
        <v>223</v>
      </c>
      <c r="AA152" s="16" t="s">
        <v>183</v>
      </c>
      <c r="AC152" s="16" t="s">
        <v>193</v>
      </c>
      <c r="AD152" s="16" t="s">
        <v>183</v>
      </c>
      <c r="AE152" s="16" t="s">
        <v>183</v>
      </c>
      <c r="AF152" s="5" t="s">
        <v>185</v>
      </c>
      <c r="AG152" s="5" t="s">
        <v>189</v>
      </c>
      <c r="AK152" s="7"/>
      <c r="AL152" s="7"/>
    </row>
    <row r="153" spans="1:38" x14ac:dyDescent="0.35">
      <c r="A153" s="2">
        <v>2</v>
      </c>
      <c r="B153" s="15">
        <v>0.79236111111111107</v>
      </c>
      <c r="C153" s="21" t="s">
        <v>131</v>
      </c>
      <c r="Y153" s="16" t="s">
        <v>224</v>
      </c>
      <c r="Z153" s="16" t="s">
        <v>132</v>
      </c>
      <c r="AD153" s="16" t="s">
        <v>196</v>
      </c>
      <c r="AF153" s="5" t="s">
        <v>195</v>
      </c>
      <c r="AG153" s="5" t="s">
        <v>189</v>
      </c>
      <c r="AK153" s="7"/>
      <c r="AL153" s="7"/>
    </row>
    <row r="154" spans="1:38" x14ac:dyDescent="0.35">
      <c r="A154" s="2">
        <v>2</v>
      </c>
      <c r="B154" s="15">
        <v>0.78611111111111109</v>
      </c>
      <c r="C154" s="21" t="s">
        <v>131</v>
      </c>
      <c r="AF154" s="5" t="s">
        <v>192</v>
      </c>
      <c r="AG154" s="5" t="s">
        <v>186</v>
      </c>
      <c r="AH154" s="5" t="s">
        <v>196</v>
      </c>
      <c r="AI154" s="5" t="s">
        <v>194</v>
      </c>
      <c r="AJ154" s="5" t="s">
        <v>189</v>
      </c>
      <c r="AK154" s="7"/>
      <c r="AL154" s="7"/>
    </row>
    <row r="155" spans="1:38" x14ac:dyDescent="0.35">
      <c r="A155" s="2">
        <v>2</v>
      </c>
      <c r="B155" s="15">
        <v>0.77638888888888891</v>
      </c>
      <c r="C155" s="21" t="s">
        <v>131</v>
      </c>
      <c r="Y155" s="16" t="s">
        <v>181</v>
      </c>
      <c r="Z155" s="16" t="s">
        <v>194</v>
      </c>
      <c r="AA155" s="16" t="s">
        <v>200</v>
      </c>
      <c r="AC155" s="16" t="s">
        <v>184</v>
      </c>
      <c r="AD155" s="16" t="s">
        <v>183</v>
      </c>
      <c r="AE155" s="16" t="s">
        <v>183</v>
      </c>
      <c r="AF155" s="5" t="s">
        <v>195</v>
      </c>
      <c r="AG155" s="5" t="s">
        <v>186</v>
      </c>
      <c r="AH155" s="5" t="s">
        <v>201</v>
      </c>
      <c r="AI155" s="5" t="s">
        <v>200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0.76944444444444449</v>
      </c>
      <c r="C156" s="21" t="s">
        <v>131</v>
      </c>
      <c r="Y156" s="16" t="s">
        <v>181</v>
      </c>
      <c r="Z156" s="16" t="s">
        <v>208</v>
      </c>
      <c r="AA156" s="16" t="s">
        <v>183</v>
      </c>
      <c r="AC156" s="16" t="s">
        <v>184</v>
      </c>
      <c r="AD156" s="16" t="s">
        <v>183</v>
      </c>
      <c r="AE156" s="16" t="s">
        <v>183</v>
      </c>
      <c r="AF156" s="5" t="s">
        <v>204</v>
      </c>
      <c r="AG156" s="5" t="s">
        <v>186</v>
      </c>
      <c r="AH156" s="5" t="s">
        <v>183</v>
      </c>
      <c r="AI156" s="5" t="s">
        <v>203</v>
      </c>
      <c r="AJ156" s="5" t="s">
        <v>212</v>
      </c>
      <c r="AK156" s="7"/>
      <c r="AL156" s="7"/>
    </row>
    <row r="157" spans="1:38" x14ac:dyDescent="0.35">
      <c r="A157" s="2">
        <v>2</v>
      </c>
      <c r="B157" s="15">
        <v>0.75902777777777775</v>
      </c>
      <c r="C157" s="21" t="s">
        <v>131</v>
      </c>
      <c r="Y157" s="16" t="s">
        <v>181</v>
      </c>
      <c r="Z157" s="16" t="s">
        <v>206</v>
      </c>
      <c r="AA157" s="16" t="s">
        <v>183</v>
      </c>
      <c r="AC157" s="16" t="s">
        <v>184</v>
      </c>
      <c r="AD157" s="16" t="s">
        <v>208</v>
      </c>
      <c r="AE157" s="16" t="s">
        <v>183</v>
      </c>
      <c r="AF157" s="5" t="s">
        <v>203</v>
      </c>
      <c r="AG157" s="5" t="s">
        <v>220</v>
      </c>
      <c r="AH157" s="5" t="s">
        <v>221</v>
      </c>
      <c r="AK157" s="7"/>
      <c r="AL157" s="7"/>
    </row>
    <row r="158" spans="1:38" x14ac:dyDescent="0.35">
      <c r="A158" s="2">
        <v>2</v>
      </c>
      <c r="B158" s="15">
        <v>0.75069444444444444</v>
      </c>
      <c r="C158" s="21" t="s">
        <v>131</v>
      </c>
      <c r="AF158" s="5" t="s">
        <v>226</v>
      </c>
      <c r="AG158" s="5" t="s">
        <v>220</v>
      </c>
      <c r="AK158" s="7"/>
      <c r="AL158" s="7"/>
    </row>
    <row r="159" spans="1:38" x14ac:dyDescent="0.35">
      <c r="A159" s="2">
        <v>2</v>
      </c>
      <c r="B159" s="15">
        <v>0.74652777777777779</v>
      </c>
      <c r="C159" s="21" t="s">
        <v>131</v>
      </c>
      <c r="AF159" s="5" t="s">
        <v>203</v>
      </c>
      <c r="AG159" s="5" t="s">
        <v>188</v>
      </c>
      <c r="AK159" s="7"/>
      <c r="AL159" s="7"/>
    </row>
    <row r="160" spans="1:38" x14ac:dyDescent="0.35">
      <c r="A160" s="2">
        <v>2</v>
      </c>
      <c r="B160" s="15">
        <v>0.74097222222222225</v>
      </c>
      <c r="C160" s="21" t="s">
        <v>131</v>
      </c>
      <c r="AF160" s="5" t="s">
        <v>203</v>
      </c>
      <c r="AG160" s="5" t="s">
        <v>186</v>
      </c>
      <c r="AH160" s="5" t="s">
        <v>183</v>
      </c>
      <c r="AI160" s="5" t="s">
        <v>202</v>
      </c>
      <c r="AJ160" s="5" t="s">
        <v>205</v>
      </c>
      <c r="AK160" s="7"/>
      <c r="AL160" s="7"/>
    </row>
    <row r="161" spans="1:38" x14ac:dyDescent="0.35">
      <c r="A161" s="2">
        <v>2</v>
      </c>
      <c r="B161" s="15">
        <v>0.72916666666666663</v>
      </c>
      <c r="C161" s="21" t="s">
        <v>131</v>
      </c>
      <c r="Y161" s="16" t="s">
        <v>181</v>
      </c>
      <c r="Z161" s="16" t="s">
        <v>214</v>
      </c>
      <c r="AA161" s="16" t="s">
        <v>183</v>
      </c>
      <c r="AC161" s="16" t="s">
        <v>184</v>
      </c>
      <c r="AD161" s="16" t="s">
        <v>210</v>
      </c>
      <c r="AE161" s="16" t="s">
        <v>183</v>
      </c>
      <c r="AF161" s="5" t="s">
        <v>227</v>
      </c>
      <c r="AG161" s="5" t="s">
        <v>220</v>
      </c>
      <c r="AH161" s="5" t="s">
        <v>210</v>
      </c>
      <c r="AK161" s="7"/>
      <c r="AL161" s="7"/>
    </row>
    <row r="162" spans="1:38" x14ac:dyDescent="0.35">
      <c r="A162" s="2">
        <v>2</v>
      </c>
      <c r="B162" s="15">
        <v>0.72083333333333333</v>
      </c>
      <c r="C162" s="21" t="s">
        <v>131</v>
      </c>
      <c r="Y162" s="16" t="s">
        <v>193</v>
      </c>
      <c r="Z162" s="16" t="s">
        <v>227</v>
      </c>
      <c r="AA162" s="16" t="s">
        <v>192</v>
      </c>
      <c r="AB162" s="16" t="s">
        <v>134</v>
      </c>
      <c r="AC162" s="16" t="s">
        <v>193</v>
      </c>
      <c r="AD162" s="16" t="s">
        <v>183</v>
      </c>
      <c r="AE162" s="16" t="s">
        <v>183</v>
      </c>
      <c r="AF162" s="5" t="s">
        <v>192</v>
      </c>
      <c r="AG162" s="5" t="s">
        <v>188</v>
      </c>
      <c r="AK162" s="7"/>
      <c r="AL162" s="7"/>
    </row>
    <row r="163" spans="1:38" x14ac:dyDescent="0.35">
      <c r="A163" s="2">
        <v>2</v>
      </c>
      <c r="B163" s="15">
        <v>0.70902777777777781</v>
      </c>
      <c r="C163" s="21" t="s">
        <v>131</v>
      </c>
      <c r="AF163" s="5" t="s">
        <v>229</v>
      </c>
      <c r="AG163" s="5" t="s">
        <v>205</v>
      </c>
      <c r="AH163" s="5" t="s">
        <v>217</v>
      </c>
      <c r="AK163" s="7"/>
      <c r="AL163" s="7"/>
    </row>
    <row r="164" spans="1:38" x14ac:dyDescent="0.35">
      <c r="A164" s="2">
        <v>2</v>
      </c>
      <c r="B164" s="15">
        <v>0.70625000000000004</v>
      </c>
      <c r="C164" s="21" t="s">
        <v>131</v>
      </c>
      <c r="Y164" s="16" t="s">
        <v>193</v>
      </c>
      <c r="Z164" s="16" t="s">
        <v>230</v>
      </c>
      <c r="AA164" s="16" t="s">
        <v>219</v>
      </c>
      <c r="AB164" s="16" t="s">
        <v>183</v>
      </c>
      <c r="AC164" s="16" t="s">
        <v>191</v>
      </c>
      <c r="AD164" s="16" t="s">
        <v>183</v>
      </c>
      <c r="AE164" s="16" t="s">
        <v>183</v>
      </c>
      <c r="AF164" s="5" t="s">
        <v>217</v>
      </c>
      <c r="AG164" s="5" t="s">
        <v>205</v>
      </c>
      <c r="AH164" s="5" t="s">
        <v>230</v>
      </c>
      <c r="AK164" s="7"/>
      <c r="AL164" s="7"/>
    </row>
    <row r="165" spans="1:38" x14ac:dyDescent="0.35">
      <c r="A165" s="2">
        <v>2</v>
      </c>
      <c r="B165" s="15">
        <v>0.7</v>
      </c>
      <c r="C165" s="21" t="s">
        <v>131</v>
      </c>
      <c r="Y165" s="16" t="s">
        <v>193</v>
      </c>
      <c r="Z165" s="16" t="s">
        <v>219</v>
      </c>
      <c r="AA165" s="16" t="s">
        <v>199</v>
      </c>
      <c r="AB165" s="16" t="s">
        <v>134</v>
      </c>
      <c r="AC165" s="16" t="s">
        <v>191</v>
      </c>
      <c r="AD165" s="16" t="s">
        <v>183</v>
      </c>
      <c r="AE165" s="16" t="s">
        <v>134</v>
      </c>
      <c r="AK165" s="7"/>
      <c r="AL165" s="7"/>
    </row>
    <row r="166" spans="1:38" x14ac:dyDescent="0.35">
      <c r="A166" s="2">
        <v>2</v>
      </c>
      <c r="B166" s="15">
        <v>0.69374999999999998</v>
      </c>
      <c r="C166" s="21" t="s">
        <v>131</v>
      </c>
      <c r="Y166" s="16" t="s">
        <v>181</v>
      </c>
      <c r="Z166" s="16" t="s">
        <v>195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215</v>
      </c>
      <c r="AG166" s="5" t="s">
        <v>186</v>
      </c>
      <c r="AH166" s="5" t="s">
        <v>196</v>
      </c>
      <c r="AI166" s="5" t="s">
        <v>203</v>
      </c>
      <c r="AJ166" s="5" t="s">
        <v>212</v>
      </c>
      <c r="AK166" s="7"/>
      <c r="AL166" s="7"/>
    </row>
    <row r="167" spans="1:38" x14ac:dyDescent="0.35">
      <c r="A167" s="2">
        <v>2</v>
      </c>
      <c r="B167" s="15">
        <v>0.68263888888888891</v>
      </c>
      <c r="C167" s="21" t="s">
        <v>131</v>
      </c>
      <c r="AF167" s="5" t="s">
        <v>195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0.68055555555555558</v>
      </c>
      <c r="C168" s="21" t="s">
        <v>131</v>
      </c>
      <c r="Y168" s="16" t="s">
        <v>193</v>
      </c>
      <c r="Z168" s="16" t="s">
        <v>196</v>
      </c>
      <c r="AA168" s="16" t="s">
        <v>228</v>
      </c>
      <c r="AB168" s="16" t="s">
        <v>183</v>
      </c>
      <c r="AC168" s="16" t="s">
        <v>184</v>
      </c>
      <c r="AD168" s="16" t="s">
        <v>183</v>
      </c>
      <c r="AE168" s="16" t="s">
        <v>183</v>
      </c>
      <c r="AF168" s="5" t="s">
        <v>228</v>
      </c>
      <c r="AG168" s="5" t="s">
        <v>186</v>
      </c>
      <c r="AH168" s="5" t="s">
        <v>197</v>
      </c>
      <c r="AI168" s="5" t="s">
        <v>225</v>
      </c>
      <c r="AJ168" s="5" t="s">
        <v>212</v>
      </c>
      <c r="AK168" s="7"/>
      <c r="AL168" s="7"/>
    </row>
    <row r="169" spans="1:38" x14ac:dyDescent="0.35">
      <c r="A169" s="2">
        <v>2</v>
      </c>
      <c r="B169" s="15">
        <v>0.66527777777777775</v>
      </c>
      <c r="C169" s="21" t="s">
        <v>131</v>
      </c>
      <c r="Y169" s="16" t="s">
        <v>193</v>
      </c>
      <c r="Z169" s="16" t="s">
        <v>201</v>
      </c>
      <c r="AA169" s="16" t="s">
        <v>207</v>
      </c>
      <c r="AB169" s="16" t="s">
        <v>183</v>
      </c>
      <c r="AC169" s="16" t="s">
        <v>184</v>
      </c>
      <c r="AD169" s="16" t="s">
        <v>183</v>
      </c>
      <c r="AE169" s="16" t="s">
        <v>183</v>
      </c>
      <c r="AF169" s="5" t="s">
        <v>207</v>
      </c>
      <c r="AG169" s="5" t="s">
        <v>198</v>
      </c>
      <c r="AK169" s="7"/>
      <c r="AL169" s="7"/>
    </row>
    <row r="170" spans="1:38" x14ac:dyDescent="0.35">
      <c r="A170" s="2">
        <v>2</v>
      </c>
      <c r="B170" s="15">
        <v>0.65555555555555556</v>
      </c>
      <c r="C170" s="21" t="s">
        <v>131</v>
      </c>
      <c r="Y170" s="16" t="s">
        <v>181</v>
      </c>
      <c r="Z170" s="16" t="s">
        <v>207</v>
      </c>
      <c r="AA170" s="16" t="s">
        <v>183</v>
      </c>
      <c r="AC170" s="16" t="s">
        <v>193</v>
      </c>
      <c r="AD170" s="16" t="s">
        <v>221</v>
      </c>
      <c r="AE170" s="16" t="s">
        <v>183</v>
      </c>
      <c r="AF170" s="5" t="s">
        <v>225</v>
      </c>
      <c r="AG170" s="5" t="s">
        <v>186</v>
      </c>
      <c r="AH170" s="5" t="s">
        <v>183</v>
      </c>
      <c r="AI170" s="5" t="s">
        <v>218</v>
      </c>
      <c r="AJ170" s="5" t="s">
        <v>205</v>
      </c>
      <c r="AK170" s="7"/>
      <c r="AL170" s="7"/>
    </row>
    <row r="171" spans="1:38" x14ac:dyDescent="0.35">
      <c r="A171" s="2">
        <v>2</v>
      </c>
      <c r="B171" s="15">
        <v>0.62777777777777777</v>
      </c>
      <c r="C171" s="21" t="s">
        <v>131</v>
      </c>
      <c r="Y171" s="16" t="s">
        <v>193</v>
      </c>
      <c r="Z171" s="16" t="s">
        <v>225</v>
      </c>
      <c r="AA171" s="16" t="s">
        <v>206</v>
      </c>
      <c r="AB171" s="16" t="s">
        <v>183</v>
      </c>
      <c r="AC171" s="16" t="s">
        <v>191</v>
      </c>
      <c r="AD171" s="16" t="s">
        <v>183</v>
      </c>
      <c r="AE171" s="16" t="s">
        <v>183</v>
      </c>
      <c r="AF171" s="5" t="s">
        <v>227</v>
      </c>
      <c r="AG171" s="5" t="s">
        <v>186</v>
      </c>
      <c r="AH171" s="5" t="s">
        <v>214</v>
      </c>
      <c r="AI171" s="5" t="s">
        <v>206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0.61944444444444446</v>
      </c>
      <c r="C172" s="21" t="s">
        <v>131</v>
      </c>
      <c r="Y172" s="16" t="s">
        <v>193</v>
      </c>
      <c r="Z172" s="16" t="s">
        <v>227</v>
      </c>
      <c r="AA172" s="16" t="s">
        <v>199</v>
      </c>
      <c r="AB172" s="16" t="s">
        <v>183</v>
      </c>
      <c r="AC172" s="16" t="s">
        <v>191</v>
      </c>
      <c r="AD172" s="16" t="s">
        <v>183</v>
      </c>
      <c r="AE172" s="16" t="s">
        <v>183</v>
      </c>
      <c r="AF172" s="5" t="s">
        <v>214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0.61319444444444449</v>
      </c>
      <c r="C173" s="21" t="s">
        <v>131</v>
      </c>
      <c r="Y173" s="16" t="s">
        <v>181</v>
      </c>
      <c r="Z173" s="16" t="s">
        <v>222</v>
      </c>
      <c r="AA173" s="16" t="s">
        <v>192</v>
      </c>
      <c r="AC173" s="16" t="s">
        <v>184</v>
      </c>
      <c r="AD173" s="16" t="s">
        <v>183</v>
      </c>
      <c r="AE173" s="16" t="s">
        <v>183</v>
      </c>
      <c r="AF173" s="5" t="s">
        <v>215</v>
      </c>
      <c r="AG173" s="5" t="s">
        <v>186</v>
      </c>
      <c r="AH173" s="5" t="s">
        <v>227</v>
      </c>
      <c r="AI173" s="5" t="s">
        <v>199</v>
      </c>
      <c r="AJ173" s="5" t="s">
        <v>212</v>
      </c>
      <c r="AK173" s="7"/>
      <c r="AL173" s="7"/>
    </row>
    <row r="174" spans="1:38" x14ac:dyDescent="0.35">
      <c r="A174" s="2">
        <v>2</v>
      </c>
      <c r="B174" s="15">
        <v>0.6020833333333333</v>
      </c>
      <c r="C174" s="21" t="s">
        <v>131</v>
      </c>
      <c r="AF174" s="5" t="s">
        <v>215</v>
      </c>
      <c r="AG174" s="5" t="s">
        <v>186</v>
      </c>
      <c r="AH174" s="5" t="s">
        <v>183</v>
      </c>
      <c r="AI174" s="5" t="s">
        <v>192</v>
      </c>
      <c r="AJ174" s="5" t="s">
        <v>212</v>
      </c>
      <c r="AK174" s="7"/>
      <c r="AL174" s="7"/>
    </row>
    <row r="175" spans="1:38" x14ac:dyDescent="0.35">
      <c r="A175" s="2">
        <v>2</v>
      </c>
      <c r="B175" s="15">
        <v>0.59513888888888888</v>
      </c>
      <c r="C175" s="21" t="s">
        <v>131</v>
      </c>
      <c r="Y175" s="16" t="s">
        <v>181</v>
      </c>
      <c r="Z175" s="16" t="s">
        <v>223</v>
      </c>
      <c r="AA175" s="16" t="s">
        <v>183</v>
      </c>
      <c r="AC175" s="16" t="s">
        <v>184</v>
      </c>
      <c r="AD175" s="16" t="s">
        <v>183</v>
      </c>
      <c r="AE175" s="16" t="s">
        <v>183</v>
      </c>
      <c r="AF175" s="5" t="s">
        <v>228</v>
      </c>
      <c r="AG175" s="5" t="s">
        <v>186</v>
      </c>
      <c r="AH175" s="5" t="s">
        <v>216</v>
      </c>
      <c r="AI175" s="5" t="s">
        <v>185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0.5854166666666667</v>
      </c>
      <c r="C176" s="21" t="s">
        <v>131</v>
      </c>
      <c r="Y176" s="16" t="s">
        <v>181</v>
      </c>
      <c r="Z176" s="16" t="s">
        <v>229</v>
      </c>
      <c r="AA176" s="16" t="s">
        <v>183</v>
      </c>
      <c r="AC176" s="16" t="s">
        <v>191</v>
      </c>
      <c r="AD176" s="16" t="s">
        <v>183</v>
      </c>
      <c r="AE176" s="16" t="s">
        <v>183</v>
      </c>
      <c r="AF176" s="5" t="s">
        <v>200</v>
      </c>
      <c r="AG176" s="5" t="s">
        <v>186</v>
      </c>
      <c r="AH176" s="5" t="s">
        <v>229</v>
      </c>
      <c r="AI176" s="5" t="s">
        <v>216</v>
      </c>
      <c r="AJ176" s="5" t="s">
        <v>188</v>
      </c>
      <c r="AK176" s="7"/>
      <c r="AL176" s="7"/>
    </row>
    <row r="177" spans="1:38" x14ac:dyDescent="0.35">
      <c r="A177" s="2">
        <v>2</v>
      </c>
      <c r="B177" s="15">
        <v>0.57291666666666663</v>
      </c>
      <c r="C177" s="21" t="s">
        <v>131</v>
      </c>
      <c r="AF177" s="5" t="s">
        <v>200</v>
      </c>
      <c r="AG177" s="5" t="s">
        <v>189</v>
      </c>
      <c r="AK177" s="7"/>
      <c r="AL177" s="7"/>
    </row>
    <row r="178" spans="1:38" x14ac:dyDescent="0.35">
      <c r="A178" s="2">
        <v>2</v>
      </c>
      <c r="B178" s="15">
        <v>0.56597222222222221</v>
      </c>
      <c r="C178" s="21" t="s">
        <v>131</v>
      </c>
      <c r="Y178" s="16" t="s">
        <v>193</v>
      </c>
      <c r="Z178" s="16" t="s">
        <v>214</v>
      </c>
      <c r="AA178" s="16" t="s">
        <v>200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F178" s="5" t="s">
        <v>197</v>
      </c>
      <c r="AG178" s="5" t="s">
        <v>212</v>
      </c>
      <c r="AK178" s="7"/>
      <c r="AL178" s="7"/>
    </row>
    <row r="179" spans="1:38" x14ac:dyDescent="0.35">
      <c r="A179" s="2">
        <v>2</v>
      </c>
      <c r="B179" s="15">
        <v>0.55902777777777779</v>
      </c>
      <c r="C179" s="21" t="s">
        <v>131</v>
      </c>
      <c r="Y179" s="16" t="s">
        <v>181</v>
      </c>
      <c r="Z179" s="16" t="s">
        <v>210</v>
      </c>
      <c r="AA179" s="16" t="s">
        <v>183</v>
      </c>
      <c r="AC179" s="16" t="s">
        <v>191</v>
      </c>
      <c r="AD179" s="16" t="s">
        <v>214</v>
      </c>
      <c r="AE179" s="16" t="s">
        <v>183</v>
      </c>
      <c r="AF179" s="5" t="s">
        <v>200</v>
      </c>
      <c r="AG179" s="5" t="s">
        <v>186</v>
      </c>
      <c r="AH179" s="5" t="s">
        <v>183</v>
      </c>
      <c r="AI179" s="5" t="s">
        <v>197</v>
      </c>
      <c r="AJ179" s="5" t="s">
        <v>205</v>
      </c>
      <c r="AK179" s="7"/>
      <c r="AL179" s="7"/>
    </row>
    <row r="180" spans="1:38" x14ac:dyDescent="0.35">
      <c r="A180" s="2">
        <v>2</v>
      </c>
      <c r="B180" s="15">
        <v>0.55069444444444449</v>
      </c>
      <c r="C180" s="21" t="s">
        <v>131</v>
      </c>
      <c r="Y180" s="16" t="s">
        <v>193</v>
      </c>
      <c r="Z180" s="16" t="s">
        <v>196</v>
      </c>
      <c r="AA180" s="16" t="s">
        <v>228</v>
      </c>
      <c r="AB180" s="16" t="s">
        <v>183</v>
      </c>
      <c r="AC180" s="16" t="s">
        <v>184</v>
      </c>
      <c r="AD180" s="16" t="s">
        <v>183</v>
      </c>
      <c r="AE180" s="16" t="s">
        <v>183</v>
      </c>
      <c r="AF180" s="5" t="s">
        <v>199</v>
      </c>
      <c r="AG180" s="5" t="s">
        <v>220</v>
      </c>
      <c r="AH180" s="5" t="s">
        <v>208</v>
      </c>
      <c r="AI180" s="5" t="s">
        <v>199</v>
      </c>
      <c r="AJ180" s="5" t="s">
        <v>205</v>
      </c>
      <c r="AK180" s="7"/>
      <c r="AL180" s="7"/>
    </row>
    <row r="181" spans="1:38" x14ac:dyDescent="0.35">
      <c r="A181" s="2">
        <v>2</v>
      </c>
      <c r="B181" s="15">
        <v>0.5395833333333333</v>
      </c>
      <c r="C181" s="21" t="s">
        <v>131</v>
      </c>
      <c r="Y181" s="16" t="s">
        <v>181</v>
      </c>
      <c r="Z181" s="16" t="s">
        <v>210</v>
      </c>
      <c r="AA181" s="16" t="s">
        <v>183</v>
      </c>
      <c r="AC181" s="16" t="s">
        <v>184</v>
      </c>
      <c r="AD181" s="16" t="s">
        <v>183</v>
      </c>
      <c r="AE181" s="16" t="s">
        <v>183</v>
      </c>
      <c r="AF181" s="5" t="s">
        <v>231</v>
      </c>
      <c r="AG181" s="5" t="s">
        <v>205</v>
      </c>
      <c r="AK181" s="7"/>
      <c r="AL181" s="7"/>
    </row>
    <row r="182" spans="1:38" x14ac:dyDescent="0.35">
      <c r="A182" s="2">
        <v>2</v>
      </c>
      <c r="B182" s="15">
        <v>0.53611111111111109</v>
      </c>
      <c r="C182" s="21" t="s">
        <v>131</v>
      </c>
      <c r="Y182" s="16" t="s">
        <v>193</v>
      </c>
      <c r="Z182" s="16" t="s">
        <v>208</v>
      </c>
      <c r="AA182" s="16" t="s">
        <v>192</v>
      </c>
      <c r="AB182" s="16" t="s">
        <v>183</v>
      </c>
      <c r="AC182" s="16" t="s">
        <v>184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0.52430555555555558</v>
      </c>
      <c r="C183" s="21" t="s">
        <v>131</v>
      </c>
      <c r="AF183" s="5" t="s">
        <v>217</v>
      </c>
      <c r="AG183" s="5" t="s">
        <v>186</v>
      </c>
      <c r="AH183" s="5" t="s">
        <v>183</v>
      </c>
      <c r="AI183" s="5" t="s">
        <v>223</v>
      </c>
      <c r="AJ183" s="5" t="s">
        <v>198</v>
      </c>
      <c r="AK183" s="7"/>
      <c r="AL183" s="7"/>
    </row>
    <row r="184" spans="1:38" x14ac:dyDescent="0.35">
      <c r="A184" s="2">
        <v>2</v>
      </c>
      <c r="B184" s="15">
        <v>0.51875000000000004</v>
      </c>
      <c r="C184" s="21" t="s">
        <v>131</v>
      </c>
      <c r="Y184" s="16" t="s">
        <v>193</v>
      </c>
      <c r="Z184" s="16" t="s">
        <v>219</v>
      </c>
      <c r="AA184" s="16" t="s">
        <v>228</v>
      </c>
      <c r="AB184" s="16" t="s">
        <v>134</v>
      </c>
      <c r="AC184" s="16" t="s">
        <v>184</v>
      </c>
      <c r="AD184" s="16" t="s">
        <v>183</v>
      </c>
      <c r="AE184" s="16" t="s">
        <v>183</v>
      </c>
      <c r="AF184" s="5" t="s">
        <v>228</v>
      </c>
      <c r="AG184" s="5" t="s">
        <v>186</v>
      </c>
      <c r="AH184" s="5" t="s">
        <v>216</v>
      </c>
      <c r="AI184" s="5" t="s">
        <v>229</v>
      </c>
      <c r="AJ184" s="5" t="s">
        <v>189</v>
      </c>
      <c r="AK184" s="7"/>
      <c r="AL184" s="7"/>
    </row>
    <row r="185" spans="1:38" x14ac:dyDescent="0.35">
      <c r="A185" s="2">
        <v>2</v>
      </c>
      <c r="B185" s="15">
        <v>0.50694444444444442</v>
      </c>
      <c r="C185" s="21" t="s">
        <v>131</v>
      </c>
      <c r="Y185" s="16" t="s">
        <v>181</v>
      </c>
      <c r="Z185" s="16" t="s">
        <v>185</v>
      </c>
      <c r="AA185" s="16" t="s">
        <v>183</v>
      </c>
      <c r="AC185" s="16" t="s">
        <v>193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0.50277777777777777</v>
      </c>
      <c r="C186" s="21" t="s">
        <v>131</v>
      </c>
      <c r="Y186" s="16" t="s">
        <v>181</v>
      </c>
      <c r="Z186" s="16" t="s">
        <v>217</v>
      </c>
      <c r="AA186" s="16" t="s">
        <v>228</v>
      </c>
      <c r="AC186" s="16" t="s">
        <v>184</v>
      </c>
      <c r="AD186" s="16" t="s">
        <v>183</v>
      </c>
      <c r="AE186" s="16" t="s">
        <v>183</v>
      </c>
      <c r="AF186" s="5" t="s">
        <v>187</v>
      </c>
      <c r="AG186" s="5" t="s">
        <v>205</v>
      </c>
      <c r="AH186" s="5" t="s">
        <v>196</v>
      </c>
    </row>
    <row r="187" spans="1:38" x14ac:dyDescent="0.35">
      <c r="A187" s="2">
        <v>2</v>
      </c>
      <c r="B187" s="15">
        <v>0.49166666666666664</v>
      </c>
      <c r="C187" s="21" t="s">
        <v>131</v>
      </c>
      <c r="Y187" s="16" t="s">
        <v>181</v>
      </c>
      <c r="Z187" s="16" t="s">
        <v>230</v>
      </c>
      <c r="AA187" s="16" t="s">
        <v>200</v>
      </c>
      <c r="AC187" s="16" t="s">
        <v>193</v>
      </c>
      <c r="AD187" s="16" t="s">
        <v>183</v>
      </c>
      <c r="AE187" s="16" t="s">
        <v>183</v>
      </c>
      <c r="AF187" s="5" t="s">
        <v>197</v>
      </c>
      <c r="AG187" s="5" t="s">
        <v>205</v>
      </c>
    </row>
    <row r="188" spans="1:38" x14ac:dyDescent="0.35">
      <c r="A188" s="2">
        <v>2</v>
      </c>
      <c r="B188" s="15">
        <v>0.4861111111111111</v>
      </c>
      <c r="C188" s="21" t="s">
        <v>131</v>
      </c>
      <c r="Y188" s="16" t="s">
        <v>181</v>
      </c>
      <c r="Z188" s="16" t="s">
        <v>196</v>
      </c>
      <c r="AA188" s="16" t="s">
        <v>203</v>
      </c>
      <c r="AC188" s="16" t="s">
        <v>184</v>
      </c>
      <c r="AD188" s="16" t="s">
        <v>183</v>
      </c>
      <c r="AE188" s="16" t="s">
        <v>183</v>
      </c>
      <c r="AF188" s="5" t="s">
        <v>192</v>
      </c>
      <c r="AG188" s="5" t="s">
        <v>186</v>
      </c>
      <c r="AI188" s="5" t="s">
        <v>203</v>
      </c>
      <c r="AJ188" s="5" t="s">
        <v>189</v>
      </c>
    </row>
    <row r="189" spans="1:38" x14ac:dyDescent="0.35">
      <c r="A189" s="2">
        <v>2</v>
      </c>
      <c r="B189" s="15">
        <v>0.47361111111111109</v>
      </c>
      <c r="C189" s="21" t="s">
        <v>131</v>
      </c>
      <c r="Y189" s="16" t="s">
        <v>181</v>
      </c>
      <c r="Z189" s="16" t="s">
        <v>203</v>
      </c>
      <c r="AA189" s="16" t="s">
        <v>183</v>
      </c>
      <c r="AC189" s="16" t="s">
        <v>191</v>
      </c>
      <c r="AD189" s="16" t="s">
        <v>202</v>
      </c>
      <c r="AE189" s="16" t="s">
        <v>183</v>
      </c>
      <c r="AF189" s="5" t="s">
        <v>197</v>
      </c>
      <c r="AG189" s="5" t="s">
        <v>189</v>
      </c>
    </row>
    <row r="190" spans="1:38" x14ac:dyDescent="0.35">
      <c r="A190" s="2">
        <v>2</v>
      </c>
      <c r="B190" s="15">
        <v>0.46527777777777779</v>
      </c>
      <c r="C190" s="21" t="s">
        <v>131</v>
      </c>
      <c r="Y190" s="16" t="s">
        <v>193</v>
      </c>
      <c r="Z190" s="16" t="s">
        <v>208</v>
      </c>
      <c r="AA190" s="16" t="s">
        <v>192</v>
      </c>
      <c r="AB190" s="16" t="s">
        <v>183</v>
      </c>
      <c r="AC190" s="16" t="s">
        <v>184</v>
      </c>
      <c r="AD190" s="16" t="s">
        <v>183</v>
      </c>
      <c r="AE190" s="16" t="s">
        <v>183</v>
      </c>
      <c r="AF190" s="5" t="s">
        <v>199</v>
      </c>
      <c r="AG190" s="5" t="s">
        <v>188</v>
      </c>
      <c r="AH190" s="5" t="s">
        <v>221</v>
      </c>
    </row>
    <row r="191" spans="1:38" x14ac:dyDescent="0.35">
      <c r="A191" s="2">
        <v>2</v>
      </c>
      <c r="B191" s="15">
        <v>0.45694444444444443</v>
      </c>
      <c r="C191" s="21" t="s">
        <v>131</v>
      </c>
      <c r="AF191" s="5" t="s">
        <v>226</v>
      </c>
      <c r="AG191" s="5" t="s">
        <v>212</v>
      </c>
    </row>
    <row r="192" spans="1:38" x14ac:dyDescent="0.35">
      <c r="A192" s="2">
        <v>2</v>
      </c>
      <c r="B192" s="15">
        <v>0.45069444444444445</v>
      </c>
      <c r="C192" s="21" t="s">
        <v>131</v>
      </c>
      <c r="Y192" s="16" t="s">
        <v>193</v>
      </c>
      <c r="Z192" s="16" t="s">
        <v>232</v>
      </c>
      <c r="AA192" s="16" t="s">
        <v>192</v>
      </c>
      <c r="AB192" s="16" t="s">
        <v>183</v>
      </c>
      <c r="AC192" s="16" t="s">
        <v>184</v>
      </c>
      <c r="AD192" s="16" t="s">
        <v>183</v>
      </c>
      <c r="AE192" s="16" t="s">
        <v>183</v>
      </c>
      <c r="AF192" s="5" t="s">
        <v>199</v>
      </c>
      <c r="AG192" s="5" t="s">
        <v>186</v>
      </c>
      <c r="AH192" s="5" t="s">
        <v>222</v>
      </c>
      <c r="AI192" s="5" t="s">
        <v>194</v>
      </c>
      <c r="AJ192" s="5" t="s">
        <v>188</v>
      </c>
    </row>
    <row r="193" spans="1:36" x14ac:dyDescent="0.35">
      <c r="A193" s="2">
        <v>2</v>
      </c>
      <c r="B193" s="15">
        <v>0.43402777777777779</v>
      </c>
      <c r="C193" s="21" t="s">
        <v>131</v>
      </c>
      <c r="Y193" s="16" t="s">
        <v>193</v>
      </c>
      <c r="Z193" s="16" t="s">
        <v>219</v>
      </c>
      <c r="AA193" s="16" t="s">
        <v>183</v>
      </c>
      <c r="AB193" s="16" t="s">
        <v>134</v>
      </c>
      <c r="AC193" s="16" t="s">
        <v>184</v>
      </c>
      <c r="AD193" s="16" t="s">
        <v>183</v>
      </c>
      <c r="AE193" s="16" t="s">
        <v>134</v>
      </c>
    </row>
    <row r="194" spans="1:36" x14ac:dyDescent="0.35">
      <c r="A194" s="2">
        <v>2</v>
      </c>
      <c r="B194" s="15">
        <v>0.42777777777777776</v>
      </c>
      <c r="C194" s="21" t="s">
        <v>131</v>
      </c>
      <c r="Y194" s="16" t="s">
        <v>193</v>
      </c>
      <c r="Z194" s="16" t="s">
        <v>217</v>
      </c>
      <c r="AA194" s="16" t="s">
        <v>185</v>
      </c>
      <c r="AB194" s="16" t="s">
        <v>183</v>
      </c>
      <c r="AC194" s="16" t="s">
        <v>191</v>
      </c>
      <c r="AD194" s="16" t="s">
        <v>183</v>
      </c>
      <c r="AE194" s="16" t="s">
        <v>183</v>
      </c>
      <c r="AF194" s="5" t="s">
        <v>228</v>
      </c>
      <c r="AG194" s="5" t="s">
        <v>205</v>
      </c>
    </row>
    <row r="195" spans="1:36" x14ac:dyDescent="0.35">
      <c r="A195" s="2">
        <v>2</v>
      </c>
      <c r="B195" s="15">
        <v>0.41041666666666665</v>
      </c>
      <c r="C195" s="21" t="s">
        <v>131</v>
      </c>
      <c r="Y195" s="16" t="s">
        <v>181</v>
      </c>
      <c r="Z195" s="16" t="s">
        <v>226</v>
      </c>
      <c r="AA195" s="16" t="s">
        <v>219</v>
      </c>
      <c r="AC195" s="16" t="s">
        <v>184</v>
      </c>
      <c r="AD195" s="16" t="s">
        <v>183</v>
      </c>
      <c r="AE195" s="16" t="s">
        <v>183</v>
      </c>
      <c r="AF195" s="5" t="s">
        <v>216</v>
      </c>
      <c r="AG195" s="5" t="s">
        <v>186</v>
      </c>
      <c r="AH195" s="5" t="s">
        <v>183</v>
      </c>
      <c r="AI195" s="5" t="s">
        <v>216</v>
      </c>
      <c r="AJ195" s="5" t="s">
        <v>198</v>
      </c>
    </row>
    <row r="196" spans="1:36" x14ac:dyDescent="0.35">
      <c r="A196" s="2">
        <v>2</v>
      </c>
      <c r="B196" s="15">
        <v>0.40416666666666667</v>
      </c>
      <c r="C196" s="21" t="s">
        <v>131</v>
      </c>
      <c r="Y196" s="16" t="s">
        <v>181</v>
      </c>
      <c r="Z196" s="16" t="s">
        <v>216</v>
      </c>
      <c r="AA196" s="16" t="s">
        <v>183</v>
      </c>
      <c r="AC196" s="16" t="s">
        <v>191</v>
      </c>
      <c r="AD196" s="16" t="s">
        <v>183</v>
      </c>
      <c r="AE196" s="16" t="s">
        <v>183</v>
      </c>
    </row>
    <row r="197" spans="1:36" x14ac:dyDescent="0.35">
      <c r="A197" s="2">
        <v>2</v>
      </c>
      <c r="B197" s="15">
        <v>0.40069444444444446</v>
      </c>
      <c r="C197" s="21" t="s">
        <v>131</v>
      </c>
      <c r="Y197" s="16" t="s">
        <v>181</v>
      </c>
      <c r="Z197" s="16" t="s">
        <v>204</v>
      </c>
      <c r="AA197" s="16" t="s">
        <v>195</v>
      </c>
      <c r="AC197" s="16" t="s">
        <v>191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0.38958333333333334</v>
      </c>
      <c r="C198" s="21" t="s">
        <v>131</v>
      </c>
      <c r="Y198" s="16" t="s">
        <v>213</v>
      </c>
      <c r="Z198" s="16" t="s">
        <v>214</v>
      </c>
      <c r="AA198" s="16" t="s">
        <v>195</v>
      </c>
      <c r="AC198" s="16" t="s">
        <v>191</v>
      </c>
      <c r="AD198" s="16" t="s">
        <v>183</v>
      </c>
      <c r="AE198" s="16" t="s">
        <v>183</v>
      </c>
    </row>
    <row r="199" spans="1:36" x14ac:dyDescent="0.35">
      <c r="A199" s="2">
        <v>2</v>
      </c>
      <c r="B199" s="15">
        <v>0.38680555555555557</v>
      </c>
      <c r="C199" s="21" t="s">
        <v>131</v>
      </c>
      <c r="Y199" s="16" t="s">
        <v>193</v>
      </c>
      <c r="Z199" s="16" t="s">
        <v>197</v>
      </c>
      <c r="AA199" s="16" t="s">
        <v>183</v>
      </c>
      <c r="AB199" s="16" t="s">
        <v>183</v>
      </c>
      <c r="AC199" s="16" t="s">
        <v>184</v>
      </c>
      <c r="AD199" s="16" t="s">
        <v>183</v>
      </c>
      <c r="AE199" s="16" t="s">
        <v>134</v>
      </c>
      <c r="AF199" s="5" t="s">
        <v>203</v>
      </c>
      <c r="AG199" s="5" t="s">
        <v>220</v>
      </c>
      <c r="AH199" s="5" t="s">
        <v>197</v>
      </c>
    </row>
    <row r="200" spans="1:36" x14ac:dyDescent="0.35">
      <c r="A200" s="2">
        <v>2</v>
      </c>
      <c r="B200" s="15">
        <v>0.34236111111111112</v>
      </c>
      <c r="C200" s="21" t="s">
        <v>131</v>
      </c>
      <c r="AF200" s="5" t="s">
        <v>228</v>
      </c>
      <c r="AG200" s="5" t="s">
        <v>186</v>
      </c>
      <c r="AH200" s="5" t="s">
        <v>216</v>
      </c>
      <c r="AI200" s="5" t="s">
        <v>210</v>
      </c>
      <c r="AJ200" s="5" t="s">
        <v>212</v>
      </c>
    </row>
    <row r="201" spans="1:36" x14ac:dyDescent="0.35">
      <c r="A201" s="2">
        <v>2</v>
      </c>
      <c r="B201" s="15">
        <v>0.33680555555555558</v>
      </c>
      <c r="C201" s="21" t="s">
        <v>131</v>
      </c>
      <c r="Y201" s="16" t="s">
        <v>193</v>
      </c>
      <c r="Z201" s="16" t="s">
        <v>217</v>
      </c>
      <c r="AA201" s="16" t="s">
        <v>228</v>
      </c>
      <c r="AB201" s="16" t="s">
        <v>134</v>
      </c>
      <c r="AC201" s="16" t="s">
        <v>184</v>
      </c>
      <c r="AD201" s="16" t="s">
        <v>183</v>
      </c>
      <c r="AE201" s="16" t="s">
        <v>183</v>
      </c>
      <c r="AF201" s="5" t="s">
        <v>210</v>
      </c>
      <c r="AG201" s="5" t="s">
        <v>212</v>
      </c>
    </row>
    <row r="202" spans="1:36" x14ac:dyDescent="0.35">
      <c r="A202" s="2">
        <v>2</v>
      </c>
      <c r="B202" s="15">
        <v>0.31041666666666667</v>
      </c>
      <c r="C202" s="21" t="s">
        <v>131</v>
      </c>
      <c r="AF202" s="5" t="s">
        <v>187</v>
      </c>
      <c r="AG202" s="5" t="s">
        <v>186</v>
      </c>
      <c r="AH202" s="5" t="s">
        <v>183</v>
      </c>
      <c r="AI202" s="5" t="s">
        <v>228</v>
      </c>
      <c r="AJ202" s="5" t="s">
        <v>212</v>
      </c>
    </row>
    <row r="203" spans="1:36" x14ac:dyDescent="0.35">
      <c r="A203" s="2">
        <v>2</v>
      </c>
      <c r="B203" s="15">
        <v>0.30416666666666664</v>
      </c>
      <c r="C203" s="21" t="s">
        <v>131</v>
      </c>
      <c r="Y203" s="16" t="s">
        <v>213</v>
      </c>
      <c r="Z203" s="16" t="s">
        <v>197</v>
      </c>
      <c r="AA203" s="16" t="s">
        <v>192</v>
      </c>
      <c r="AC203" s="16" t="s">
        <v>184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0.30069444444444443</v>
      </c>
      <c r="C204" s="21" t="s">
        <v>131</v>
      </c>
      <c r="Y204" s="16" t="s">
        <v>181</v>
      </c>
      <c r="Z204" s="16" t="s">
        <v>187</v>
      </c>
      <c r="AA204" s="16" t="s">
        <v>183</v>
      </c>
      <c r="AC204" s="16" t="s">
        <v>193</v>
      </c>
      <c r="AD204" s="16" t="s">
        <v>183</v>
      </c>
      <c r="AE204" s="16" t="s">
        <v>183</v>
      </c>
      <c r="AF204" s="5" t="s">
        <v>231</v>
      </c>
      <c r="AG204" s="5" t="s">
        <v>186</v>
      </c>
      <c r="AH204" s="5" t="s">
        <v>225</v>
      </c>
      <c r="AI204" s="5" t="s">
        <v>200</v>
      </c>
      <c r="AJ204" s="5" t="s">
        <v>205</v>
      </c>
    </row>
    <row r="205" spans="1:36" x14ac:dyDescent="0.35">
      <c r="A205" s="2">
        <v>2</v>
      </c>
      <c r="B205" s="15">
        <v>0.29305555555555557</v>
      </c>
      <c r="C205" s="21" t="s">
        <v>131</v>
      </c>
      <c r="Y205" s="16" t="s">
        <v>193</v>
      </c>
      <c r="Z205" s="16" t="s">
        <v>197</v>
      </c>
      <c r="AA205" s="16" t="s">
        <v>199</v>
      </c>
      <c r="AB205" s="16" t="s">
        <v>183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0.28333333333333333</v>
      </c>
      <c r="C206" s="21" t="s">
        <v>131</v>
      </c>
      <c r="Y206" s="16" t="s">
        <v>193</v>
      </c>
      <c r="Z206" s="16" t="s">
        <v>199</v>
      </c>
      <c r="AA206" s="16" t="s">
        <v>207</v>
      </c>
      <c r="AB206" s="16" t="s">
        <v>183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0.27986111111111112</v>
      </c>
      <c r="C207" s="21" t="s">
        <v>131</v>
      </c>
      <c r="AF207" s="5" t="s">
        <v>219</v>
      </c>
      <c r="AG207" s="5" t="s">
        <v>186</v>
      </c>
      <c r="AH207" s="5" t="s">
        <v>211</v>
      </c>
      <c r="AI207" s="5" t="s">
        <v>182</v>
      </c>
      <c r="AJ207" s="5" t="s">
        <v>188</v>
      </c>
    </row>
    <row r="208" spans="1:36" x14ac:dyDescent="0.35">
      <c r="A208" s="2">
        <v>2</v>
      </c>
      <c r="B208" s="15">
        <v>0.25555555555555554</v>
      </c>
      <c r="C208" s="21" t="s">
        <v>131</v>
      </c>
      <c r="Y208" s="16" t="s">
        <v>193</v>
      </c>
      <c r="Z208" s="16" t="s">
        <v>185</v>
      </c>
      <c r="AA208" s="16" t="s">
        <v>219</v>
      </c>
      <c r="AB208" s="16" t="s">
        <v>183</v>
      </c>
      <c r="AC208" s="16" t="s">
        <v>191</v>
      </c>
      <c r="AD208" s="16" t="s">
        <v>183</v>
      </c>
      <c r="AE208" s="16" t="s">
        <v>183</v>
      </c>
      <c r="AF208" s="5" t="s">
        <v>232</v>
      </c>
      <c r="AG208" s="5" t="s">
        <v>189</v>
      </c>
    </row>
    <row r="209" spans="1:36" x14ac:dyDescent="0.35">
      <c r="A209" s="2">
        <v>2</v>
      </c>
      <c r="B209" s="15">
        <v>0.23680555555555555</v>
      </c>
      <c r="C209" s="21" t="s">
        <v>131</v>
      </c>
      <c r="Y209" s="16" t="s">
        <v>224</v>
      </c>
      <c r="Z209" s="16" t="s">
        <v>132</v>
      </c>
      <c r="AF209" s="5" t="s">
        <v>185</v>
      </c>
      <c r="AG209" s="5" t="s">
        <v>186</v>
      </c>
      <c r="AH209" s="5" t="s">
        <v>183</v>
      </c>
      <c r="AI209" s="5" t="s">
        <v>228</v>
      </c>
      <c r="AJ209" s="5" t="s">
        <v>205</v>
      </c>
    </row>
    <row r="210" spans="1:36" x14ac:dyDescent="0.35">
      <c r="A210" s="2">
        <v>2</v>
      </c>
      <c r="B210" s="15">
        <v>0.2326388888888889</v>
      </c>
      <c r="C210" s="21" t="s">
        <v>131</v>
      </c>
      <c r="Y210" s="16" t="s">
        <v>181</v>
      </c>
      <c r="Z210" s="16" t="s">
        <v>202</v>
      </c>
      <c r="AA210" s="16" t="s">
        <v>183</v>
      </c>
      <c r="AC210" s="16" t="s">
        <v>193</v>
      </c>
      <c r="AD210" s="16" t="s">
        <v>183</v>
      </c>
      <c r="AE210" s="16" t="s">
        <v>183</v>
      </c>
      <c r="AF210" s="5" t="s">
        <v>216</v>
      </c>
      <c r="AG210" s="5" t="s">
        <v>189</v>
      </c>
    </row>
    <row r="211" spans="1:36" x14ac:dyDescent="0.35">
      <c r="A211" s="2">
        <v>2</v>
      </c>
      <c r="B211" s="15">
        <v>0.22569444444444445</v>
      </c>
      <c r="C211" s="21" t="s">
        <v>131</v>
      </c>
      <c r="Y211" s="16" t="s">
        <v>224</v>
      </c>
      <c r="Z211" s="16" t="s">
        <v>132</v>
      </c>
      <c r="AF211" s="5" t="s">
        <v>187</v>
      </c>
      <c r="AG211" s="5" t="s">
        <v>186</v>
      </c>
      <c r="AH211" s="5" t="s">
        <v>183</v>
      </c>
      <c r="AI211" s="5" t="s">
        <v>199</v>
      </c>
      <c r="AJ211" s="5" t="s">
        <v>212</v>
      </c>
    </row>
    <row r="212" spans="1:36" x14ac:dyDescent="0.35">
      <c r="A212" s="2">
        <v>2</v>
      </c>
      <c r="B212" s="15">
        <v>0.21041666666666667</v>
      </c>
      <c r="C212" s="21" t="s">
        <v>131</v>
      </c>
      <c r="Y212" s="16" t="s">
        <v>193</v>
      </c>
      <c r="Z212" s="16" t="s">
        <v>219</v>
      </c>
      <c r="AA212" s="16" t="s">
        <v>199</v>
      </c>
      <c r="AB212" s="16" t="s">
        <v>183</v>
      </c>
      <c r="AC212" s="16" t="s">
        <v>184</v>
      </c>
      <c r="AD212" s="16" t="s">
        <v>183</v>
      </c>
      <c r="AE212" s="16" t="s">
        <v>134</v>
      </c>
      <c r="AF212" s="5" t="s">
        <v>215</v>
      </c>
      <c r="AG212" s="5" t="s">
        <v>186</v>
      </c>
      <c r="AH212" s="5" t="s">
        <v>190</v>
      </c>
      <c r="AI212" s="5" t="s">
        <v>185</v>
      </c>
      <c r="AJ212" s="5" t="s">
        <v>188</v>
      </c>
    </row>
    <row r="213" spans="1:36" x14ac:dyDescent="0.35">
      <c r="A213" s="2">
        <v>2</v>
      </c>
      <c r="B213" s="15">
        <v>0.19305555555555556</v>
      </c>
      <c r="C213" s="21" t="s">
        <v>131</v>
      </c>
      <c r="AF213" s="5" t="s">
        <v>225</v>
      </c>
      <c r="AG213" s="5" t="s">
        <v>212</v>
      </c>
    </row>
    <row r="214" spans="1:36" x14ac:dyDescent="0.35">
      <c r="A214" s="2">
        <v>2</v>
      </c>
      <c r="B214" s="15">
        <v>0.18819444444444444</v>
      </c>
      <c r="C214" s="21" t="s">
        <v>131</v>
      </c>
      <c r="Y214" s="16" t="s">
        <v>193</v>
      </c>
      <c r="Z214" s="16" t="s">
        <v>190</v>
      </c>
      <c r="AA214" s="16" t="s">
        <v>183</v>
      </c>
      <c r="AB214" s="16" t="s">
        <v>134</v>
      </c>
      <c r="AC214" s="16" t="s">
        <v>191</v>
      </c>
      <c r="AD214" s="16" t="s">
        <v>183</v>
      </c>
      <c r="AE214" s="16" t="s">
        <v>140</v>
      </c>
      <c r="AF214" s="5" t="s">
        <v>185</v>
      </c>
      <c r="AG214" s="5" t="s">
        <v>220</v>
      </c>
      <c r="AH214" s="5" t="s">
        <v>227</v>
      </c>
    </row>
    <row r="215" spans="1:36" x14ac:dyDescent="0.35">
      <c r="A215" s="2">
        <v>2</v>
      </c>
      <c r="B215" s="15">
        <v>0.14166666666666666</v>
      </c>
      <c r="C215" s="21" t="s">
        <v>131</v>
      </c>
      <c r="AF215" s="5" t="s">
        <v>187</v>
      </c>
      <c r="AG215" s="5" t="s">
        <v>186</v>
      </c>
      <c r="AH215" s="5" t="s">
        <v>183</v>
      </c>
      <c r="AI215" s="5" t="s">
        <v>192</v>
      </c>
      <c r="AJ215" s="5" t="s">
        <v>188</v>
      </c>
    </row>
    <row r="216" spans="1:36" x14ac:dyDescent="0.35">
      <c r="A216" s="2">
        <v>2</v>
      </c>
      <c r="B216" s="15">
        <v>0.1361111111111111</v>
      </c>
      <c r="C216" s="21" t="s">
        <v>131</v>
      </c>
      <c r="AF216" s="5" t="s">
        <v>215</v>
      </c>
      <c r="AG216" s="5" t="s">
        <v>186</v>
      </c>
      <c r="AH216" s="5" t="s">
        <v>209</v>
      </c>
      <c r="AI216" s="5" t="s">
        <v>192</v>
      </c>
      <c r="AJ216" s="5" t="s">
        <v>212</v>
      </c>
    </row>
    <row r="217" spans="1:36" x14ac:dyDescent="0.35">
      <c r="A217" s="2">
        <v>2</v>
      </c>
      <c r="B217" s="15">
        <v>0.12291666666666666</v>
      </c>
      <c r="C217" s="21" t="s">
        <v>131</v>
      </c>
      <c r="AF217" s="5" t="s">
        <v>187</v>
      </c>
      <c r="AG217" s="5" t="s">
        <v>189</v>
      </c>
    </row>
    <row r="218" spans="1:36" x14ac:dyDescent="0.35">
      <c r="A218" s="2">
        <v>2</v>
      </c>
      <c r="B218" s="15">
        <v>0.11736111111111111</v>
      </c>
      <c r="C218" s="21" t="s">
        <v>131</v>
      </c>
      <c r="Y218" s="16" t="s">
        <v>193</v>
      </c>
      <c r="Z218" s="16" t="s">
        <v>230</v>
      </c>
      <c r="AA218" s="16" t="s">
        <v>183</v>
      </c>
      <c r="AB218" s="16" t="s">
        <v>134</v>
      </c>
      <c r="AC218" s="16" t="s">
        <v>184</v>
      </c>
      <c r="AD218" s="16" t="s">
        <v>183</v>
      </c>
      <c r="AE218" s="16" t="s">
        <v>183</v>
      </c>
    </row>
    <row r="219" spans="1:36" x14ac:dyDescent="0.35">
      <c r="A219" s="2">
        <v>2</v>
      </c>
      <c r="B219" s="15">
        <v>0.1111111111111111</v>
      </c>
      <c r="C219" s="21" t="s">
        <v>131</v>
      </c>
      <c r="Y219" s="16" t="s">
        <v>181</v>
      </c>
      <c r="Z219" s="16" t="s">
        <v>190</v>
      </c>
      <c r="AA219" s="16" t="s">
        <v>228</v>
      </c>
      <c r="AC219" s="16" t="s">
        <v>184</v>
      </c>
      <c r="AD219" s="16" t="s">
        <v>183</v>
      </c>
      <c r="AE219" s="16" t="s">
        <v>183</v>
      </c>
      <c r="AF219" s="5" t="s">
        <v>228</v>
      </c>
      <c r="AG219" s="5" t="s">
        <v>186</v>
      </c>
      <c r="AH219" s="5" t="s">
        <v>190</v>
      </c>
      <c r="AI219" s="5" t="s">
        <v>202</v>
      </c>
      <c r="AJ219" s="5" t="s">
        <v>198</v>
      </c>
    </row>
    <row r="220" spans="1:36" x14ac:dyDescent="0.35">
      <c r="A220" s="2">
        <v>2</v>
      </c>
      <c r="B220" s="15">
        <v>0.10347222222222222</v>
      </c>
      <c r="C220" s="21" t="s">
        <v>131</v>
      </c>
      <c r="Y220" s="16" t="s">
        <v>213</v>
      </c>
      <c r="Z220" s="16" t="s">
        <v>202</v>
      </c>
      <c r="AA220" s="16" t="s">
        <v>206</v>
      </c>
      <c r="AC220" s="16" t="s">
        <v>193</v>
      </c>
      <c r="AD220" s="16" t="s">
        <v>183</v>
      </c>
      <c r="AE220" s="16" t="s">
        <v>183</v>
      </c>
    </row>
    <row r="221" spans="1:36" x14ac:dyDescent="0.35">
      <c r="A221" s="2">
        <v>2</v>
      </c>
      <c r="B221" s="15">
        <v>9.930555555555555E-2</v>
      </c>
      <c r="C221" s="21" t="s">
        <v>131</v>
      </c>
      <c r="Y221" s="16" t="s">
        <v>181</v>
      </c>
      <c r="Z221" s="16" t="s">
        <v>227</v>
      </c>
      <c r="AA221" s="16" t="s">
        <v>228</v>
      </c>
      <c r="AC221" s="16" t="s">
        <v>184</v>
      </c>
      <c r="AD221" s="16" t="s">
        <v>232</v>
      </c>
      <c r="AE221" s="16" t="s">
        <v>183</v>
      </c>
    </row>
    <row r="222" spans="1:36" x14ac:dyDescent="0.35">
      <c r="A222" s="2">
        <v>2</v>
      </c>
      <c r="B222" s="15">
        <v>9.0277777777777776E-2</v>
      </c>
      <c r="C222" s="21" t="s">
        <v>131</v>
      </c>
      <c r="AF222" s="5" t="s">
        <v>206</v>
      </c>
      <c r="AG222" s="5" t="s">
        <v>205</v>
      </c>
    </row>
    <row r="223" spans="1:36" x14ac:dyDescent="0.35">
      <c r="A223" s="2">
        <v>2</v>
      </c>
      <c r="B223" s="15">
        <v>7.0833333333333331E-2</v>
      </c>
      <c r="C223" s="21" t="s">
        <v>131</v>
      </c>
      <c r="Y223" s="16" t="s">
        <v>181</v>
      </c>
      <c r="Z223" s="16" t="s">
        <v>223</v>
      </c>
      <c r="AA223" s="16" t="s">
        <v>183</v>
      </c>
      <c r="AC223" s="16" t="s">
        <v>191</v>
      </c>
      <c r="AD223" s="16" t="s">
        <v>183</v>
      </c>
      <c r="AE223" s="16" t="s">
        <v>183</v>
      </c>
      <c r="AF223" s="5" t="s">
        <v>215</v>
      </c>
      <c r="AG223" s="5" t="s">
        <v>186</v>
      </c>
      <c r="AH223" s="5" t="s">
        <v>183</v>
      </c>
      <c r="AI223" s="5" t="s">
        <v>199</v>
      </c>
      <c r="AJ223" s="5" t="s">
        <v>205</v>
      </c>
    </row>
    <row r="224" spans="1:36" x14ac:dyDescent="0.35">
      <c r="A224" s="2">
        <v>2</v>
      </c>
      <c r="B224" s="15">
        <v>6.1805555555555558E-2</v>
      </c>
      <c r="C224" s="21" t="s">
        <v>131</v>
      </c>
      <c r="Y224" s="16" t="s">
        <v>193</v>
      </c>
      <c r="Z224" s="16" t="s">
        <v>194</v>
      </c>
      <c r="AA224" s="16" t="s">
        <v>195</v>
      </c>
      <c r="AB224" s="16" t="s">
        <v>183</v>
      </c>
      <c r="AC224" s="16" t="s">
        <v>193</v>
      </c>
      <c r="AD224" s="16" t="s">
        <v>183</v>
      </c>
      <c r="AE224" s="16" t="s">
        <v>183</v>
      </c>
    </row>
    <row r="225" spans="1:36" x14ac:dyDescent="0.35">
      <c r="A225" s="2">
        <v>2</v>
      </c>
      <c r="B225" s="15">
        <v>5.347222222222222E-2</v>
      </c>
      <c r="C225" s="21" t="s">
        <v>131</v>
      </c>
      <c r="Y225" s="16" t="s">
        <v>213</v>
      </c>
      <c r="Z225" s="16" t="s">
        <v>229</v>
      </c>
      <c r="AA225" s="16" t="s">
        <v>195</v>
      </c>
      <c r="AC225" s="16" t="s">
        <v>191</v>
      </c>
      <c r="AD225" s="16" t="s">
        <v>183</v>
      </c>
      <c r="AE225" s="16" t="s">
        <v>183</v>
      </c>
    </row>
    <row r="226" spans="1:36" x14ac:dyDescent="0.35">
      <c r="A226" s="2">
        <v>2</v>
      </c>
      <c r="B226" s="15">
        <v>4.4444444444444446E-2</v>
      </c>
      <c r="C226" s="21" t="s">
        <v>131</v>
      </c>
      <c r="Y226" s="16" t="s">
        <v>181</v>
      </c>
      <c r="Z226" s="16" t="s">
        <v>218</v>
      </c>
      <c r="AA226" s="16" t="s">
        <v>183</v>
      </c>
      <c r="AC226" s="16" t="s">
        <v>184</v>
      </c>
      <c r="AD226" s="16" t="s">
        <v>183</v>
      </c>
      <c r="AE226" s="16" t="s">
        <v>183</v>
      </c>
      <c r="AF226" s="5" t="s">
        <v>190</v>
      </c>
      <c r="AG226" s="5" t="s">
        <v>212</v>
      </c>
      <c r="AH226" s="5" t="s">
        <v>230</v>
      </c>
    </row>
    <row r="227" spans="1:36" x14ac:dyDescent="0.35">
      <c r="A227" s="2">
        <v>2</v>
      </c>
      <c r="B227" s="15">
        <v>3.9583333333333331E-2</v>
      </c>
      <c r="C227" s="21" t="s">
        <v>131</v>
      </c>
      <c r="Y227" s="16" t="s">
        <v>181</v>
      </c>
      <c r="Z227" s="16" t="s">
        <v>187</v>
      </c>
      <c r="AA227" s="16" t="s">
        <v>183</v>
      </c>
      <c r="AC227" s="16" t="s">
        <v>191</v>
      </c>
      <c r="AD227" s="16" t="s">
        <v>183</v>
      </c>
      <c r="AE227" s="16" t="s">
        <v>183</v>
      </c>
      <c r="AF227" s="5" t="s">
        <v>200</v>
      </c>
      <c r="AG227" s="5" t="s">
        <v>189</v>
      </c>
    </row>
    <row r="228" spans="1:36" x14ac:dyDescent="0.35">
      <c r="A228" s="2">
        <v>2</v>
      </c>
      <c r="B228" s="15">
        <v>3.3333333333333333E-2</v>
      </c>
      <c r="C228" s="21" t="s">
        <v>131</v>
      </c>
      <c r="AF228" s="5" t="s">
        <v>196</v>
      </c>
      <c r="AG228" s="5" t="s">
        <v>189</v>
      </c>
    </row>
    <row r="229" spans="1:36" x14ac:dyDescent="0.35">
      <c r="A229" s="2">
        <v>2</v>
      </c>
      <c r="B229" s="15">
        <v>0.28055555555555556</v>
      </c>
      <c r="C229" s="21" t="s">
        <v>131</v>
      </c>
      <c r="AF229" s="5" t="s">
        <v>185</v>
      </c>
      <c r="AG229" s="5" t="s">
        <v>186</v>
      </c>
      <c r="AH229" s="5" t="s">
        <v>183</v>
      </c>
      <c r="AI229" s="5" t="s">
        <v>214</v>
      </c>
      <c r="AJ229" s="5" t="s">
        <v>205</v>
      </c>
    </row>
    <row r="230" spans="1:36" x14ac:dyDescent="0.35">
      <c r="A230" s="2">
        <v>2</v>
      </c>
      <c r="B230" s="15">
        <v>2.2222222222222223E-2</v>
      </c>
      <c r="C230" s="21" t="s">
        <v>131</v>
      </c>
      <c r="Y230" s="16" t="s">
        <v>193</v>
      </c>
      <c r="Z230" s="16" t="s">
        <v>185</v>
      </c>
      <c r="AA230" s="16" t="s">
        <v>182</v>
      </c>
      <c r="AB230" s="16" t="s">
        <v>183</v>
      </c>
      <c r="AC230" s="16" t="s">
        <v>184</v>
      </c>
      <c r="AD230" s="16" t="s">
        <v>183</v>
      </c>
      <c r="AE230" s="16" t="s">
        <v>183</v>
      </c>
    </row>
    <row r="231" spans="1:36" x14ac:dyDescent="0.35">
      <c r="A231" s="2">
        <v>2</v>
      </c>
      <c r="B231" s="15">
        <v>1.3888888888888888E-2</v>
      </c>
      <c r="C231" s="21" t="s">
        <v>131</v>
      </c>
      <c r="AF231" s="5" t="s">
        <v>229</v>
      </c>
      <c r="AG231" s="5" t="s">
        <v>188</v>
      </c>
    </row>
    <row r="232" spans="1:36" x14ac:dyDescent="0.35">
      <c r="A232" s="2">
        <v>3</v>
      </c>
      <c r="B232" s="15">
        <v>0.82777777777777772</v>
      </c>
      <c r="C232" s="21" t="s">
        <v>131</v>
      </c>
      <c r="AF232" s="5" t="s">
        <v>182</v>
      </c>
      <c r="AG232" s="5" t="s">
        <v>205</v>
      </c>
    </row>
    <row r="233" spans="1:36" x14ac:dyDescent="0.35">
      <c r="A233" s="2">
        <v>3</v>
      </c>
      <c r="B233" s="15">
        <v>0.82499999999999996</v>
      </c>
      <c r="C233" s="21" t="s">
        <v>131</v>
      </c>
      <c r="Y233" s="16" t="s">
        <v>193</v>
      </c>
      <c r="Z233" s="16" t="s">
        <v>217</v>
      </c>
      <c r="AA233" s="16" t="s">
        <v>185</v>
      </c>
      <c r="AB233" s="16" t="s">
        <v>183</v>
      </c>
      <c r="AC233" s="16" t="s">
        <v>191</v>
      </c>
      <c r="AD233" s="16" t="s">
        <v>183</v>
      </c>
      <c r="AE233" s="16" t="s">
        <v>183</v>
      </c>
      <c r="AF233" s="5" t="s">
        <v>202</v>
      </c>
      <c r="AG233" s="5" t="s">
        <v>212</v>
      </c>
    </row>
    <row r="234" spans="1:36" x14ac:dyDescent="0.35">
      <c r="A234" s="2">
        <v>3</v>
      </c>
      <c r="B234" s="15">
        <v>0.8041666666666667</v>
      </c>
      <c r="C234" s="21" t="s">
        <v>131</v>
      </c>
      <c r="AF234" s="5" t="s">
        <v>185</v>
      </c>
      <c r="AG234" s="5" t="s">
        <v>188</v>
      </c>
    </row>
    <row r="235" spans="1:36" x14ac:dyDescent="0.35">
      <c r="A235" s="2">
        <v>3</v>
      </c>
      <c r="B235" s="15">
        <v>0.79027777777777775</v>
      </c>
      <c r="C235" s="21" t="s">
        <v>131</v>
      </c>
      <c r="AF235" s="5" t="s">
        <v>194</v>
      </c>
      <c r="AG235" s="5" t="s">
        <v>188</v>
      </c>
    </row>
    <row r="236" spans="1:36" x14ac:dyDescent="0.35">
      <c r="A236" s="2">
        <v>3</v>
      </c>
      <c r="B236" s="15">
        <v>0.78333333333333333</v>
      </c>
      <c r="C236" s="21" t="s">
        <v>131</v>
      </c>
      <c r="AF236" s="5" t="s">
        <v>218</v>
      </c>
      <c r="AG236" s="5" t="s">
        <v>186</v>
      </c>
      <c r="AH236" s="5" t="s">
        <v>183</v>
      </c>
      <c r="AI236" s="5" t="s">
        <v>203</v>
      </c>
      <c r="AJ236" s="5" t="s">
        <v>205</v>
      </c>
    </row>
    <row r="237" spans="1:36" x14ac:dyDescent="0.35">
      <c r="A237" s="2">
        <v>3</v>
      </c>
      <c r="B237" s="15">
        <v>0.78125</v>
      </c>
      <c r="C237" s="21" t="s">
        <v>131</v>
      </c>
      <c r="Y237" s="16" t="s">
        <v>181</v>
      </c>
      <c r="Z237" s="16" t="s">
        <v>194</v>
      </c>
      <c r="AA237" s="16" t="s">
        <v>183</v>
      </c>
      <c r="AC237" s="16" t="s">
        <v>184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0.77638888888888891</v>
      </c>
      <c r="C238" s="21" t="s">
        <v>131</v>
      </c>
      <c r="AF238" s="5" t="s">
        <v>182</v>
      </c>
      <c r="AG238" s="5" t="s">
        <v>186</v>
      </c>
      <c r="AH238" s="5" t="s">
        <v>183</v>
      </c>
      <c r="AI238" s="5" t="s">
        <v>216</v>
      </c>
      <c r="AJ238" s="5" t="s">
        <v>205</v>
      </c>
    </row>
    <row r="239" spans="1:36" x14ac:dyDescent="0.35">
      <c r="A239" s="2">
        <v>3</v>
      </c>
      <c r="B239" s="15">
        <v>0.76666666666666672</v>
      </c>
      <c r="C239" s="21" t="s">
        <v>131</v>
      </c>
      <c r="Y239" s="16" t="s">
        <v>181</v>
      </c>
      <c r="Z239" s="16" t="s">
        <v>217</v>
      </c>
      <c r="AA239" s="16" t="s">
        <v>199</v>
      </c>
      <c r="AC239" s="16" t="s">
        <v>191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0.76249999999999996</v>
      </c>
      <c r="C240" s="21" t="s">
        <v>131</v>
      </c>
      <c r="Y240" s="16" t="s">
        <v>181</v>
      </c>
      <c r="Z240" s="16" t="s">
        <v>199</v>
      </c>
      <c r="AA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182</v>
      </c>
      <c r="AG240" s="5" t="s">
        <v>186</v>
      </c>
      <c r="AH240" s="5" t="s">
        <v>214</v>
      </c>
      <c r="AI240" s="5" t="s">
        <v>182</v>
      </c>
      <c r="AJ240" s="5" t="s">
        <v>188</v>
      </c>
    </row>
    <row r="241" spans="1:36" x14ac:dyDescent="0.35">
      <c r="A241" s="2">
        <v>3</v>
      </c>
      <c r="B241" s="15">
        <v>0.75069444444444444</v>
      </c>
      <c r="C241" s="21" t="s">
        <v>131</v>
      </c>
      <c r="AF241" s="5" t="s">
        <v>216</v>
      </c>
      <c r="AG241" s="5" t="s">
        <v>186</v>
      </c>
      <c r="AH241" s="5" t="s">
        <v>183</v>
      </c>
      <c r="AI241" s="5" t="s">
        <v>219</v>
      </c>
      <c r="AJ241" s="5" t="s">
        <v>212</v>
      </c>
    </row>
    <row r="242" spans="1:36" x14ac:dyDescent="0.35">
      <c r="A242" s="2">
        <v>3</v>
      </c>
      <c r="B242" s="15">
        <v>0.74583333333333335</v>
      </c>
      <c r="C242" s="21" t="s">
        <v>131</v>
      </c>
      <c r="Y242" s="16" t="s">
        <v>193</v>
      </c>
      <c r="Z242" s="16" t="s">
        <v>211</v>
      </c>
      <c r="AA242" s="16" t="s">
        <v>183</v>
      </c>
      <c r="AB242" s="16" t="s">
        <v>183</v>
      </c>
      <c r="AC242" s="16" t="s">
        <v>184</v>
      </c>
      <c r="AD242" s="16" t="s">
        <v>183</v>
      </c>
      <c r="AE242" s="16" t="s">
        <v>134</v>
      </c>
    </row>
    <row r="243" spans="1:36" x14ac:dyDescent="0.35">
      <c r="A243" s="2">
        <v>3</v>
      </c>
      <c r="B243" s="15">
        <v>0.7416666666666667</v>
      </c>
      <c r="C243" s="21" t="s">
        <v>131</v>
      </c>
      <c r="AF243" s="5" t="s">
        <v>228</v>
      </c>
      <c r="AG243" s="5" t="s">
        <v>186</v>
      </c>
      <c r="AH243" s="5" t="s">
        <v>190</v>
      </c>
      <c r="AI243" s="5" t="s">
        <v>185</v>
      </c>
      <c r="AJ243" s="5" t="s">
        <v>212</v>
      </c>
    </row>
    <row r="244" spans="1:36" x14ac:dyDescent="0.35">
      <c r="A244" s="2">
        <v>3</v>
      </c>
      <c r="B244" s="15">
        <v>0.72569444444444442</v>
      </c>
      <c r="C244" s="21" t="s">
        <v>131</v>
      </c>
      <c r="AF244" s="5" t="s">
        <v>201</v>
      </c>
      <c r="AG244" s="5" t="s">
        <v>186</v>
      </c>
      <c r="AH244" s="5" t="s">
        <v>183</v>
      </c>
      <c r="AI244" s="5" t="s">
        <v>229</v>
      </c>
      <c r="AJ244" s="5" t="s">
        <v>189</v>
      </c>
    </row>
    <row r="245" spans="1:36" x14ac:dyDescent="0.35">
      <c r="A245" s="2">
        <v>3</v>
      </c>
      <c r="B245" s="15">
        <v>0.72430555555555554</v>
      </c>
      <c r="C245" s="21" t="s">
        <v>131</v>
      </c>
      <c r="Y245" s="16" t="s">
        <v>193</v>
      </c>
      <c r="Z245" s="16" t="s">
        <v>210</v>
      </c>
      <c r="AA245" s="16" t="s">
        <v>195</v>
      </c>
      <c r="AC245" s="16" t="s">
        <v>184</v>
      </c>
      <c r="AD245" s="16" t="s">
        <v>183</v>
      </c>
      <c r="AE245" s="16" t="s">
        <v>183</v>
      </c>
      <c r="AF245" s="5" t="s">
        <v>200</v>
      </c>
      <c r="AG245" s="5" t="s">
        <v>186</v>
      </c>
      <c r="AH245" s="5" t="s">
        <v>183</v>
      </c>
      <c r="AI245" s="5" t="s">
        <v>208</v>
      </c>
      <c r="AJ245" s="5" t="s">
        <v>198</v>
      </c>
    </row>
    <row r="246" spans="1:36" x14ac:dyDescent="0.35">
      <c r="A246" s="2">
        <v>3</v>
      </c>
      <c r="B246" s="15">
        <v>0.71736111111111112</v>
      </c>
      <c r="C246" s="21" t="s">
        <v>131</v>
      </c>
      <c r="Y246" s="16" t="s">
        <v>193</v>
      </c>
      <c r="Z246" s="16" t="s">
        <v>208</v>
      </c>
      <c r="AA246" s="16" t="s">
        <v>199</v>
      </c>
      <c r="AB246" s="16" t="s">
        <v>183</v>
      </c>
      <c r="AC246" s="16" t="s">
        <v>191</v>
      </c>
      <c r="AD246" s="16" t="s">
        <v>183</v>
      </c>
      <c r="AE246" s="16" t="s">
        <v>140</v>
      </c>
    </row>
    <row r="247" spans="1:36" x14ac:dyDescent="0.35">
      <c r="A247" s="2">
        <v>3</v>
      </c>
      <c r="B247" s="15">
        <v>0.70486111111111116</v>
      </c>
      <c r="C247" s="21" t="s">
        <v>131</v>
      </c>
      <c r="Y247" s="16" t="s">
        <v>181</v>
      </c>
      <c r="Z247" s="16" t="s">
        <v>204</v>
      </c>
      <c r="AA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217</v>
      </c>
      <c r="AG247" s="5" t="s">
        <v>189</v>
      </c>
    </row>
    <row r="248" spans="1:36" x14ac:dyDescent="0.35">
      <c r="A248" s="2">
        <v>3</v>
      </c>
      <c r="B248" s="15">
        <v>0.69444444444444442</v>
      </c>
      <c r="C248" s="21" t="s">
        <v>131</v>
      </c>
      <c r="Y248" s="16" t="s">
        <v>224</v>
      </c>
      <c r="Z248" s="16" t="s">
        <v>132</v>
      </c>
      <c r="AF248" s="5" t="s">
        <v>185</v>
      </c>
      <c r="AG248" s="5" t="s">
        <v>186</v>
      </c>
      <c r="AH248" s="5" t="s">
        <v>219</v>
      </c>
      <c r="AI248" s="5" t="s">
        <v>202</v>
      </c>
      <c r="AJ248" s="5" t="s">
        <v>188</v>
      </c>
    </row>
    <row r="249" spans="1:36" x14ac:dyDescent="0.35">
      <c r="A249" s="2">
        <v>3</v>
      </c>
      <c r="B249" s="15">
        <v>0.67361111111111116</v>
      </c>
      <c r="C249" s="21" t="s">
        <v>131</v>
      </c>
      <c r="Y249" s="16" t="s">
        <v>181</v>
      </c>
      <c r="Z249" s="16" t="s">
        <v>196</v>
      </c>
      <c r="AA249" s="16" t="s">
        <v>183</v>
      </c>
      <c r="AC249" s="16" t="s">
        <v>193</v>
      </c>
      <c r="AD249" s="16" t="s">
        <v>183</v>
      </c>
      <c r="AE249" s="16" t="s">
        <v>183</v>
      </c>
      <c r="AF249" s="5" t="s">
        <v>218</v>
      </c>
      <c r="AG249" s="5" t="s">
        <v>186</v>
      </c>
      <c r="AH249" s="5" t="s">
        <v>183</v>
      </c>
      <c r="AI249" s="5" t="s">
        <v>218</v>
      </c>
      <c r="AJ249" s="5" t="s">
        <v>212</v>
      </c>
    </row>
    <row r="250" spans="1:36" x14ac:dyDescent="0.35">
      <c r="A250" s="2">
        <v>3</v>
      </c>
      <c r="B250" s="15">
        <v>0.65763888888888888</v>
      </c>
      <c r="C250" s="21" t="s">
        <v>131</v>
      </c>
      <c r="Y250" s="16" t="s">
        <v>181</v>
      </c>
      <c r="Z250" s="16" t="s">
        <v>192</v>
      </c>
      <c r="AA250" s="16" t="s">
        <v>183</v>
      </c>
      <c r="AC250" s="16" t="s">
        <v>191</v>
      </c>
      <c r="AD250" s="16" t="s">
        <v>214</v>
      </c>
      <c r="AE250" s="16" t="s">
        <v>183</v>
      </c>
      <c r="AF250" s="5" t="s">
        <v>208</v>
      </c>
      <c r="AG250" s="5" t="s">
        <v>189</v>
      </c>
    </row>
    <row r="251" spans="1:36" x14ac:dyDescent="0.35">
      <c r="A251" s="2">
        <v>3</v>
      </c>
      <c r="B251" s="15">
        <v>0.63888888888888884</v>
      </c>
      <c r="C251" s="21" t="s">
        <v>131</v>
      </c>
      <c r="Y251" s="16" t="s">
        <v>193</v>
      </c>
      <c r="Z251" s="16" t="s">
        <v>227</v>
      </c>
      <c r="AA251" s="16" t="s">
        <v>192</v>
      </c>
      <c r="AB251" s="16" t="s">
        <v>183</v>
      </c>
      <c r="AC251" s="16" t="s">
        <v>184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0.63402777777777775</v>
      </c>
      <c r="C252" s="21" t="s">
        <v>131</v>
      </c>
      <c r="AF252" s="5" t="s">
        <v>204</v>
      </c>
      <c r="AG252" s="5" t="s">
        <v>189</v>
      </c>
    </row>
    <row r="253" spans="1:36" x14ac:dyDescent="0.35">
      <c r="A253" s="2">
        <v>3</v>
      </c>
      <c r="B253" s="15">
        <v>0.62361111111111112</v>
      </c>
      <c r="C253" s="21" t="s">
        <v>131</v>
      </c>
      <c r="Y253" s="16" t="s">
        <v>181</v>
      </c>
      <c r="Z253" s="16" t="s">
        <v>202</v>
      </c>
      <c r="AA253" s="16" t="s">
        <v>207</v>
      </c>
      <c r="AC253" s="16" t="s">
        <v>184</v>
      </c>
      <c r="AD253" s="16" t="s">
        <v>183</v>
      </c>
      <c r="AE253" s="16" t="s">
        <v>183</v>
      </c>
      <c r="AF253" s="5" t="s">
        <v>206</v>
      </c>
      <c r="AG253" s="5" t="s">
        <v>205</v>
      </c>
    </row>
    <row r="254" spans="1:36" x14ac:dyDescent="0.35">
      <c r="A254" s="2">
        <v>3</v>
      </c>
      <c r="B254" s="15">
        <v>0.61597222222222225</v>
      </c>
      <c r="C254" s="21" t="s">
        <v>131</v>
      </c>
      <c r="Y254" s="16" t="s">
        <v>181</v>
      </c>
      <c r="AF254" s="5" t="s">
        <v>228</v>
      </c>
      <c r="AG254" s="5" t="s">
        <v>186</v>
      </c>
      <c r="AH254" s="5" t="s">
        <v>183</v>
      </c>
      <c r="AI254" s="5" t="s">
        <v>185</v>
      </c>
      <c r="AJ254" s="5" t="s">
        <v>212</v>
      </c>
    </row>
    <row r="255" spans="1:36" x14ac:dyDescent="0.35">
      <c r="A255" s="2">
        <v>3</v>
      </c>
      <c r="B255" s="15">
        <v>0.59722222222222221</v>
      </c>
      <c r="C255" s="21" t="s">
        <v>131</v>
      </c>
      <c r="Y255" s="16" t="s">
        <v>181</v>
      </c>
      <c r="Z255" s="16" t="s">
        <v>194</v>
      </c>
      <c r="AA255" s="16" t="s">
        <v>219</v>
      </c>
      <c r="AC255" s="16" t="s">
        <v>184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0.58472222222222225</v>
      </c>
      <c r="C256" s="21" t="s">
        <v>131</v>
      </c>
      <c r="Y256" s="16" t="s">
        <v>181</v>
      </c>
      <c r="Z256" s="16" t="s">
        <v>211</v>
      </c>
      <c r="AA256" s="16" t="s">
        <v>200</v>
      </c>
      <c r="AC256" s="16" t="s">
        <v>184</v>
      </c>
      <c r="AD256" s="16" t="s">
        <v>183</v>
      </c>
      <c r="AE256" s="16" t="s">
        <v>183</v>
      </c>
      <c r="AF256" s="5" t="s">
        <v>195</v>
      </c>
      <c r="AG256" s="5" t="s">
        <v>186</v>
      </c>
      <c r="AH256" s="5" t="s">
        <v>183</v>
      </c>
      <c r="AI256" s="5" t="s">
        <v>196</v>
      </c>
      <c r="AJ256" s="5" t="s">
        <v>198</v>
      </c>
    </row>
    <row r="257" spans="1:36" x14ac:dyDescent="0.35">
      <c r="A257" s="2">
        <v>3</v>
      </c>
      <c r="B257" s="15">
        <v>0.5756944444444444</v>
      </c>
      <c r="C257" s="21" t="s">
        <v>131</v>
      </c>
      <c r="Y257" s="16" t="s">
        <v>181</v>
      </c>
      <c r="Z257" s="16" t="s">
        <v>197</v>
      </c>
      <c r="AA257" s="16" t="s">
        <v>218</v>
      </c>
      <c r="AC257" s="16" t="s">
        <v>184</v>
      </c>
      <c r="AD257" s="16" t="s">
        <v>197</v>
      </c>
      <c r="AE257" s="16" t="s">
        <v>183</v>
      </c>
    </row>
    <row r="258" spans="1:36" x14ac:dyDescent="0.35">
      <c r="A258" s="2">
        <v>3</v>
      </c>
      <c r="B258" s="15">
        <v>0.56388888888888888</v>
      </c>
      <c r="C258" s="21" t="s">
        <v>131</v>
      </c>
      <c r="Y258" s="16" t="s">
        <v>181</v>
      </c>
      <c r="Z258" s="16" t="s">
        <v>196</v>
      </c>
      <c r="AA258" s="16" t="s">
        <v>203</v>
      </c>
      <c r="AC258" s="16" t="s">
        <v>191</v>
      </c>
      <c r="AD258" s="16" t="s">
        <v>183</v>
      </c>
      <c r="AE258" s="16" t="s">
        <v>183</v>
      </c>
      <c r="AF258" s="5" t="s">
        <v>192</v>
      </c>
      <c r="AG258" s="5" t="s">
        <v>186</v>
      </c>
      <c r="AH258" s="5" t="s">
        <v>183</v>
      </c>
      <c r="AI258" s="5" t="s">
        <v>230</v>
      </c>
      <c r="AJ258" s="5" t="s">
        <v>188</v>
      </c>
    </row>
    <row r="259" spans="1:36" x14ac:dyDescent="0.35">
      <c r="A259" s="2">
        <v>3</v>
      </c>
      <c r="B259" s="15">
        <v>0.55138888888888893</v>
      </c>
      <c r="C259" s="21" t="s">
        <v>131</v>
      </c>
      <c r="AF259" s="5" t="s">
        <v>218</v>
      </c>
      <c r="AG259" s="5" t="s">
        <v>186</v>
      </c>
      <c r="AH259" s="5" t="s">
        <v>183</v>
      </c>
      <c r="AI259" s="5" t="s">
        <v>187</v>
      </c>
      <c r="AJ259" s="5" t="s">
        <v>198</v>
      </c>
    </row>
    <row r="260" spans="1:36" x14ac:dyDescent="0.35">
      <c r="A260" s="2">
        <v>3</v>
      </c>
      <c r="B260" s="15">
        <v>0.54722222222222228</v>
      </c>
      <c r="C260" s="21" t="s">
        <v>131</v>
      </c>
      <c r="Y260" s="16" t="s">
        <v>181</v>
      </c>
      <c r="Z260" s="16" t="s">
        <v>187</v>
      </c>
      <c r="AA260" s="16" t="s">
        <v>183</v>
      </c>
      <c r="AC260" s="16" t="s">
        <v>191</v>
      </c>
      <c r="AD260" s="16" t="s">
        <v>183</v>
      </c>
      <c r="AE260" s="16" t="s">
        <v>183</v>
      </c>
      <c r="AF260" s="5" t="s">
        <v>195</v>
      </c>
      <c r="AG260" s="5" t="s">
        <v>212</v>
      </c>
    </row>
    <row r="261" spans="1:36" x14ac:dyDescent="0.35">
      <c r="A261" s="2">
        <v>3</v>
      </c>
      <c r="B261" s="15">
        <v>0.53611111111111109</v>
      </c>
      <c r="C261" s="21" t="s">
        <v>131</v>
      </c>
      <c r="Y261" s="16" t="s">
        <v>213</v>
      </c>
      <c r="Z261" s="16" t="s">
        <v>194</v>
      </c>
      <c r="AA261" s="16" t="s">
        <v>183</v>
      </c>
      <c r="AC261" s="16" t="s">
        <v>191</v>
      </c>
      <c r="AD261" s="16" t="s">
        <v>183</v>
      </c>
      <c r="AE261" s="16" t="s">
        <v>183</v>
      </c>
    </row>
    <row r="262" spans="1:36" x14ac:dyDescent="0.35">
      <c r="A262" s="2">
        <v>3</v>
      </c>
      <c r="B262" s="15">
        <v>0.53125</v>
      </c>
      <c r="C262" s="21" t="s">
        <v>131</v>
      </c>
      <c r="Y262" s="16" t="s">
        <v>181</v>
      </c>
      <c r="Z262" s="16" t="s">
        <v>185</v>
      </c>
      <c r="AA262" s="16" t="s">
        <v>183</v>
      </c>
      <c r="AC262" s="16" t="s">
        <v>184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0.51388888888888884</v>
      </c>
      <c r="C263" s="21" t="s">
        <v>131</v>
      </c>
      <c r="AF263" s="5" t="s">
        <v>200</v>
      </c>
      <c r="AG263" s="5" t="s">
        <v>186</v>
      </c>
      <c r="AH263" s="5" t="s">
        <v>226</v>
      </c>
      <c r="AI263" s="5" t="s">
        <v>217</v>
      </c>
      <c r="AJ263" s="5" t="s">
        <v>212</v>
      </c>
    </row>
    <row r="264" spans="1:36" x14ac:dyDescent="0.35">
      <c r="A264" s="2">
        <v>3</v>
      </c>
      <c r="B264" s="15">
        <v>0.50277777777777777</v>
      </c>
      <c r="C264" s="21" t="s">
        <v>131</v>
      </c>
      <c r="Y264" s="16" t="s">
        <v>213</v>
      </c>
      <c r="Z264" s="16" t="s">
        <v>210</v>
      </c>
      <c r="AA264" s="16" t="s">
        <v>183</v>
      </c>
      <c r="AC264" s="16" t="s">
        <v>184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0.49166666666666664</v>
      </c>
      <c r="C265" s="21" t="s">
        <v>131</v>
      </c>
      <c r="Y265" s="16" t="s">
        <v>181</v>
      </c>
      <c r="Z265" s="16" t="s">
        <v>204</v>
      </c>
      <c r="AA265" s="16" t="s">
        <v>207</v>
      </c>
      <c r="AC265" s="16" t="s">
        <v>191</v>
      </c>
      <c r="AD265" s="16" t="s">
        <v>183</v>
      </c>
      <c r="AE265" s="16" t="s">
        <v>183</v>
      </c>
      <c r="AF265" s="5" t="s">
        <v>197</v>
      </c>
      <c r="AG265" s="5" t="s">
        <v>220</v>
      </c>
      <c r="AH265" s="5" t="s">
        <v>204</v>
      </c>
    </row>
    <row r="266" spans="1:36" x14ac:dyDescent="0.35">
      <c r="A266" s="2">
        <v>3</v>
      </c>
      <c r="B266" s="15">
        <v>0.4777777777777778</v>
      </c>
      <c r="C266" s="21" t="s">
        <v>131</v>
      </c>
      <c r="AF266" s="5" t="s">
        <v>190</v>
      </c>
      <c r="AG266" s="5" t="s">
        <v>189</v>
      </c>
    </row>
    <row r="267" spans="1:36" x14ac:dyDescent="0.35">
      <c r="A267" s="2">
        <v>3</v>
      </c>
      <c r="B267" s="15">
        <v>0.46875</v>
      </c>
      <c r="C267" s="21" t="s">
        <v>131</v>
      </c>
      <c r="Y267" s="16" t="s">
        <v>193</v>
      </c>
      <c r="Z267" s="16" t="s">
        <v>225</v>
      </c>
      <c r="AA267" s="16" t="s">
        <v>182</v>
      </c>
      <c r="AB267" s="16" t="s">
        <v>134</v>
      </c>
      <c r="AC267" s="16" t="s">
        <v>191</v>
      </c>
      <c r="AD267" s="16" t="s">
        <v>183</v>
      </c>
      <c r="AE267" s="16" t="s">
        <v>183</v>
      </c>
    </row>
    <row r="268" spans="1:36" x14ac:dyDescent="0.35">
      <c r="A268" s="7">
        <v>3</v>
      </c>
      <c r="B268" s="14">
        <v>0.45624999999999999</v>
      </c>
      <c r="C268" s="21" t="s">
        <v>131</v>
      </c>
      <c r="Y268" s="16" t="s">
        <v>213</v>
      </c>
      <c r="Z268" s="16" t="s">
        <v>209</v>
      </c>
      <c r="AA268" s="16" t="s">
        <v>199</v>
      </c>
      <c r="AB268" s="16" t="s">
        <v>183</v>
      </c>
      <c r="AC268" s="16" t="s">
        <v>191</v>
      </c>
      <c r="AD268" s="16" t="s">
        <v>183</v>
      </c>
      <c r="AE268" s="16" t="s">
        <v>183</v>
      </c>
    </row>
    <row r="269" spans="1:36" x14ac:dyDescent="0.35">
      <c r="A269" s="7">
        <v>3</v>
      </c>
      <c r="B269" s="14">
        <v>0.44791666666666669</v>
      </c>
      <c r="C269" s="21" t="s">
        <v>131</v>
      </c>
      <c r="Y269" s="16" t="s">
        <v>181</v>
      </c>
      <c r="Z269" s="16" t="s">
        <v>232</v>
      </c>
      <c r="AA269" s="16" t="s">
        <v>183</v>
      </c>
      <c r="AC269" s="16" t="s">
        <v>191</v>
      </c>
      <c r="AD269" s="16" t="s">
        <v>183</v>
      </c>
      <c r="AE269" s="16" t="s">
        <v>183</v>
      </c>
      <c r="AF269" s="5" t="s">
        <v>215</v>
      </c>
      <c r="AG269" s="5" t="s">
        <v>188</v>
      </c>
    </row>
    <row r="270" spans="1:36" x14ac:dyDescent="0.35">
      <c r="A270" s="2">
        <v>3</v>
      </c>
      <c r="B270" s="15">
        <v>0.43055555555555558</v>
      </c>
      <c r="C270" s="21" t="s">
        <v>131</v>
      </c>
      <c r="Y270" s="16" t="s">
        <v>181</v>
      </c>
      <c r="Z270" s="16" t="s">
        <v>202</v>
      </c>
      <c r="AA270" s="16" t="s">
        <v>183</v>
      </c>
      <c r="AC270" s="16" t="s">
        <v>191</v>
      </c>
      <c r="AD270" s="16" t="s">
        <v>183</v>
      </c>
      <c r="AE270" s="16" t="s">
        <v>183</v>
      </c>
      <c r="AF270" s="5" t="s">
        <v>216</v>
      </c>
      <c r="AG270" s="5" t="s">
        <v>189</v>
      </c>
    </row>
    <row r="271" spans="1:36" x14ac:dyDescent="0.35">
      <c r="A271" s="7">
        <v>3</v>
      </c>
      <c r="B271" s="15">
        <v>0.41736111111111113</v>
      </c>
      <c r="C271" s="21" t="s">
        <v>131</v>
      </c>
      <c r="AF271" s="5" t="s">
        <v>199</v>
      </c>
      <c r="AG271" s="5" t="s">
        <v>189</v>
      </c>
    </row>
    <row r="272" spans="1:36" x14ac:dyDescent="0.35">
      <c r="A272" s="7">
        <v>3</v>
      </c>
      <c r="B272" s="15">
        <v>0.41597222222222224</v>
      </c>
      <c r="C272" s="21" t="s">
        <v>131</v>
      </c>
      <c r="Y272" s="16" t="s">
        <v>193</v>
      </c>
      <c r="Z272" s="16" t="s">
        <v>229</v>
      </c>
      <c r="AA272" s="16" t="s">
        <v>207</v>
      </c>
      <c r="AB272" s="16" t="s">
        <v>183</v>
      </c>
      <c r="AC272" s="16" t="s">
        <v>184</v>
      </c>
      <c r="AD272" s="16" t="s">
        <v>183</v>
      </c>
      <c r="AE272" s="16" t="s">
        <v>183</v>
      </c>
      <c r="AF272" s="5" t="s">
        <v>190</v>
      </c>
      <c r="AG272" s="5" t="s">
        <v>189</v>
      </c>
    </row>
    <row r="273" spans="1:36" x14ac:dyDescent="0.35">
      <c r="A273" s="7">
        <v>3</v>
      </c>
      <c r="B273" s="15">
        <v>0.40416666666666667</v>
      </c>
      <c r="C273" s="21" t="s">
        <v>131</v>
      </c>
      <c r="Y273" s="16" t="s">
        <v>213</v>
      </c>
      <c r="Z273" s="16" t="s">
        <v>229</v>
      </c>
      <c r="AA273" s="16" t="s">
        <v>190</v>
      </c>
      <c r="AC273" s="16" t="s">
        <v>184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0.39861111111111114</v>
      </c>
      <c r="C274" s="21" t="s">
        <v>131</v>
      </c>
      <c r="Y274" s="16" t="s">
        <v>181</v>
      </c>
      <c r="Z274" s="16" t="s">
        <v>225</v>
      </c>
      <c r="AA274" s="16" t="s">
        <v>182</v>
      </c>
      <c r="AC274" s="16" t="s">
        <v>191</v>
      </c>
      <c r="AD274" s="16" t="s">
        <v>211</v>
      </c>
      <c r="AE274" s="16" t="s">
        <v>183</v>
      </c>
    </row>
    <row r="275" spans="1:36" x14ac:dyDescent="0.35">
      <c r="A275" s="7">
        <v>3</v>
      </c>
      <c r="B275" s="15">
        <v>0.39097222222222222</v>
      </c>
      <c r="C275" s="21" t="s">
        <v>131</v>
      </c>
      <c r="AF275" s="5" t="s">
        <v>219</v>
      </c>
      <c r="AG275" s="5" t="s">
        <v>189</v>
      </c>
    </row>
    <row r="276" spans="1:36" x14ac:dyDescent="0.35">
      <c r="A276" s="2">
        <v>3</v>
      </c>
      <c r="B276" s="15">
        <v>0.38541666666666669</v>
      </c>
      <c r="C276" s="21" t="s">
        <v>131</v>
      </c>
      <c r="Y276" s="16" t="s">
        <v>181</v>
      </c>
      <c r="Z276" s="16" t="s">
        <v>225</v>
      </c>
      <c r="AA276" s="16" t="s">
        <v>183</v>
      </c>
      <c r="AC276" s="16" t="s">
        <v>184</v>
      </c>
      <c r="AD276" s="16" t="s">
        <v>183</v>
      </c>
      <c r="AE276" s="16" t="s">
        <v>183</v>
      </c>
      <c r="AF276" s="5" t="s">
        <v>216</v>
      </c>
      <c r="AG276" s="5" t="s">
        <v>189</v>
      </c>
      <c r="AH276" s="5" t="s">
        <v>185</v>
      </c>
    </row>
    <row r="277" spans="1:36" x14ac:dyDescent="0.35">
      <c r="A277" s="7">
        <v>3</v>
      </c>
      <c r="B277" s="15">
        <v>0.37152777777777779</v>
      </c>
      <c r="C277" s="21" t="s">
        <v>131</v>
      </c>
      <c r="Y277" s="16" t="s">
        <v>213</v>
      </c>
      <c r="Z277" s="16" t="s">
        <v>230</v>
      </c>
      <c r="AA277" s="16" t="s">
        <v>200</v>
      </c>
      <c r="AC277" s="16" t="s">
        <v>184</v>
      </c>
      <c r="AD277" s="16" t="s">
        <v>183</v>
      </c>
      <c r="AE277" s="16" t="s">
        <v>183</v>
      </c>
    </row>
    <row r="278" spans="1:36" x14ac:dyDescent="0.35">
      <c r="A278" s="2">
        <v>3</v>
      </c>
      <c r="B278" s="15">
        <v>0.36805555555555558</v>
      </c>
      <c r="C278" s="21" t="s">
        <v>131</v>
      </c>
      <c r="Y278" s="16" t="s">
        <v>193</v>
      </c>
      <c r="Z278" s="16" t="s">
        <v>197</v>
      </c>
      <c r="AA278" s="16" t="s">
        <v>199</v>
      </c>
      <c r="AB278" s="16" t="s">
        <v>183</v>
      </c>
      <c r="AC278" s="16" t="s">
        <v>191</v>
      </c>
      <c r="AD278" s="16" t="s">
        <v>183</v>
      </c>
      <c r="AE278" s="16" t="s">
        <v>183</v>
      </c>
      <c r="AF278" s="5" t="s">
        <v>230</v>
      </c>
      <c r="AG278" s="5" t="s">
        <v>198</v>
      </c>
    </row>
    <row r="279" spans="1:36" x14ac:dyDescent="0.35">
      <c r="A279" s="7">
        <v>3</v>
      </c>
      <c r="B279" s="15">
        <v>0.35625000000000001</v>
      </c>
      <c r="C279" s="21" t="s">
        <v>131</v>
      </c>
      <c r="Y279" s="16" t="s">
        <v>213</v>
      </c>
      <c r="Z279" s="16" t="s">
        <v>230</v>
      </c>
      <c r="AA279" s="16" t="s">
        <v>200</v>
      </c>
      <c r="AC279" s="16" t="s">
        <v>193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0.34722222222222221</v>
      </c>
      <c r="C280" s="21" t="s">
        <v>131</v>
      </c>
      <c r="Y280" s="16" t="s">
        <v>181</v>
      </c>
      <c r="Z280" s="16" t="s">
        <v>195</v>
      </c>
      <c r="AA280" s="16" t="s">
        <v>183</v>
      </c>
      <c r="AC280" s="16" t="s">
        <v>193</v>
      </c>
      <c r="AD280" s="16" t="s">
        <v>183</v>
      </c>
      <c r="AE280" s="16" t="s">
        <v>183</v>
      </c>
      <c r="AF280" s="5" t="s">
        <v>230</v>
      </c>
      <c r="AG280" s="5" t="s">
        <v>205</v>
      </c>
      <c r="AH280" s="5" t="s">
        <v>222</v>
      </c>
    </row>
    <row r="281" spans="1:36" x14ac:dyDescent="0.35">
      <c r="A281" s="7">
        <v>3</v>
      </c>
      <c r="B281" s="14">
        <v>0.34236111111111112</v>
      </c>
      <c r="C281" s="21" t="s">
        <v>131</v>
      </c>
      <c r="Y281" s="16" t="s">
        <v>181</v>
      </c>
      <c r="Z281" s="16" t="s">
        <v>210</v>
      </c>
      <c r="AA281" s="16" t="s">
        <v>207</v>
      </c>
      <c r="AC281" s="16" t="s">
        <v>184</v>
      </c>
      <c r="AD281" s="16" t="s">
        <v>210</v>
      </c>
      <c r="AE281" s="16" t="s">
        <v>183</v>
      </c>
      <c r="AF281" s="5" t="s">
        <v>227</v>
      </c>
      <c r="AG281" s="5" t="s">
        <v>205</v>
      </c>
    </row>
    <row r="282" spans="1:36" x14ac:dyDescent="0.35">
      <c r="A282" s="2">
        <v>3</v>
      </c>
      <c r="B282" s="15">
        <v>0.31111111111111112</v>
      </c>
      <c r="C282" s="21" t="s">
        <v>131</v>
      </c>
      <c r="Y282" s="16" t="s">
        <v>181</v>
      </c>
      <c r="Z282" s="16" t="s">
        <v>226</v>
      </c>
      <c r="AA282" s="16" t="s">
        <v>183</v>
      </c>
      <c r="AC282" s="16" t="s">
        <v>184</v>
      </c>
      <c r="AD282" s="16" t="s">
        <v>183</v>
      </c>
      <c r="AE282" s="16" t="s">
        <v>183</v>
      </c>
      <c r="AF282" s="5" t="s">
        <v>208</v>
      </c>
      <c r="AG282" s="5" t="s">
        <v>189</v>
      </c>
      <c r="AH282" s="5" t="s">
        <v>218</v>
      </c>
    </row>
    <row r="283" spans="1:36" x14ac:dyDescent="0.35">
      <c r="A283" s="7">
        <v>3</v>
      </c>
      <c r="B283" s="15">
        <v>0.30069444444444443</v>
      </c>
      <c r="C283" s="21" t="s">
        <v>131</v>
      </c>
      <c r="AF283" s="5" t="s">
        <v>185</v>
      </c>
      <c r="AG283" s="5" t="s">
        <v>188</v>
      </c>
      <c r="AH283" s="5" t="s">
        <v>219</v>
      </c>
    </row>
    <row r="284" spans="1:36" x14ac:dyDescent="0.35">
      <c r="A284" s="7">
        <v>3</v>
      </c>
      <c r="B284" s="15">
        <v>0.29791666666666666</v>
      </c>
      <c r="C284" s="21" t="s">
        <v>131</v>
      </c>
      <c r="AF284" s="5" t="s">
        <v>226</v>
      </c>
      <c r="AG284" s="5" t="s">
        <v>205</v>
      </c>
    </row>
    <row r="285" spans="1:36" x14ac:dyDescent="0.35">
      <c r="A285" s="2">
        <v>3</v>
      </c>
      <c r="B285" s="15">
        <v>0.29583333333333334</v>
      </c>
      <c r="C285" s="21" t="s">
        <v>131</v>
      </c>
      <c r="Y285" s="16" t="s">
        <v>193</v>
      </c>
      <c r="Z285" s="16" t="s">
        <v>204</v>
      </c>
      <c r="AA285" s="16" t="s">
        <v>217</v>
      </c>
      <c r="AB285" s="16" t="s">
        <v>134</v>
      </c>
      <c r="AC285" s="16" t="s">
        <v>184</v>
      </c>
      <c r="AD285" s="16" t="s">
        <v>183</v>
      </c>
      <c r="AE285" s="16" t="s">
        <v>134</v>
      </c>
      <c r="AF285" s="5" t="s">
        <v>219</v>
      </c>
      <c r="AG285" s="5" t="s">
        <v>189</v>
      </c>
    </row>
    <row r="286" spans="1:36" x14ac:dyDescent="0.35">
      <c r="A286" s="7">
        <v>3</v>
      </c>
      <c r="B286" s="15">
        <v>0.28541666666666665</v>
      </c>
      <c r="C286" s="21" t="s">
        <v>131</v>
      </c>
      <c r="Y286" s="16" t="s">
        <v>193</v>
      </c>
      <c r="Z286" s="16" t="s">
        <v>203</v>
      </c>
      <c r="AA286" s="16" t="s">
        <v>200</v>
      </c>
      <c r="AB286" s="16" t="s">
        <v>183</v>
      </c>
      <c r="AC286" s="16" t="s">
        <v>184</v>
      </c>
      <c r="AD286" s="16" t="s">
        <v>183</v>
      </c>
      <c r="AE286" s="16" t="s">
        <v>183</v>
      </c>
      <c r="AF286" s="5" t="s">
        <v>217</v>
      </c>
      <c r="AG286" s="5" t="s">
        <v>189</v>
      </c>
    </row>
    <row r="287" spans="1:36" x14ac:dyDescent="0.35">
      <c r="A287" s="2">
        <v>3</v>
      </c>
      <c r="B287" s="15">
        <v>0.26041666666666669</v>
      </c>
      <c r="C287" s="21" t="s">
        <v>131</v>
      </c>
      <c r="Y287" s="16" t="s">
        <v>181</v>
      </c>
      <c r="Z287" s="16" t="s">
        <v>229</v>
      </c>
      <c r="AA287" s="16" t="s">
        <v>183</v>
      </c>
      <c r="AC287" s="16" t="s">
        <v>191</v>
      </c>
      <c r="AD287" s="16" t="s">
        <v>229</v>
      </c>
      <c r="AE287" s="16" t="s">
        <v>183</v>
      </c>
      <c r="AF287" s="5" t="s">
        <v>197</v>
      </c>
      <c r="AG287" s="5" t="s">
        <v>188</v>
      </c>
      <c r="AH287" s="5" t="s">
        <v>229</v>
      </c>
    </row>
    <row r="288" spans="1:36" x14ac:dyDescent="0.35">
      <c r="A288" s="2">
        <v>3</v>
      </c>
      <c r="B288" s="15">
        <v>0.23958333333333334</v>
      </c>
      <c r="C288" s="21" t="s">
        <v>131</v>
      </c>
      <c r="AF288" s="5" t="s">
        <v>206</v>
      </c>
      <c r="AG288" s="5" t="s">
        <v>186</v>
      </c>
      <c r="AH288" s="5" t="s">
        <v>233</v>
      </c>
      <c r="AI288" s="5" t="s">
        <v>196</v>
      </c>
      <c r="AJ288" s="5" t="s">
        <v>189</v>
      </c>
    </row>
    <row r="289" spans="1:33" x14ac:dyDescent="0.35">
      <c r="A289" s="7">
        <v>3</v>
      </c>
      <c r="B289" s="15">
        <v>0.2326388888888889</v>
      </c>
      <c r="C289" s="21" t="s">
        <v>131</v>
      </c>
      <c r="Y289" s="16" t="s">
        <v>181</v>
      </c>
      <c r="Z289" s="16" t="s">
        <v>199</v>
      </c>
      <c r="AA289" s="16" t="s">
        <v>183</v>
      </c>
      <c r="AC289" s="16" t="s">
        <v>184</v>
      </c>
      <c r="AD289" s="16" t="s">
        <v>183</v>
      </c>
      <c r="AE289" s="16" t="s">
        <v>183</v>
      </c>
    </row>
    <row r="290" spans="1:33" x14ac:dyDescent="0.35">
      <c r="A290" s="2">
        <v>3</v>
      </c>
      <c r="B290" s="15">
        <v>0.22569444444444445</v>
      </c>
      <c r="C290" s="21" t="s">
        <v>131</v>
      </c>
      <c r="Y290" s="16" t="s">
        <v>193</v>
      </c>
      <c r="Z290" s="16" t="s">
        <v>225</v>
      </c>
      <c r="AA290" s="16" t="s">
        <v>219</v>
      </c>
      <c r="AB290" s="16" t="s">
        <v>183</v>
      </c>
      <c r="AC290" s="16" t="s">
        <v>184</v>
      </c>
      <c r="AD290" s="16" t="s">
        <v>183</v>
      </c>
      <c r="AE290" s="16" t="s">
        <v>140</v>
      </c>
      <c r="AF290" s="5" t="s">
        <v>219</v>
      </c>
      <c r="AG290" s="5" t="s">
        <v>189</v>
      </c>
    </row>
    <row r="291" spans="1:33" x14ac:dyDescent="0.35">
      <c r="A291" s="2">
        <v>3</v>
      </c>
      <c r="B291" s="15">
        <v>0.20624999999999999</v>
      </c>
      <c r="C291" s="21" t="s">
        <v>131</v>
      </c>
      <c r="Y291" s="16" t="s">
        <v>193</v>
      </c>
      <c r="Z291" s="16" t="s">
        <v>230</v>
      </c>
      <c r="AA291" s="16" t="s">
        <v>200</v>
      </c>
      <c r="AB291" s="16" t="s">
        <v>183</v>
      </c>
      <c r="AC291" s="16" t="s">
        <v>193</v>
      </c>
      <c r="AD291" s="16" t="s">
        <v>183</v>
      </c>
      <c r="AE291" s="16" t="s">
        <v>183</v>
      </c>
    </row>
    <row r="292" spans="1:33" x14ac:dyDescent="0.35">
      <c r="A292" s="7"/>
      <c r="B292" s="15"/>
    </row>
    <row r="293" spans="1:33" x14ac:dyDescent="0.35">
      <c r="A293" s="7"/>
      <c r="B293" s="15"/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Z3" sqref="Z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234</v>
      </c>
      <c r="C2" s="8" t="s">
        <v>159</v>
      </c>
      <c r="D2" s="8" t="s">
        <v>193</v>
      </c>
      <c r="E2" s="8">
        <v>16.216666666666999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0.61999999999999988</v>
      </c>
      <c r="CK2" s="2">
        <f t="shared" ref="CK2:CK37" si="2">(0.075*H2)+(0.07*L2)+(0.055*M2)+(0.055*N2)+(0.095*J2)+(0.09*O2)+(0.05*P2)+(0.05*R2)+(0.05*S2)+(0.05*AB2)</f>
        <v>0.27999999999999997</v>
      </c>
      <c r="CL2" s="2">
        <f t="shared" ref="CL2:CL37" si="3">(0.045*AD2)-(0.045*AE2)+(0.055*AH2)+(0.035*AI2)</f>
        <v>0.14499999999999999</v>
      </c>
      <c r="CM2" s="2">
        <f>(0.025*(AY2-AZ2))+(0.035*BA2)-(0.015*BB2)-(0.015*BC2)+(0.015*(AY2-(BD2+BC2)))</f>
        <v>2.5000000000000001E-2</v>
      </c>
      <c r="CN2" s="2">
        <f t="shared" ref="CN2:CN37" si="4">(0.035*AN2)+(0.025*AS2)-(0.035*AT2)-(0.035*AV2)</f>
        <v>0.11000000000000001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0.61999999999999988</v>
      </c>
    </row>
    <row r="3" spans="1:126" x14ac:dyDescent="0.35">
      <c r="A3" s="8">
        <v>74</v>
      </c>
      <c r="B3" s="8" t="s">
        <v>235</v>
      </c>
      <c r="C3" s="8" t="s">
        <v>159</v>
      </c>
      <c r="D3" s="8" t="s">
        <v>193</v>
      </c>
      <c r="E3" s="8">
        <v>13.466666666667001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</v>
      </c>
      <c r="CK3" s="2">
        <f>(0.075*H3)+(0.07*L3)+(0.055*M3)+(0.055*N3)+(0.095*J3)+(0.09*O3)+(0.05*P3)+(0.05*R3)+(0.05*S3)+(0.05*AB3)+0.2</f>
        <v>0.82499999999999996</v>
      </c>
      <c r="CL3" s="2">
        <f t="shared" si="3"/>
        <v>0.13500000000000001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0.12</v>
      </c>
      <c r="CP3" s="2">
        <f t="shared" si="6"/>
        <v>0</v>
      </c>
      <c r="CQ3" s="2">
        <f t="shared" si="7"/>
        <v>1.08</v>
      </c>
    </row>
    <row r="4" spans="1:126" x14ac:dyDescent="0.35">
      <c r="A4" s="8">
        <v>25</v>
      </c>
      <c r="B4" s="8" t="s">
        <v>236</v>
      </c>
      <c r="C4" s="8" t="s">
        <v>159</v>
      </c>
      <c r="D4" s="8" t="s">
        <v>181</v>
      </c>
      <c r="E4" s="8">
        <v>17.100000000000001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5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9.9999999999999978E-2</v>
      </c>
      <c r="CK4" s="2">
        <f t="shared" si="2"/>
        <v>0.14500000000000002</v>
      </c>
      <c r="CL4" s="2">
        <f t="shared" si="3"/>
        <v>0</v>
      </c>
      <c r="CM4" s="2">
        <f>(0.015*(AY4-AZ4))+(0.035*BA4)-(0.015*BB4)-(0.025*BC4)+(0.015*(AY4-(BD4+BC4)))</f>
        <v>0.185</v>
      </c>
      <c r="CN4" s="2">
        <f t="shared" si="4"/>
        <v>-0.23000000000000004</v>
      </c>
      <c r="CO4" s="2">
        <f t="shared" si="5"/>
        <v>0</v>
      </c>
      <c r="CP4" s="2">
        <f t="shared" si="6"/>
        <v>0</v>
      </c>
      <c r="CQ4" s="2">
        <f t="shared" si="7"/>
        <v>9.9999999999999978E-2</v>
      </c>
    </row>
    <row r="5" spans="1:126" x14ac:dyDescent="0.35">
      <c r="A5" s="8">
        <v>19</v>
      </c>
      <c r="B5" s="8" t="s">
        <v>237</v>
      </c>
      <c r="C5" s="8" t="s">
        <v>159</v>
      </c>
      <c r="D5" s="8" t="s">
        <v>193</v>
      </c>
      <c r="E5" s="8">
        <v>12.783333333332999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</v>
      </c>
      <c r="CK5" s="2">
        <f t="shared" si="2"/>
        <v>0.185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2.5000000000000001E-2</v>
      </c>
      <c r="CO5" s="2">
        <f t="shared" si="5"/>
        <v>0.03</v>
      </c>
      <c r="CP5" s="2">
        <f t="shared" si="6"/>
        <v>0</v>
      </c>
      <c r="CQ5" s="2">
        <f t="shared" si="7"/>
        <v>0.24</v>
      </c>
    </row>
    <row r="6" spans="1:126" x14ac:dyDescent="0.35">
      <c r="A6" s="8">
        <v>8</v>
      </c>
      <c r="B6" s="8" t="s">
        <v>238</v>
      </c>
      <c r="C6" s="8" t="s">
        <v>159</v>
      </c>
      <c r="D6" s="8" t="s">
        <v>181</v>
      </c>
      <c r="E6" s="8">
        <v>17.216666666666999</v>
      </c>
      <c r="F6" s="8" t="s">
        <v>130</v>
      </c>
      <c r="G6" s="19" t="s">
        <v>273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13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8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8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0.58000000000000007</v>
      </c>
      <c r="CK6" s="2">
        <f t="shared" si="2"/>
        <v>0.25</v>
      </c>
      <c r="CL6" s="2">
        <f t="shared" si="3"/>
        <v>0</v>
      </c>
      <c r="CM6" s="2">
        <f t="shared" si="9"/>
        <v>0.13500000000000001</v>
      </c>
      <c r="CN6" s="2">
        <f t="shared" si="4"/>
        <v>0.19500000000000001</v>
      </c>
      <c r="CO6" s="2">
        <f t="shared" si="5"/>
        <v>0</v>
      </c>
      <c r="CP6" s="2">
        <f t="shared" si="6"/>
        <v>0</v>
      </c>
      <c r="CQ6" s="2">
        <f t="shared" si="7"/>
        <v>0.58000000000000007</v>
      </c>
    </row>
    <row r="7" spans="1:126" x14ac:dyDescent="0.35">
      <c r="A7" s="8">
        <v>22</v>
      </c>
      <c r="B7" s="8" t="s">
        <v>239</v>
      </c>
      <c r="C7" s="8" t="s">
        <v>159</v>
      </c>
      <c r="D7" s="8" t="s">
        <v>181</v>
      </c>
      <c r="E7" s="8">
        <v>21.866666666667001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5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4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0.26</v>
      </c>
      <c r="CK7" s="2">
        <f t="shared" si="2"/>
        <v>0.31</v>
      </c>
      <c r="CL7" s="2">
        <f t="shared" si="3"/>
        <v>0.09</v>
      </c>
      <c r="CM7" s="2">
        <f t="shared" si="9"/>
        <v>7.4999999999999997E-2</v>
      </c>
      <c r="CN7" s="2">
        <f t="shared" si="4"/>
        <v>-0.23000000000000004</v>
      </c>
      <c r="CO7" s="2">
        <f t="shared" si="5"/>
        <v>1.4999999999999999E-2</v>
      </c>
      <c r="CP7" s="2">
        <f t="shared" si="6"/>
        <v>0</v>
      </c>
      <c r="CQ7" s="2">
        <f t="shared" si="7"/>
        <v>0.26</v>
      </c>
    </row>
    <row r="8" spans="1:126" x14ac:dyDescent="0.35">
      <c r="A8" s="8">
        <v>91</v>
      </c>
      <c r="B8" s="8" t="s">
        <v>240</v>
      </c>
      <c r="C8" s="8" t="s">
        <v>159</v>
      </c>
      <c r="D8" s="8" t="s">
        <v>193</v>
      </c>
      <c r="E8" s="8">
        <v>14.966666666667001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-7.0000000000000034E-2</v>
      </c>
      <c r="CK8" s="2">
        <f t="shared" si="2"/>
        <v>7.4999999999999997E-2</v>
      </c>
      <c r="CL8" s="2">
        <f t="shared" si="3"/>
        <v>-4.5000000000000012E-2</v>
      </c>
      <c r="CM8" s="2">
        <f t="shared" si="9"/>
        <v>0</v>
      </c>
      <c r="CN8" s="2">
        <f t="shared" si="4"/>
        <v>-0.11500000000000002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-7.0000000000000034E-2</v>
      </c>
    </row>
    <row r="9" spans="1:126" x14ac:dyDescent="0.35">
      <c r="A9" s="8">
        <v>23</v>
      </c>
      <c r="B9" s="8" t="s">
        <v>241</v>
      </c>
      <c r="C9" s="8" t="s">
        <v>159</v>
      </c>
      <c r="D9" s="8" t="s">
        <v>184</v>
      </c>
      <c r="E9" s="8">
        <v>13.4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0.16499999999999998</v>
      </c>
      <c r="CK9" s="2">
        <f t="shared" si="2"/>
        <v>0.28000000000000003</v>
      </c>
      <c r="CL9" s="2">
        <f t="shared" si="3"/>
        <v>-9.0000000000000011E-2</v>
      </c>
      <c r="CM9" s="2">
        <f t="shared" si="9"/>
        <v>0</v>
      </c>
      <c r="CN9" s="2">
        <f t="shared" si="4"/>
        <v>-0.11500000000000002</v>
      </c>
      <c r="CO9" s="2">
        <f t="shared" si="5"/>
        <v>0.09</v>
      </c>
      <c r="CP9" s="2">
        <f t="shared" si="6"/>
        <v>0</v>
      </c>
      <c r="CQ9" s="2">
        <f t="shared" si="7"/>
        <v>0.16499999999999998</v>
      </c>
    </row>
    <row r="10" spans="1:126" x14ac:dyDescent="0.35">
      <c r="A10" s="8">
        <v>11</v>
      </c>
      <c r="B10" s="8" t="s">
        <v>242</v>
      </c>
      <c r="C10" s="8" t="s">
        <v>159</v>
      </c>
      <c r="D10" s="8" t="s">
        <v>193</v>
      </c>
      <c r="E10" s="8">
        <v>14.616666666666999</v>
      </c>
      <c r="F10" s="8" t="s">
        <v>130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1.1399999999999999</v>
      </c>
      <c r="CK10" s="2">
        <f>(0.075*H10)+(0.07*L10)+(0.055*M10)+(0.055*N10)+(0.095*J10)+(0.09*O10)+(0.05*P10)+(0.05*R10)+(0.05*S10)+(0.05*AB10)+0.25</f>
        <v>0.84499999999999997</v>
      </c>
      <c r="CL10" s="2">
        <f t="shared" si="3"/>
        <v>0</v>
      </c>
      <c r="CM10" s="2">
        <f t="shared" si="9"/>
        <v>6.5000000000000002E-2</v>
      </c>
      <c r="CN10" s="2">
        <f t="shared" si="4"/>
        <v>3.5000000000000003E-2</v>
      </c>
      <c r="CO10" s="2">
        <f t="shared" si="5"/>
        <v>0.19500000000000001</v>
      </c>
      <c r="CP10" s="2">
        <f t="shared" si="6"/>
        <v>0</v>
      </c>
      <c r="CQ10" s="2">
        <f t="shared" si="7"/>
        <v>1.1399999999999999</v>
      </c>
    </row>
    <row r="11" spans="1:126" x14ac:dyDescent="0.35">
      <c r="A11" s="8">
        <v>67</v>
      </c>
      <c r="B11" s="8" t="s">
        <v>243</v>
      </c>
      <c r="C11" s="8" t="s">
        <v>159</v>
      </c>
      <c r="D11" s="8" t="s">
        <v>184</v>
      </c>
      <c r="E11" s="8">
        <v>11.45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0.47499999999999998</v>
      </c>
      <c r="CK11" s="2">
        <f t="shared" si="2"/>
        <v>0.37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0.105</v>
      </c>
      <c r="CP11" s="2">
        <f t="shared" si="6"/>
        <v>0</v>
      </c>
      <c r="CQ11" s="2">
        <f t="shared" si="7"/>
        <v>0.47499999999999998</v>
      </c>
    </row>
    <row r="12" spans="1:126" x14ac:dyDescent="0.35">
      <c r="A12" s="8">
        <v>16</v>
      </c>
      <c r="B12" s="8" t="s">
        <v>244</v>
      </c>
      <c r="C12" s="8" t="s">
        <v>159</v>
      </c>
      <c r="D12" s="8" t="s">
        <v>191</v>
      </c>
      <c r="E12" s="8">
        <v>17.133333333332999</v>
      </c>
      <c r="F12" s="8" t="s">
        <v>130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7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6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0.39499999999999996</v>
      </c>
      <c r="CK12" s="2">
        <f t="shared" si="2"/>
        <v>0.22</v>
      </c>
      <c r="CL12" s="2">
        <f t="shared" si="3"/>
        <v>0</v>
      </c>
      <c r="CM12" s="2">
        <f t="shared" si="9"/>
        <v>0</v>
      </c>
      <c r="CN12" s="2">
        <f t="shared" si="4"/>
        <v>0.13</v>
      </c>
      <c r="CO12" s="2">
        <f t="shared" si="5"/>
        <v>4.4999999999999998E-2</v>
      </c>
      <c r="CP12" s="2">
        <f t="shared" si="6"/>
        <v>0</v>
      </c>
      <c r="CQ12" s="2">
        <f t="shared" si="7"/>
        <v>0.39499999999999996</v>
      </c>
    </row>
    <row r="13" spans="1:126" x14ac:dyDescent="0.35">
      <c r="A13" s="8">
        <v>44</v>
      </c>
      <c r="B13" s="8" t="s">
        <v>245</v>
      </c>
      <c r="C13" s="8" t="s">
        <v>159</v>
      </c>
      <c r="D13" s="8" t="s">
        <v>181</v>
      </c>
      <c r="E13" s="8">
        <v>19.733333333333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14</v>
      </c>
      <c r="AZ13" s="1">
        <f>COUNTIFS(Tracking!AA:AA,A13&amp;C13,Tracking!C:C,"5v5",Tracking!Y:Y,"C")</f>
        <v>11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3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0.64499999999999991</v>
      </c>
      <c r="CK13" s="2">
        <f t="shared" si="2"/>
        <v>0.505</v>
      </c>
      <c r="CL13" s="2">
        <f t="shared" si="3"/>
        <v>4.4999999999999998E-2</v>
      </c>
      <c r="CM13" s="2">
        <f t="shared" si="9"/>
        <v>0.13999999999999996</v>
      </c>
      <c r="CN13" s="2">
        <f t="shared" si="4"/>
        <v>-4.5000000000000012E-2</v>
      </c>
      <c r="CO13" s="2">
        <f t="shared" si="5"/>
        <v>0</v>
      </c>
      <c r="CP13" s="2">
        <f t="shared" si="6"/>
        <v>0</v>
      </c>
      <c r="CQ13" s="2">
        <f t="shared" si="7"/>
        <v>0.64499999999999991</v>
      </c>
    </row>
    <row r="14" spans="1:126" x14ac:dyDescent="0.35">
      <c r="A14" s="8">
        <v>95</v>
      </c>
      <c r="B14" s="8" t="s">
        <v>246</v>
      </c>
      <c r="C14" s="8" t="s">
        <v>159</v>
      </c>
      <c r="D14" s="8" t="s">
        <v>181</v>
      </c>
      <c r="E14" s="8">
        <v>17.95</v>
      </c>
      <c r="F14" s="8" t="s">
        <v>130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0.24000000000000002</v>
      </c>
      <c r="CK14" s="2">
        <f t="shared" si="2"/>
        <v>7.0000000000000007E-2</v>
      </c>
      <c r="CL14" s="2">
        <f t="shared" si="3"/>
        <v>0</v>
      </c>
      <c r="CM14" s="2">
        <f t="shared" si="9"/>
        <v>4.9999999999999975E-3</v>
      </c>
      <c r="CN14" s="2">
        <f t="shared" si="4"/>
        <v>0.13500000000000001</v>
      </c>
      <c r="CO14" s="2">
        <f t="shared" si="5"/>
        <v>0.03</v>
      </c>
      <c r="CP14" s="2">
        <f t="shared" si="6"/>
        <v>0</v>
      </c>
      <c r="CQ14" s="2">
        <f t="shared" si="7"/>
        <v>0.24000000000000002</v>
      </c>
    </row>
    <row r="15" spans="1:126" x14ac:dyDescent="0.35">
      <c r="A15" s="8">
        <v>29</v>
      </c>
      <c r="B15" s="8" t="s">
        <v>247</v>
      </c>
      <c r="C15" s="8" t="s">
        <v>159</v>
      </c>
      <c r="D15" s="8" t="s">
        <v>191</v>
      </c>
      <c r="E15" s="8">
        <v>13.416666666667</v>
      </c>
      <c r="F15" s="8" t="s">
        <v>130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6.5000000000000002E-2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-1.0000000000000002E-2</v>
      </c>
      <c r="CO15" s="2">
        <f t="shared" si="5"/>
        <v>0.03</v>
      </c>
      <c r="CP15" s="2">
        <f t="shared" si="6"/>
        <v>0</v>
      </c>
      <c r="CQ15" s="2">
        <f t="shared" si="7"/>
        <v>6.5000000000000002E-2</v>
      </c>
    </row>
    <row r="16" spans="1:126" x14ac:dyDescent="0.35">
      <c r="A16" s="8">
        <v>24</v>
      </c>
      <c r="B16" s="8" t="s">
        <v>248</v>
      </c>
      <c r="C16" s="8" t="s">
        <v>159</v>
      </c>
      <c r="D16" s="8" t="s">
        <v>193</v>
      </c>
      <c r="E16" s="8">
        <v>13.433333333333</v>
      </c>
      <c r="F16" s="8" t="s">
        <v>130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0.62500000000000011</v>
      </c>
      <c r="CK16" s="2">
        <f t="shared" si="2"/>
        <v>0.49000000000000005</v>
      </c>
      <c r="CL16" s="2">
        <f t="shared" si="3"/>
        <v>5.5E-2</v>
      </c>
      <c r="CM16" s="2">
        <f t="shared" si="9"/>
        <v>0</v>
      </c>
      <c r="CN16" s="2">
        <f t="shared" si="4"/>
        <v>3.5000000000000003E-2</v>
      </c>
      <c r="CO16" s="2">
        <f t="shared" si="5"/>
        <v>4.4999999999999998E-2</v>
      </c>
      <c r="CP16" s="2">
        <f t="shared" si="6"/>
        <v>0</v>
      </c>
      <c r="CQ16" s="2">
        <f t="shared" si="7"/>
        <v>0.62500000000000011</v>
      </c>
    </row>
    <row r="17" spans="1:95" x14ac:dyDescent="0.35">
      <c r="A17" s="8">
        <v>2</v>
      </c>
      <c r="B17" s="8" t="s">
        <v>249</v>
      </c>
      <c r="C17" s="8" t="s">
        <v>159</v>
      </c>
      <c r="D17" s="8" t="s">
        <v>181</v>
      </c>
      <c r="E17" s="8">
        <v>19.55</v>
      </c>
      <c r="F17" s="8" t="s">
        <v>130</v>
      </c>
      <c r="G17" s="19" t="s">
        <v>273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3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4</v>
      </c>
      <c r="AY17" s="1">
        <f>COUNTIFS(Tracking!AA:AA,A17&amp;C17,Tracking!C:C,"5v5")</f>
        <v>3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0.32500000000000001</v>
      </c>
      <c r="CK17" s="2">
        <f t="shared" si="2"/>
        <v>0.29000000000000004</v>
      </c>
      <c r="CL17" s="2">
        <f t="shared" si="3"/>
        <v>0</v>
      </c>
      <c r="CM17" s="2">
        <f t="shared" si="9"/>
        <v>0.09</v>
      </c>
      <c r="CN17" s="2">
        <f t="shared" si="4"/>
        <v>-5.5000000000000007E-2</v>
      </c>
      <c r="CO17" s="2">
        <f t="shared" si="5"/>
        <v>0</v>
      </c>
      <c r="CP17" s="2">
        <f t="shared" si="6"/>
        <v>0</v>
      </c>
      <c r="CQ17" s="2">
        <f t="shared" si="7"/>
        <v>0.32500000000000001</v>
      </c>
    </row>
    <row r="18" spans="1:95" x14ac:dyDescent="0.35">
      <c r="A18" s="8">
        <v>18</v>
      </c>
      <c r="B18" s="8" t="s">
        <v>250</v>
      </c>
      <c r="C18" s="8" t="s">
        <v>159</v>
      </c>
      <c r="D18" s="8" t="s">
        <v>193</v>
      </c>
      <c r="E18" s="8">
        <v>12.116666666666999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0.99</v>
      </c>
      <c r="CK18" s="2">
        <f t="shared" si="2"/>
        <v>0.61</v>
      </c>
      <c r="CL18" s="2">
        <f t="shared" si="3"/>
        <v>0.245</v>
      </c>
      <c r="CM18" s="2">
        <f t="shared" si="9"/>
        <v>0</v>
      </c>
      <c r="CN18" s="2">
        <f t="shared" si="4"/>
        <v>0.12000000000000001</v>
      </c>
      <c r="CO18" s="2">
        <f t="shared" si="5"/>
        <v>1.4999999999999999E-2</v>
      </c>
      <c r="CP18" s="2">
        <f t="shared" si="6"/>
        <v>0</v>
      </c>
      <c r="CQ18" s="2">
        <f t="shared" si="7"/>
        <v>0.99</v>
      </c>
    </row>
    <row r="19" spans="1:95" x14ac:dyDescent="0.35">
      <c r="A19" s="8">
        <v>88</v>
      </c>
      <c r="B19" s="8" t="s">
        <v>251</v>
      </c>
      <c r="C19" s="8" t="s">
        <v>159</v>
      </c>
      <c r="D19" s="8" t="s">
        <v>191</v>
      </c>
      <c r="E19" s="8">
        <v>16.833333333333002</v>
      </c>
      <c r="F19" s="8" t="s">
        <v>130</v>
      </c>
      <c r="G19" s="19" t="s">
        <v>273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0.81</v>
      </c>
      <c r="CK19" s="2">
        <f t="shared" si="2"/>
        <v>0.42999999999999994</v>
      </c>
      <c r="CL19" s="2">
        <f t="shared" si="3"/>
        <v>0.28999999999999998</v>
      </c>
      <c r="CM19" s="2">
        <f t="shared" si="9"/>
        <v>0</v>
      </c>
      <c r="CN19" s="2">
        <f t="shared" si="4"/>
        <v>6.0000000000000005E-2</v>
      </c>
      <c r="CO19" s="2">
        <f t="shared" si="5"/>
        <v>0.03</v>
      </c>
      <c r="CP19" s="2">
        <f t="shared" si="6"/>
        <v>0</v>
      </c>
      <c r="CQ19" s="2">
        <f t="shared" si="7"/>
        <v>0.81</v>
      </c>
    </row>
    <row r="20" spans="1:95" x14ac:dyDescent="0.35">
      <c r="A20" s="8">
        <v>10</v>
      </c>
      <c r="B20" s="8" t="s">
        <v>252</v>
      </c>
      <c r="C20" s="8" t="s">
        <v>132</v>
      </c>
      <c r="D20" s="8" t="s">
        <v>184</v>
      </c>
      <c r="E20" s="8">
        <v>8.4166666666666998</v>
      </c>
      <c r="F20" s="8" t="s">
        <v>130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2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0.77500000000000013</v>
      </c>
      <c r="CK20" s="2">
        <f>(0.075*H20)+(0.07*L20)+(0.055*M20)+(0.055*N20)+(0.095*J20)+(0.09*O20)+(0.05*P20)+(0.05*R20)+(0.05*S20)+(0.05*AB20)+0.2</f>
        <v>0.72500000000000009</v>
      </c>
      <c r="CL20" s="2">
        <f t="shared" si="3"/>
        <v>0</v>
      </c>
      <c r="CM20" s="2">
        <f t="shared" si="9"/>
        <v>0</v>
      </c>
      <c r="CN20" s="2">
        <f t="shared" si="4"/>
        <v>3.5000000000000003E-2</v>
      </c>
      <c r="CO20" s="2">
        <f t="shared" si="5"/>
        <v>1.4999999999999999E-2</v>
      </c>
      <c r="CP20" s="2">
        <f t="shared" si="6"/>
        <v>0</v>
      </c>
      <c r="CQ20" s="2">
        <f t="shared" si="7"/>
        <v>0.77500000000000013</v>
      </c>
    </row>
    <row r="21" spans="1:95" x14ac:dyDescent="0.35">
      <c r="A21" s="8">
        <v>5</v>
      </c>
      <c r="B21" s="8" t="s">
        <v>253</v>
      </c>
      <c r="C21" s="8" t="s">
        <v>132</v>
      </c>
      <c r="D21" s="8" t="s">
        <v>181</v>
      </c>
      <c r="E21" s="8">
        <v>20.7</v>
      </c>
      <c r="F21" s="8" t="s">
        <v>130</v>
      </c>
      <c r="G21" s="19" t="s">
        <v>273</v>
      </c>
      <c r="H21" s="9">
        <f>COUNTIFS(Tracking!E:E,A21,Tracking!D:D,C21,Tracking!C:C,"5v5")</f>
        <v>7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5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11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1.18</v>
      </c>
      <c r="CK21" s="2">
        <f>(0.075*H21)+(0.07*L21)+(0.055*M21)+(0.055*N21)+(0.095*J21)+(0.09*O21)+(0.05*P21)+(0.05*R21)+(0.05*S21)+(0.05*AB21)</f>
        <v>0.74</v>
      </c>
      <c r="CL21" s="2">
        <f t="shared" si="3"/>
        <v>0</v>
      </c>
      <c r="CM21" s="2">
        <f t="shared" si="9"/>
        <v>0.30499999999999999</v>
      </c>
      <c r="CN21" s="2">
        <f t="shared" si="4"/>
        <v>0.12000000000000001</v>
      </c>
      <c r="CO21" s="2">
        <f t="shared" si="5"/>
        <v>1.4999999999999999E-2</v>
      </c>
      <c r="CP21" s="2">
        <f t="shared" si="6"/>
        <v>0</v>
      </c>
      <c r="CQ21" s="2">
        <f t="shared" si="7"/>
        <v>1.18</v>
      </c>
    </row>
    <row r="22" spans="1:95" x14ac:dyDescent="0.35">
      <c r="A22" s="8">
        <v>16</v>
      </c>
      <c r="B22" s="8" t="s">
        <v>254</v>
      </c>
      <c r="C22" s="8" t="s">
        <v>132</v>
      </c>
      <c r="D22" s="8" t="s">
        <v>193</v>
      </c>
      <c r="E22" s="8">
        <v>15.516666666667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1.3800000000000001</v>
      </c>
      <c r="CK22" s="2">
        <f>(0.075*H22)+(0.07*L22)+(0.055*M22)+(0.055*N22)+(0.095*J22)+(0.09*O22)+(0.05*P22)+(0.05*R22)+(0.05*S22)+(0.05*AB22)+0.2+0.15</f>
        <v>0.94000000000000006</v>
      </c>
      <c r="CL22" s="2">
        <f t="shared" si="3"/>
        <v>0.26</v>
      </c>
      <c r="CM22" s="2">
        <f t="shared" si="9"/>
        <v>-0.04</v>
      </c>
      <c r="CN22" s="2">
        <f t="shared" si="4"/>
        <v>8.5000000000000006E-2</v>
      </c>
      <c r="CO22" s="2">
        <f t="shared" si="5"/>
        <v>0.13500000000000001</v>
      </c>
      <c r="CP22" s="2">
        <f t="shared" si="6"/>
        <v>0</v>
      </c>
      <c r="CQ22" s="2">
        <f t="shared" si="7"/>
        <v>1.3800000000000001</v>
      </c>
    </row>
    <row r="23" spans="1:95" x14ac:dyDescent="0.35">
      <c r="A23" s="8">
        <v>15</v>
      </c>
      <c r="B23" s="8" t="s">
        <v>255</v>
      </c>
      <c r="C23" s="8" t="s">
        <v>132</v>
      </c>
      <c r="D23" s="8" t="s">
        <v>193</v>
      </c>
      <c r="E23" s="8">
        <v>12.25</v>
      </c>
      <c r="F23" s="8" t="s">
        <v>130</v>
      </c>
      <c r="G23" s="19" t="s">
        <v>273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4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0.875</v>
      </c>
      <c r="CK23" s="2">
        <f>(0.075*H23)+(0.07*L23)+(0.055*M23)+(0.055*N23)+(0.095*J23)+(0.09*O23)+(0.05*P23)+(0.05*R23)+(0.05*S23)+(0.05*AB23)+0.25</f>
        <v>0.77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0.105</v>
      </c>
      <c r="CP23" s="2">
        <f t="shared" si="6"/>
        <v>0</v>
      </c>
      <c r="CQ23" s="2">
        <f t="shared" si="7"/>
        <v>0.875</v>
      </c>
    </row>
    <row r="24" spans="1:95" x14ac:dyDescent="0.35">
      <c r="A24" s="8">
        <v>63</v>
      </c>
      <c r="B24" s="8" t="s">
        <v>256</v>
      </c>
      <c r="C24" s="8" t="s">
        <v>132</v>
      </c>
      <c r="D24" s="8" t="s">
        <v>184</v>
      </c>
      <c r="E24" s="8">
        <v>15.183333333333</v>
      </c>
      <c r="F24" s="8" t="s">
        <v>130</v>
      </c>
      <c r="G24" s="19" t="s">
        <v>273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1</v>
      </c>
      <c r="K24" s="9">
        <f t="shared" si="0"/>
        <v>8</v>
      </c>
      <c r="L24" s="9">
        <f>COUNTIFS(Tracking!G:G,A24,Tracking!D:D,C24,Tracking!C:C,"5v5")</f>
        <v>6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3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3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7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7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1.9950000000000001</v>
      </c>
      <c r="CK24" s="2">
        <f>(0.075*H24)+(0.07*L24)+(0.055*M24)+(0.055*N24)+(0.095*J24)+(0.09*O24)+(0.05*P24)+(0.05*R24)+(0.05*S24)+(0.05*AB24)+0.2+0.15</f>
        <v>1.5149999999999999</v>
      </c>
      <c r="CL24" s="2">
        <f t="shared" si="3"/>
        <v>0.23499999999999999</v>
      </c>
      <c r="CM24" s="2">
        <f t="shared" si="9"/>
        <v>0</v>
      </c>
      <c r="CN24" s="2">
        <f t="shared" si="4"/>
        <v>0.14000000000000001</v>
      </c>
      <c r="CO24" s="2">
        <f t="shared" si="5"/>
        <v>0.105</v>
      </c>
      <c r="CP24" s="2">
        <f t="shared" si="6"/>
        <v>0</v>
      </c>
      <c r="CQ24" s="2">
        <f t="shared" si="7"/>
        <v>1.9950000000000001</v>
      </c>
    </row>
    <row r="25" spans="1:95" x14ac:dyDescent="0.35">
      <c r="A25" s="8">
        <v>23</v>
      </c>
      <c r="B25" s="8" t="s">
        <v>257</v>
      </c>
      <c r="C25" s="8" t="s">
        <v>132</v>
      </c>
      <c r="D25" s="8" t="s">
        <v>193</v>
      </c>
      <c r="E25" s="8">
        <v>19</v>
      </c>
      <c r="F25" s="8" t="s">
        <v>130</v>
      </c>
      <c r="G25" s="19" t="s">
        <v>273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7</v>
      </c>
      <c r="L25" s="9">
        <f>COUNTIFS(Tracking!G:G,A25,Tracking!D:D,C25,Tracking!C:C,"5v5")</f>
        <v>4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6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1.5150000000000001</v>
      </c>
      <c r="CK25" s="2">
        <f>(0.075*H25)+(0.07*L25)+(0.055*M25)+(0.055*N25)+(0.095*J25)+(0.09*O25)+(0.05*P25)+(0.05*R25)+(0.05*S25)+(0.05*AB25)</f>
        <v>1.1400000000000001</v>
      </c>
      <c r="CL25" s="2">
        <f t="shared" si="3"/>
        <v>0.18</v>
      </c>
      <c r="CM25" s="2">
        <f t="shared" si="9"/>
        <v>0</v>
      </c>
      <c r="CN25" s="2">
        <f t="shared" si="4"/>
        <v>6.0000000000000005E-2</v>
      </c>
      <c r="CO25" s="2">
        <f t="shared" si="5"/>
        <v>0.13500000000000001</v>
      </c>
      <c r="CP25" s="2">
        <f t="shared" si="6"/>
        <v>0</v>
      </c>
      <c r="CQ25" s="2">
        <f t="shared" si="7"/>
        <v>1.5150000000000001</v>
      </c>
    </row>
    <row r="26" spans="1:95" x14ac:dyDescent="0.35">
      <c r="A26" s="8">
        <v>7</v>
      </c>
      <c r="B26" s="8" t="s">
        <v>258</v>
      </c>
      <c r="C26" s="8" t="s">
        <v>132</v>
      </c>
      <c r="D26" s="8" t="s">
        <v>181</v>
      </c>
      <c r="E26" s="8">
        <v>14.233333333333</v>
      </c>
      <c r="F26" s="8" t="s">
        <v>130</v>
      </c>
      <c r="G26" s="19" t="s">
        <v>273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0.39</v>
      </c>
      <c r="CK26" s="2">
        <f t="shared" si="2"/>
        <v>0.22499999999999998</v>
      </c>
      <c r="CL26" s="2">
        <f t="shared" si="3"/>
        <v>0</v>
      </c>
      <c r="CM26" s="2">
        <f t="shared" si="9"/>
        <v>0.15</v>
      </c>
      <c r="CN26" s="2">
        <f t="shared" si="4"/>
        <v>1.4999999999999999E-2</v>
      </c>
      <c r="CO26" s="2">
        <f t="shared" si="5"/>
        <v>0</v>
      </c>
      <c r="CP26" s="2">
        <f t="shared" si="6"/>
        <v>0</v>
      </c>
      <c r="CQ26" s="2">
        <f t="shared" si="7"/>
        <v>0.39</v>
      </c>
    </row>
    <row r="27" spans="1:95" x14ac:dyDescent="0.35">
      <c r="A27" s="8">
        <v>27</v>
      </c>
      <c r="B27" s="8" t="s">
        <v>259</v>
      </c>
      <c r="C27" s="8" t="s">
        <v>132</v>
      </c>
      <c r="D27" s="8" t="s">
        <v>193</v>
      </c>
      <c r="E27" s="8">
        <v>13.116666666666999</v>
      </c>
      <c r="F27" s="8" t="s">
        <v>130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0.8600000000000001</v>
      </c>
      <c r="CK27" s="2">
        <f>(0.075*H27)+(0.07*L27)+(0.055*M27)+(0.055*N27)+(0.095*J27)+(0.09*O27)+(0.05*P27)+(0.05*R27)+(0.05*S27)+(0.05*AB27)+0.25+0.2</f>
        <v>0.77</v>
      </c>
      <c r="CL27" s="2">
        <f t="shared" si="3"/>
        <v>4.4999999999999998E-2</v>
      </c>
      <c r="CM27" s="2">
        <f t="shared" si="9"/>
        <v>0</v>
      </c>
      <c r="CN27" s="2">
        <f t="shared" si="4"/>
        <v>0</v>
      </c>
      <c r="CO27" s="2">
        <f t="shared" si="5"/>
        <v>4.4999999999999998E-2</v>
      </c>
      <c r="CP27" s="2">
        <f t="shared" si="6"/>
        <v>0</v>
      </c>
      <c r="CQ27" s="2">
        <f t="shared" si="7"/>
        <v>0.8600000000000001</v>
      </c>
    </row>
    <row r="28" spans="1:95" x14ac:dyDescent="0.35">
      <c r="A28" s="8">
        <v>17</v>
      </c>
      <c r="B28" s="8" t="s">
        <v>260</v>
      </c>
      <c r="C28" s="8" t="s">
        <v>132</v>
      </c>
      <c r="D28" s="8" t="s">
        <v>193</v>
      </c>
      <c r="E28" s="8">
        <v>16.616666666667001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>(0.075*H28)+(0.07*L28)+(0.055*M28)+(0.055*N28)+(0.095*J28)+(0.09*O28)+(0.05*P28)+(0.05*R28)+(0.05*S28)+(0.05*AB28)+0.2</f>
        <v>0.67500000000000004</v>
      </c>
      <c r="CL28" s="2">
        <f t="shared" si="3"/>
        <v>0</v>
      </c>
      <c r="CM28" s="2">
        <f t="shared" si="9"/>
        <v>0</v>
      </c>
      <c r="CN28" s="2">
        <f t="shared" si="4"/>
        <v>0</v>
      </c>
      <c r="CO28" s="2">
        <f t="shared" si="5"/>
        <v>1.4999999999999999E-2</v>
      </c>
      <c r="CP28" s="2">
        <f t="shared" si="6"/>
        <v>0</v>
      </c>
      <c r="CQ28" s="2">
        <f t="shared" si="7"/>
        <v>0.69000000000000006</v>
      </c>
    </row>
    <row r="29" spans="1:95" x14ac:dyDescent="0.35">
      <c r="A29" s="8">
        <v>42</v>
      </c>
      <c r="B29" s="8" t="s">
        <v>261</v>
      </c>
      <c r="C29" s="8" t="s">
        <v>132</v>
      </c>
      <c r="D29" s="8" t="s">
        <v>181</v>
      </c>
      <c r="E29" s="8">
        <v>20.716666666666999</v>
      </c>
      <c r="F29" s="8" t="s">
        <v>130</v>
      </c>
      <c r="G29" s="19" t="s">
        <v>273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2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4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1.0050000000000001</v>
      </c>
      <c r="CK29" s="2">
        <f t="shared" si="2"/>
        <v>0.45999999999999996</v>
      </c>
      <c r="CL29" s="2">
        <f t="shared" si="3"/>
        <v>0</v>
      </c>
      <c r="CM29" s="2">
        <f t="shared" si="9"/>
        <v>0.32500000000000007</v>
      </c>
      <c r="CN29" s="2">
        <f t="shared" si="4"/>
        <v>0.22</v>
      </c>
      <c r="CO29" s="2">
        <f t="shared" si="5"/>
        <v>0</v>
      </c>
      <c r="CP29" s="2">
        <f t="shared" si="6"/>
        <v>0</v>
      </c>
      <c r="CQ29" s="2">
        <f t="shared" si="7"/>
        <v>1.0050000000000001</v>
      </c>
    </row>
    <row r="30" spans="1:95" x14ac:dyDescent="0.35">
      <c r="A30" s="8">
        <v>12</v>
      </c>
      <c r="B30" s="8" t="s">
        <v>262</v>
      </c>
      <c r="C30" s="8" t="s">
        <v>132</v>
      </c>
      <c r="D30" s="8" t="s">
        <v>184</v>
      </c>
      <c r="E30" s="8">
        <v>8.7833333333332995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0.57999999999999996</v>
      </c>
      <c r="CK30" s="2">
        <f>(0.075*H30)+(0.07*L30)+(0.055*M30)+(0.055*N30)+(0.095*J30)+(0.09*O30)+(0.05*P30)+(0.05*R30)+(0.05*S30)+(0.05*AB30)+0.25</f>
        <v>0.49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0.09</v>
      </c>
      <c r="CP30" s="2">
        <f t="shared" si="6"/>
        <v>0</v>
      </c>
      <c r="CQ30" s="2">
        <f t="shared" si="7"/>
        <v>0.57999999999999996</v>
      </c>
    </row>
    <row r="31" spans="1:95" x14ac:dyDescent="0.35">
      <c r="A31" s="8">
        <v>19</v>
      </c>
      <c r="B31" s="8" t="s">
        <v>263</v>
      </c>
      <c r="C31" s="8" t="s">
        <v>132</v>
      </c>
      <c r="D31" s="8" t="s">
        <v>184</v>
      </c>
      <c r="E31" s="8">
        <v>16.399999999999999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6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0.91499999999999992</v>
      </c>
      <c r="CK31" s="2">
        <f t="shared" si="2"/>
        <v>0.6</v>
      </c>
      <c r="CL31" s="2">
        <f t="shared" si="3"/>
        <v>0.1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0.09</v>
      </c>
      <c r="CP31" s="2">
        <f t="shared" si="6"/>
        <v>0</v>
      </c>
      <c r="CQ31" s="2">
        <f t="shared" si="7"/>
        <v>0.91499999999999992</v>
      </c>
    </row>
    <row r="32" spans="1:95" x14ac:dyDescent="0.35">
      <c r="A32" s="8">
        <v>88</v>
      </c>
      <c r="B32" s="8" t="s">
        <v>264</v>
      </c>
      <c r="C32" s="8" t="s">
        <v>132</v>
      </c>
      <c r="D32" s="8" t="s">
        <v>181</v>
      </c>
      <c r="E32" s="8">
        <v>15.366666666666999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3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</v>
      </c>
      <c r="CK32" s="2">
        <f t="shared" si="2"/>
        <v>0.35</v>
      </c>
      <c r="CL32" s="2">
        <f t="shared" si="3"/>
        <v>0</v>
      </c>
      <c r="CM32" s="2">
        <f t="shared" si="9"/>
        <v>0.11</v>
      </c>
      <c r="CN32" s="2">
        <f t="shared" si="4"/>
        <v>0.17</v>
      </c>
      <c r="CO32" s="2">
        <f t="shared" si="5"/>
        <v>0</v>
      </c>
      <c r="CP32" s="2">
        <f t="shared" si="6"/>
        <v>0</v>
      </c>
      <c r="CQ32" s="2">
        <f t="shared" si="7"/>
        <v>0.63</v>
      </c>
    </row>
    <row r="33" spans="1:95" x14ac:dyDescent="0.35">
      <c r="A33" s="8">
        <v>77</v>
      </c>
      <c r="B33" s="8" t="s">
        <v>265</v>
      </c>
      <c r="C33" s="8" t="s">
        <v>132</v>
      </c>
      <c r="D33" s="8" t="s">
        <v>181</v>
      </c>
      <c r="E33" s="8">
        <v>21.466666666666999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2</v>
      </c>
      <c r="AJ33" s="11">
        <f>COUNTIFS(Tracking!AH:AH,A33&amp;C33)</f>
        <v>2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0.4900000000000001</v>
      </c>
      <c r="CK33" s="2">
        <f t="shared" si="2"/>
        <v>0.44500000000000006</v>
      </c>
      <c r="CL33" s="2">
        <f t="shared" si="3"/>
        <v>2.5000000000000008E-2</v>
      </c>
      <c r="CM33" s="2">
        <f t="shared" si="9"/>
        <v>1.9999999999999997E-2</v>
      </c>
      <c r="CN33" s="2">
        <f t="shared" si="4"/>
        <v>-0.03</v>
      </c>
      <c r="CO33" s="2">
        <f t="shared" si="5"/>
        <v>0.03</v>
      </c>
      <c r="CP33" s="2">
        <f t="shared" si="6"/>
        <v>0</v>
      </c>
      <c r="CQ33" s="2">
        <f t="shared" si="7"/>
        <v>0.4900000000000001</v>
      </c>
    </row>
    <row r="34" spans="1:95" x14ac:dyDescent="0.35">
      <c r="A34" s="8">
        <v>9</v>
      </c>
      <c r="B34" s="8" t="s">
        <v>266</v>
      </c>
      <c r="C34" s="8" t="s">
        <v>132</v>
      </c>
      <c r="D34" s="8" t="s">
        <v>193</v>
      </c>
      <c r="E34" s="8">
        <v>18.916666666666998</v>
      </c>
      <c r="F34" s="8" t="s">
        <v>130</v>
      </c>
      <c r="G34" s="19" t="s">
        <v>273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7</v>
      </c>
      <c r="AD34" s="11">
        <f>COUNTIFS(Tracking!Z:Z,A34&amp;C34,Tracking!C:C,"5v5",Tracking!Y:Y,"C")</f>
        <v>6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1.0999999999999999</v>
      </c>
      <c r="CK34" s="2">
        <f t="shared" si="2"/>
        <v>0.66500000000000004</v>
      </c>
      <c r="CL34" s="2">
        <f t="shared" si="3"/>
        <v>0.33500000000000002</v>
      </c>
      <c r="CM34" s="2">
        <f t="shared" si="9"/>
        <v>0</v>
      </c>
      <c r="CN34" s="2">
        <f t="shared" si="4"/>
        <v>2.4999999999999994E-2</v>
      </c>
      <c r="CO34" s="2">
        <f t="shared" si="5"/>
        <v>7.4999999999999997E-2</v>
      </c>
      <c r="CP34" s="2">
        <f t="shared" si="6"/>
        <v>0</v>
      </c>
      <c r="CQ34" s="2">
        <f t="shared" si="7"/>
        <v>1.0999999999999999</v>
      </c>
    </row>
    <row r="35" spans="1:95" x14ac:dyDescent="0.35">
      <c r="A35" s="8">
        <v>13</v>
      </c>
      <c r="B35" s="8" t="s">
        <v>267</v>
      </c>
      <c r="C35" s="8" t="s">
        <v>132</v>
      </c>
      <c r="D35" s="8" t="s">
        <v>193</v>
      </c>
      <c r="E35" s="8">
        <v>15.583333333333</v>
      </c>
      <c r="F35" s="8" t="s">
        <v>130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6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0.91500000000000004</v>
      </c>
      <c r="CK35" s="2">
        <f>(0.075*H35)+(0.07*L35)+(0.055*M35)+(0.055*N35)+(0.095*J35)+(0.09*O35)+(0.05*P35)+(0.05*R35)+(0.05*S35)+(0.05*AB35)+0.25</f>
        <v>0.68500000000000005</v>
      </c>
      <c r="CL35" s="2">
        <f t="shared" si="3"/>
        <v>4.4999999999999998E-2</v>
      </c>
      <c r="CM35" s="2">
        <f t="shared" si="9"/>
        <v>0</v>
      </c>
      <c r="CN35" s="2">
        <f t="shared" si="4"/>
        <v>0.06</v>
      </c>
      <c r="CO35" s="2">
        <f t="shared" si="5"/>
        <v>0.09</v>
      </c>
      <c r="CP35" s="2">
        <f t="shared" si="6"/>
        <v>3.5000000000000003E-2</v>
      </c>
      <c r="CQ35" s="2">
        <f t="shared" si="7"/>
        <v>0.88</v>
      </c>
    </row>
    <row r="36" spans="1:95" x14ac:dyDescent="0.35">
      <c r="A36" s="8">
        <v>3</v>
      </c>
      <c r="B36" s="8" t="s">
        <v>268</v>
      </c>
      <c r="C36" s="8" t="s">
        <v>132</v>
      </c>
      <c r="D36" s="8" t="s">
        <v>181</v>
      </c>
      <c r="E36" s="8">
        <v>21.066666666667</v>
      </c>
      <c r="F36" s="8" t="s">
        <v>130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3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3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7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1.8499999999999996</v>
      </c>
      <c r="CK36" s="2">
        <f>(0.075*H36)+(0.07*L36)+(0.055*M36)+(0.055*N36)+(0.095*J36)+(0.09*O36)+(0.05*P36)+(0.05*R36)+(0.05*S36)+(0.05*AB36)+0.25+0.15</f>
        <v>1.2449999999999999</v>
      </c>
      <c r="CL36" s="2">
        <f t="shared" si="3"/>
        <v>0.34499999999999997</v>
      </c>
      <c r="CM36" s="2">
        <f t="shared" si="9"/>
        <v>0.16</v>
      </c>
      <c r="CN36" s="2">
        <f t="shared" si="4"/>
        <v>2.5000000000000001E-2</v>
      </c>
      <c r="CO36" s="2">
        <f t="shared" si="5"/>
        <v>7.4999999999999997E-2</v>
      </c>
      <c r="CP36" s="2">
        <f t="shared" si="6"/>
        <v>0</v>
      </c>
      <c r="CQ36" s="2">
        <f t="shared" si="7"/>
        <v>1.8499999999999996</v>
      </c>
    </row>
    <row r="37" spans="1:95" x14ac:dyDescent="0.35">
      <c r="A37" s="8">
        <v>92</v>
      </c>
      <c r="B37" s="8" t="s">
        <v>269</v>
      </c>
      <c r="C37" s="8" t="s">
        <v>132</v>
      </c>
      <c r="D37" s="8" t="s">
        <v>184</v>
      </c>
      <c r="E37" s="8">
        <v>9.9166666666666998</v>
      </c>
      <c r="F37" s="8" t="s">
        <v>130</v>
      </c>
      <c r="G37" s="19" t="s">
        <v>273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0.48</v>
      </c>
      <c r="CK37" s="2">
        <f t="shared" si="2"/>
        <v>0.22</v>
      </c>
      <c r="CL37" s="2">
        <f t="shared" si="3"/>
        <v>0.18</v>
      </c>
      <c r="CM37" s="2">
        <f t="shared" si="9"/>
        <v>0</v>
      </c>
      <c r="CN37" s="2">
        <f t="shared" si="4"/>
        <v>0.05</v>
      </c>
      <c r="CO37" s="2">
        <f t="shared" si="5"/>
        <v>0.03</v>
      </c>
      <c r="CP37" s="2">
        <f t="shared" si="6"/>
        <v>0</v>
      </c>
      <c r="CQ37" s="2">
        <f t="shared" si="7"/>
        <v>0.48</v>
      </c>
    </row>
    <row r="38" spans="1:95" x14ac:dyDescent="0.35">
      <c r="A38" s="8">
        <v>72</v>
      </c>
      <c r="B38" s="8" t="s">
        <v>270</v>
      </c>
      <c r="C38" s="8" t="s">
        <v>132</v>
      </c>
      <c r="D38" s="8" t="s">
        <v>271</v>
      </c>
      <c r="E38" s="8">
        <v>56.65</v>
      </c>
      <c r="F38" s="8" t="s">
        <v>130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272</v>
      </c>
      <c r="C39" s="8" t="s">
        <v>159</v>
      </c>
      <c r="D39" s="8" t="s">
        <v>271</v>
      </c>
      <c r="E39" s="8">
        <v>56.65</v>
      </c>
      <c r="F39" s="8" t="s">
        <v>130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2025-05-22T11:23:11Z</dcterms:modified>
</cp:coreProperties>
</file>