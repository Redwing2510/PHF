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F9219DF5-C9F7-4E0A-9D6B-348BDBEBDBB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2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<sst xmlns="http://schemas.openxmlformats.org/spreadsheetml/2006/main" count="2740" uniqueCount="275">
  <si>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</si>
  <si>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</si>
  <si>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</si>
  <si>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</si>
  <si>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</si>
  <si>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</si>
  <si>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</si>
  <si>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</si>
  <si>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</si>
  <si>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</si>
  <si>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</si>
  <si>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</si>
  <si>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</si>
  <si>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</si>
  <si>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</si>
  <si>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</si>
  <si>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</si>
  <si>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</si>
  <si>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</si>
  <si>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</si>
  <si>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</si>
  <si>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</si>
  <si>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</si>
  <si>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</si>
  <si>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</si>
  <si>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</si>
  <si>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</si>
  <si>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</si>
  <si>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</si>
  <si>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</si>
  <si>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</si>
  <si>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</si>
  <si>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</si>
  <si>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</si>
  <si>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</si>
  <si>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</si>
  <si>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</si>
  <si>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</si>
  <si>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</si>
  <si>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</si>
  <si>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</si>
  <si>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</si>
  <si>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</si>
  <si>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</si>
  <si>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</si>
  <si>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</si>
  <si>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</si>
  <si>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</si>
  <si>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</si>
  <si>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</si>
  <si>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</si>
  <si>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</si>
  <si>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</si>
  <si>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</si>
  <si>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</si>
  <si>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</si>
  <si>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</si>
  <si>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</si>
  <si>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</si>
  <si>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</si>
  <si>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</si>
  <si>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</si>
  <si>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</si>
  <si>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</si>
  <si>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</si>
  <si>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</si>
  <si>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</si>
  <si>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</si>
  <si>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</si>
  <si>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</si>
  <si>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</si>
  <si>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</si>
  <si>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</si>
  <si>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</si>
  <si>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</si>
  <si>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</si>
  <si>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</si>
  <si>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</si>
  <si>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</si>
  <si>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</si>
  <si>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</si>
  <si>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</si>
  <si>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</si>
  <si>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</si>
  <si>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</si>
  <si>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</si>
  <si>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</si>
  <si>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</si>
  <si>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</si>
  <si>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</si>
  <si>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</si>
  <si>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</si>
  <si>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</si>
  <si>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</si>
  <si>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</si>
  <si>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</si>
  <si>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</si>
  <si>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</si>
  <si>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</si>
  <si>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</si>
  <si>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</si>
  <si>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</si>
  <si>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</si>
  <si>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</si>
  <si>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</si>
  <si>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</si>
  <si>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</si>
  <si>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</si>
  <si>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</si>
  <si>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</si>
  <si>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</si>
  <si>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</si>
  <si>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</si>
  <si>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</si>
  <si>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</si>
  <si>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</si>
  <si>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</si>
  <si>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</si>
  <si>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</si>
  <si>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</si>
  <si>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</si>
  <si>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</si>
  <si>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</si>
  <si>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</si>
  <si>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</si>
  <si>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</si>
  <si>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</si>
  <si>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</si>
  <si>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</si>
  <si>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</si>
  <si>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</si>
  <si>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STL</t>
  </si>
  <si>
    <t>W</t>
  </si>
  <si>
    <t>dr</t>
  </si>
  <si>
    <t>Y</t>
  </si>
  <si>
    <t>r</t>
  </si>
  <si>
    <t>dz</t>
  </si>
  <si>
    <t>dz exit</t>
  </si>
  <si>
    <t>w</t>
  </si>
  <si>
    <t>y</t>
  </si>
  <si>
    <t>f</t>
  </si>
  <si>
    <t>oz</t>
  </si>
  <si>
    <t>SEA</t>
  </si>
  <si>
    <t>oelc</t>
  </si>
  <si>
    <t>or</t>
  </si>
  <si>
    <t>oelpr</t>
  </si>
  <si>
    <t>t</t>
  </si>
  <si>
    <t>s</t>
  </si>
  <si>
    <t>oz faceoff</t>
  </si>
  <si>
    <t>O</t>
  </si>
  <si>
    <t>oell</t>
  </si>
  <si>
    <t>nl</t>
  </si>
  <si>
    <t>nz</t>
  </si>
  <si>
    <t>nz faceoff</t>
  </si>
  <si>
    <t>ofp</t>
  </si>
  <si>
    <t>nz regroup</t>
  </si>
  <si>
    <t>oelpl</t>
  </si>
  <si>
    <t>oc</t>
  </si>
  <si>
    <t>nr</t>
  </si>
  <si>
    <t>ol</t>
  </si>
  <si>
    <t>opl</t>
  </si>
  <si>
    <t>c</t>
  </si>
  <si>
    <t>o</t>
  </si>
  <si>
    <t>opr</t>
  </si>
  <si>
    <t>nz reload</t>
  </si>
  <si>
    <t>T</t>
  </si>
  <si>
    <t>orrr</t>
  </si>
  <si>
    <t>nz turnover</t>
  </si>
  <si>
    <t>2 on 1</t>
  </si>
  <si>
    <t>R</t>
  </si>
  <si>
    <t>dz counter</t>
  </si>
  <si>
    <t>S</t>
  </si>
  <si>
    <t>3 on 1</t>
  </si>
  <si>
    <t>opc</t>
  </si>
  <si>
    <t>5v4</t>
  </si>
  <si>
    <t>b</t>
  </si>
  <si>
    <t>nsc</t>
  </si>
  <si>
    <t>1 on 0</t>
  </si>
  <si>
    <t>nc</t>
  </si>
  <si>
    <t>sling shot</t>
  </si>
  <si>
    <t>4v5</t>
  </si>
  <si>
    <t>D</t>
  </si>
  <si>
    <t>7SEA</t>
  </si>
  <si>
    <t>N</t>
  </si>
  <si>
    <t>C</t>
  </si>
  <si>
    <t>19SEA</t>
  </si>
  <si>
    <t>81STL</t>
  </si>
  <si>
    <t>CLE</t>
  </si>
  <si>
    <t>6STL</t>
  </si>
  <si>
    <t>95SEA</t>
  </si>
  <si>
    <t>89STL</t>
  </si>
  <si>
    <t>9SEA</t>
  </si>
  <si>
    <t>PEX</t>
  </si>
  <si>
    <t>17SEA</t>
  </si>
  <si>
    <t>X</t>
  </si>
  <si>
    <t>9STL</t>
  </si>
  <si>
    <t>BOT</t>
  </si>
  <si>
    <t>72STL</t>
  </si>
  <si>
    <t>FEX</t>
  </si>
  <si>
    <t>EXC</t>
  </si>
  <si>
    <t>12SEA</t>
  </si>
  <si>
    <t>4STL</t>
  </si>
  <si>
    <t>42STL</t>
  </si>
  <si>
    <t>CEX</t>
  </si>
  <si>
    <t>3SEA</t>
  </si>
  <si>
    <t>51SEA</t>
  </si>
  <si>
    <t>L</t>
  </si>
  <si>
    <t>50STL</t>
  </si>
  <si>
    <t>55STL</t>
  </si>
  <si>
    <t>MEX</t>
  </si>
  <si>
    <t>29SEA</t>
  </si>
  <si>
    <t>6SEA</t>
  </si>
  <si>
    <t>25STL</t>
  </si>
  <si>
    <t>20SEA</t>
  </si>
  <si>
    <t>22SEA</t>
  </si>
  <si>
    <t>71STL</t>
  </si>
  <si>
    <t>62SEA</t>
  </si>
  <si>
    <t>13SEA</t>
  </si>
  <si>
    <t>24SEA</t>
  </si>
  <si>
    <t>12STL</t>
  </si>
  <si>
    <t>10SEA</t>
  </si>
  <si>
    <t>22STL</t>
  </si>
  <si>
    <t>37SEA</t>
  </si>
  <si>
    <t>13STL</t>
  </si>
  <si>
    <t>51STL</t>
  </si>
  <si>
    <t>63STL</t>
  </si>
  <si>
    <t>10SESA</t>
  </si>
  <si>
    <t>10STL</t>
  </si>
  <si>
    <t>41SEA</t>
  </si>
  <si>
    <t>18STL</t>
  </si>
  <si>
    <t>31SEA</t>
  </si>
  <si>
    <t>26STL</t>
  </si>
  <si>
    <t>F</t>
  </si>
  <si>
    <t>2024-25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</si>
  <si>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</si>
  <si>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</si>
  <si>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</si>
  <si>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</si>
  <si>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</si>
  <si>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</si>
  <si>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</si>
  <si>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</si>
  <si>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</si>
  <si>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</si>
  <si>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Matty Beniers</t>
  </si>
  <si>
    <t>Oliver Bjorkstrand</t>
  </si>
  <si>
    <t>Ryker Evans</t>
  </si>
  <si>
    <t>Shane Wright</t>
  </si>
  <si>
    <t>Tye Kartye</t>
  </si>
  <si>
    <t>Vince Dunn</t>
  </si>
  <si>
    <t>Will Borgen</t>
  </si>
  <si>
    <t>Yanni Gourde</t>
  </si>
  <si>
    <t>Alexandre Texier</t>
  </si>
  <si>
    <t>Alexey Toropchenko</t>
  </si>
  <si>
    <t>Brayden Schenn</t>
  </si>
  <si>
    <t>Colton Parayko</t>
  </si>
  <si>
    <t>Dylan Holloway</t>
  </si>
  <si>
    <t>Jake Neighbours</t>
  </si>
  <si>
    <t>Jordan Kyrou</t>
  </si>
  <si>
    <t>Justin Faulk</t>
  </si>
  <si>
    <t>Kasperi Kapanen</t>
  </si>
  <si>
    <t>Mathieu Joseph</t>
  </si>
  <si>
    <t>Matthew Kessel</t>
  </si>
  <si>
    <t>Nathan Walker</t>
  </si>
  <si>
    <t>Nick Leddy</t>
  </si>
  <si>
    <t>Pavel Buchnevich</t>
  </si>
  <si>
    <t>Philip Broberg</t>
  </si>
  <si>
    <t>Radek Faksa</t>
  </si>
  <si>
    <t>Robert Thomas</t>
  </si>
  <si>
    <t>Ryan Suter</t>
  </si>
  <si>
    <t>Jordan Binnington</t>
  </si>
  <si>
    <t>Philipp Grubauer</t>
  </si>
  <si>
    <t>G</t>
  </si>
  <si>
    <t>10/8/2024 SEA vs. STL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</si>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</sst>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90" activePane="bottomRight" state="frozen"/>
      <selection pane="topRight" activeCell="D1" sqref="D1"/>
      <selection pane="bottomLeft" activeCell="A2" sqref="A2"/>
      <selection pane="bottomRight" activeCell="S308" sqref="S30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0.82916666666666672</v>
      </c>
      <c r="C2" s="21" t="s">
        <v>130</v>
      </c>
      <c r="Y2" s="16" t="s">
        <v>181</v>
      </c>
      <c r="Z2" s="16" t="s">
        <v>182</v>
      </c>
      <c r="AA2" s="16" t="s">
        <v>183</v>
      </c>
      <c r="AB2" s="16" t="s">
        <v>183</v>
      </c>
      <c r="AC2" s="16" t="s">
        <v>184</v>
      </c>
      <c r="AD2" s="16" t="s">
        <v>185</v>
      </c>
      <c r="AE2" s="16" t="s">
        <v>183</v>
      </c>
      <c r="AF2" s="5" t="s">
        <v>186</v>
      </c>
      <c r="AG2" s="5" t="s">
        <v>187</v>
      </c>
      <c r="AK2" s="7"/>
      <c r="AL2" s="7"/>
    </row>
    <row r="3" spans="1:40" x14ac:dyDescent="0.35">
      <c r="A3" s="7">
        <v>1</v>
      </c>
      <c r="B3" s="15">
        <v>0.8208333333333333</v>
      </c>
      <c r="C3" s="21" t="s">
        <v>130</v>
      </c>
      <c r="Y3" s="16" t="s">
        <v>184</v>
      </c>
      <c r="Z3" s="16" t="s">
        <v>190</v>
      </c>
      <c r="AA3" s="16" t="s">
        <v>191</v>
      </c>
      <c r="AB3" s="16" t="s">
        <v>183</v>
      </c>
      <c r="AC3" s="16" t="s">
        <v>169</v>
      </c>
      <c r="AD3" s="16" t="s">
        <v>183</v>
      </c>
      <c r="AE3" s="16" t="s">
        <v>139</v>
      </c>
      <c r="AK3" s="7"/>
      <c r="AL3" s="7"/>
    </row>
    <row r="4" spans="1:40" x14ac:dyDescent="0.35">
      <c r="A4" s="7">
        <v>1</v>
      </c>
      <c r="B4" s="15">
        <v>0.80833333333333335</v>
      </c>
      <c r="C4" s="21" t="s">
        <v>130</v>
      </c>
      <c r="D4" s="1" t="s">
        <v>131</v>
      </c>
      <c r="E4" s="1">
        <v>89</v>
      </c>
      <c r="F4" s="1" t="s">
        <v>132</v>
      </c>
      <c r="G4" s="1">
        <v>6</v>
      </c>
      <c r="J4" s="1" t="s">
        <v>133</v>
      </c>
      <c r="M4" s="1" t="s">
        <v>134</v>
      </c>
      <c r="N4" s="1" t="s">
        <v>134</v>
      </c>
      <c r="P4" s="1" t="s">
        <v>135</v>
      </c>
      <c r="Q4" s="1" t="s">
        <v>136</v>
      </c>
      <c r="R4" s="1" t="s">
        <v>137</v>
      </c>
      <c r="U4" s="1">
        <v>0</v>
      </c>
      <c r="V4" s="1">
        <v>31</v>
      </c>
      <c r="W4" s="1">
        <v>20003</v>
      </c>
      <c r="X4" s="1">
        <v>45573</v>
      </c>
      <c r="AK4" s="7"/>
      <c r="AL4" s="7"/>
    </row>
    <row r="5" spans="1:40" x14ac:dyDescent="0.35">
      <c r="A5" s="2">
        <v>1</v>
      </c>
      <c r="B5" s="15">
        <v>0.80486111111111114</v>
      </c>
      <c r="C5" s="21" t="s">
        <v>130</v>
      </c>
      <c r="AF5" s="5" t="s">
        <v>189</v>
      </c>
      <c r="AG5" s="5" t="s">
        <v>192</v>
      </c>
      <c r="AK5" s="7"/>
      <c r="AL5" s="7"/>
    </row>
    <row r="6" spans="1:40" x14ac:dyDescent="0.35">
      <c r="A6" s="2">
        <v>1</v>
      </c>
      <c r="B6" s="15">
        <v>0.80138888888888893</v>
      </c>
      <c r="C6" s="21" t="s">
        <v>130</v>
      </c>
      <c r="Y6" s="16" t="s">
        <v>184</v>
      </c>
      <c r="Z6" s="16" t="s">
        <v>193</v>
      </c>
      <c r="AA6" s="16" t="s">
        <v>188</v>
      </c>
      <c r="AB6" s="16" t="s">
        <v>183</v>
      </c>
      <c r="AC6" s="16" t="s">
        <v>184</v>
      </c>
      <c r="AD6" s="16" t="s">
        <v>183</v>
      </c>
      <c r="AE6" s="16" t="s">
        <v>183</v>
      </c>
      <c r="AK6" s="7"/>
      <c r="AL6" s="7"/>
    </row>
    <row r="7" spans="1:40" x14ac:dyDescent="0.35">
      <c r="A7" s="7">
        <v>1</v>
      </c>
      <c r="B7" s="14">
        <v>0.79791666666666672</v>
      </c>
      <c r="C7" s="21" t="s">
        <v>130</v>
      </c>
      <c r="Y7" s="16" t="s">
        <v>194</v>
      </c>
      <c r="Z7" s="16" t="s">
        <v>131</v>
      </c>
      <c r="AD7" s="16" t="s">
        <v>195</v>
      </c>
      <c r="AE7" s="16" t="s">
        <v>134</v>
      </c>
      <c r="AF7" s="5" t="s">
        <v>195</v>
      </c>
      <c r="AG7" s="5" t="s">
        <v>196</v>
      </c>
      <c r="AH7" s="5" t="s">
        <v>195</v>
      </c>
      <c r="AK7" s="7"/>
      <c r="AL7" s="7"/>
    </row>
    <row r="8" spans="1:40" x14ac:dyDescent="0.35">
      <c r="A8" s="2">
        <v>1</v>
      </c>
      <c r="B8" s="15">
        <v>0.79583333333333328</v>
      </c>
      <c r="C8" s="21" t="s">
        <v>130</v>
      </c>
      <c r="D8" s="1" t="s">
        <v>131</v>
      </c>
      <c r="E8" s="1">
        <v>25</v>
      </c>
      <c r="F8" s="1" t="s">
        <v>138</v>
      </c>
      <c r="M8" s="1" t="s">
        <v>139</v>
      </c>
      <c r="N8" s="1" t="s">
        <v>139</v>
      </c>
      <c r="P8" s="1" t="s">
        <v>140</v>
      </c>
      <c r="Q8" s="1" t="s">
        <v>141</v>
      </c>
      <c r="U8" s="1">
        <v>0</v>
      </c>
      <c r="V8" s="1">
        <v>31</v>
      </c>
      <c r="W8" s="1">
        <v>20003</v>
      </c>
      <c r="X8" s="1">
        <v>45573</v>
      </c>
      <c r="AK8" s="7"/>
      <c r="AL8" s="7"/>
    </row>
    <row r="9" spans="1:40" x14ac:dyDescent="0.35">
      <c r="A9" s="2">
        <v>1</v>
      </c>
      <c r="B9" s="15">
        <v>0.78611111111111109</v>
      </c>
      <c r="C9" s="21" t="s">
        <v>130</v>
      </c>
      <c r="AF9" s="5" t="s">
        <v>197</v>
      </c>
      <c r="AG9" s="5" t="s">
        <v>198</v>
      </c>
      <c r="AH9" s="5" t="s">
        <v>191</v>
      </c>
      <c r="AK9" s="7"/>
      <c r="AL9" s="7"/>
    </row>
    <row r="10" spans="1:40" x14ac:dyDescent="0.35">
      <c r="A10" s="7">
        <v>1</v>
      </c>
      <c r="B10" s="15">
        <v>0.78402777777777777</v>
      </c>
      <c r="C10" s="21" t="s">
        <v>130</v>
      </c>
      <c r="D10" s="1" t="s">
        <v>142</v>
      </c>
      <c r="E10" s="1">
        <v>22</v>
      </c>
      <c r="F10" s="1" t="s">
        <v>132</v>
      </c>
      <c r="N10" s="1" t="s">
        <v>139</v>
      </c>
      <c r="P10" s="1" t="s">
        <v>140</v>
      </c>
      <c r="Q10" s="1" t="s">
        <v>141</v>
      </c>
      <c r="U10" s="1">
        <v>0</v>
      </c>
      <c r="V10" s="1">
        <v>50</v>
      </c>
      <c r="W10" s="1">
        <v>20003</v>
      </c>
      <c r="X10" s="1">
        <v>45573</v>
      </c>
      <c r="AK10" s="7"/>
      <c r="AL10" s="7"/>
    </row>
    <row r="11" spans="1:40" x14ac:dyDescent="0.35">
      <c r="A11" s="7">
        <v>1</v>
      </c>
      <c r="B11" s="15">
        <v>0.77777777777777779</v>
      </c>
      <c r="C11" s="21" t="s">
        <v>130</v>
      </c>
      <c r="AF11" s="5" t="s">
        <v>195</v>
      </c>
      <c r="AG11" s="5" t="s">
        <v>199</v>
      </c>
      <c r="AH11" s="5" t="s">
        <v>200</v>
      </c>
      <c r="AI11" s="5" t="s">
        <v>201</v>
      </c>
      <c r="AJ11" s="5" t="s">
        <v>198</v>
      </c>
      <c r="AK11" s="7"/>
      <c r="AL11" s="7"/>
    </row>
    <row r="12" spans="1:40" x14ac:dyDescent="0.35">
      <c r="A12" s="2">
        <v>1</v>
      </c>
      <c r="B12" s="15">
        <v>0.75972222222222219</v>
      </c>
      <c r="C12" s="21" t="s">
        <v>130</v>
      </c>
      <c r="AF12" s="5" t="s">
        <v>195</v>
      </c>
      <c r="AG12" s="5" t="s">
        <v>199</v>
      </c>
      <c r="AH12" s="5" t="s">
        <v>183</v>
      </c>
      <c r="AI12" s="5" t="s">
        <v>202</v>
      </c>
      <c r="AJ12" s="5" t="s">
        <v>203</v>
      </c>
      <c r="AK12" s="7"/>
      <c r="AL12" s="7"/>
    </row>
    <row r="13" spans="1:40" x14ac:dyDescent="0.35">
      <c r="A13" s="7">
        <v>1</v>
      </c>
      <c r="B13" s="15">
        <v>0.75277777777777777</v>
      </c>
      <c r="C13" s="21" t="s">
        <v>130</v>
      </c>
      <c r="Y13" s="16" t="s">
        <v>181</v>
      </c>
      <c r="Z13" s="16" t="s">
        <v>202</v>
      </c>
      <c r="AA13" s="16" t="s">
        <v>183</v>
      </c>
      <c r="AB13" s="16" t="s">
        <v>183</v>
      </c>
      <c r="AC13" s="16" t="s">
        <v>184</v>
      </c>
      <c r="AD13" s="16" t="s">
        <v>183</v>
      </c>
      <c r="AE13" s="16" t="s">
        <v>183</v>
      </c>
      <c r="AF13" s="5" t="s">
        <v>204</v>
      </c>
      <c r="AG13" s="5" t="s">
        <v>199</v>
      </c>
      <c r="AH13" s="5" t="s">
        <v>183</v>
      </c>
      <c r="AI13" s="5" t="s">
        <v>205</v>
      </c>
      <c r="AJ13" s="5" t="s">
        <v>192</v>
      </c>
      <c r="AK13" s="7"/>
      <c r="AL13" s="7"/>
    </row>
    <row r="14" spans="1:40" x14ac:dyDescent="0.35">
      <c r="A14" s="7">
        <v>1</v>
      </c>
      <c r="B14" s="15">
        <v>0.74444444444444446</v>
      </c>
      <c r="C14" s="21" t="s">
        <v>130</v>
      </c>
      <c r="Y14" s="16" t="s">
        <v>181</v>
      </c>
      <c r="Z14" s="16" t="s">
        <v>200</v>
      </c>
      <c r="AA14" s="16" t="s">
        <v>183</v>
      </c>
      <c r="AB14" s="16" t="s">
        <v>183</v>
      </c>
      <c r="AC14" s="16" t="s">
        <v>206</v>
      </c>
      <c r="AD14" s="16" t="s">
        <v>183</v>
      </c>
      <c r="AE14" s="16" t="s">
        <v>139</v>
      </c>
      <c r="AF14" s="5" t="s">
        <v>197</v>
      </c>
      <c r="AG14" s="5" t="s">
        <v>198</v>
      </c>
      <c r="AK14" s="7"/>
      <c r="AL14" s="7"/>
    </row>
    <row r="15" spans="1:40" x14ac:dyDescent="0.35">
      <c r="A15" s="7">
        <v>1</v>
      </c>
      <c r="B15" s="14">
        <v>0.73750000000000004</v>
      </c>
      <c r="C15" s="21" t="s">
        <v>130</v>
      </c>
      <c r="D15" s="1" t="s">
        <v>142</v>
      </c>
      <c r="E15" s="1">
        <v>13</v>
      </c>
      <c r="F15" s="1" t="s">
        <v>138</v>
      </c>
      <c r="G15" s="1">
        <v>12</v>
      </c>
      <c r="H15" s="1">
        <v>37</v>
      </c>
      <c r="J15" s="1" t="s">
        <v>143</v>
      </c>
      <c r="K15" s="1" t="s">
        <v>144</v>
      </c>
      <c r="M15" s="1" t="s">
        <v>134</v>
      </c>
      <c r="P15" s="1" t="s">
        <v>140</v>
      </c>
      <c r="Q15" s="1" t="s">
        <v>141</v>
      </c>
      <c r="U15" s="1">
        <v>0</v>
      </c>
      <c r="V15" s="1">
        <v>50</v>
      </c>
      <c r="W15" s="1">
        <v>20003</v>
      </c>
      <c r="X15" s="1">
        <v>45573</v>
      </c>
      <c r="AK15" s="7"/>
      <c r="AL15" s="7"/>
    </row>
    <row r="16" spans="1:40" x14ac:dyDescent="0.35">
      <c r="A16" s="2">
        <v>1</v>
      </c>
      <c r="B16" s="15">
        <v>0.72430555555555554</v>
      </c>
      <c r="C16" s="21" t="s">
        <v>130</v>
      </c>
      <c r="D16" s="1" t="s">
        <v>142</v>
      </c>
      <c r="E16" s="1">
        <v>62</v>
      </c>
      <c r="F16" s="1" t="s">
        <v>138</v>
      </c>
      <c r="G16" s="1">
        <v>13</v>
      </c>
      <c r="J16" s="1" t="s">
        <v>145</v>
      </c>
      <c r="N16" s="1" t="s">
        <v>139</v>
      </c>
      <c r="P16" s="1" t="s">
        <v>140</v>
      </c>
      <c r="Q16" s="1" t="s">
        <v>141</v>
      </c>
      <c r="U16" s="1">
        <v>0</v>
      </c>
      <c r="V16" s="1">
        <v>50</v>
      </c>
      <c r="W16" s="1">
        <v>20003</v>
      </c>
      <c r="X16" s="1">
        <v>45573</v>
      </c>
      <c r="AK16" s="7"/>
      <c r="AL16" s="7"/>
    </row>
    <row r="17" spans="1:38" x14ac:dyDescent="0.35">
      <c r="A17" s="2">
        <v>1</v>
      </c>
      <c r="B17" s="15">
        <v>0.72013888888888888</v>
      </c>
      <c r="C17" s="21" t="s">
        <v>130</v>
      </c>
      <c r="D17" s="1" t="s">
        <v>142</v>
      </c>
      <c r="E17" s="1">
        <v>19</v>
      </c>
      <c r="F17" s="1" t="s">
        <v>146</v>
      </c>
      <c r="G17" s="1">
        <v>6</v>
      </c>
      <c r="J17" s="1" t="s">
        <v>147</v>
      </c>
      <c r="Q17" s="1" t="s">
        <v>141</v>
      </c>
      <c r="R17" s="1" t="s">
        <v>148</v>
      </c>
      <c r="U17" s="1">
        <v>0</v>
      </c>
      <c r="V17" s="1">
        <v>50</v>
      </c>
      <c r="W17" s="1">
        <v>20003</v>
      </c>
      <c r="X17" s="1">
        <v>45573</v>
      </c>
      <c r="AK17" s="7"/>
      <c r="AL17" s="7"/>
    </row>
    <row r="18" spans="1:38" x14ac:dyDescent="0.35">
      <c r="A18" s="7">
        <v>1</v>
      </c>
      <c r="B18" s="15">
        <v>0.71527777777777779</v>
      </c>
      <c r="C18" s="21" t="s">
        <v>130</v>
      </c>
      <c r="AF18" s="5" t="s">
        <v>207</v>
      </c>
      <c r="AG18" s="5" t="s">
        <v>199</v>
      </c>
      <c r="AH18" s="5" t="s">
        <v>183</v>
      </c>
      <c r="AI18" s="5" t="s">
        <v>208</v>
      </c>
      <c r="AJ18" s="5" t="s">
        <v>209</v>
      </c>
      <c r="AK18" s="7"/>
      <c r="AL18" s="7"/>
    </row>
    <row r="19" spans="1:38" x14ac:dyDescent="0.35">
      <c r="A19" s="2">
        <v>1</v>
      </c>
      <c r="B19" s="15">
        <v>0.70763888888888893</v>
      </c>
      <c r="C19" s="21" t="s">
        <v>130</v>
      </c>
      <c r="Y19" s="16" t="s">
        <v>181</v>
      </c>
      <c r="Z19" s="16" t="s">
        <v>201</v>
      </c>
      <c r="AA19" s="16" t="s">
        <v>183</v>
      </c>
      <c r="AB19" s="16" t="s">
        <v>183</v>
      </c>
      <c r="AC19" s="16" t="s">
        <v>206</v>
      </c>
      <c r="AD19" s="16" t="s">
        <v>183</v>
      </c>
      <c r="AE19" s="16" t="s">
        <v>183</v>
      </c>
      <c r="AF19" s="5" t="s">
        <v>210</v>
      </c>
      <c r="AG19" s="5" t="s">
        <v>199</v>
      </c>
      <c r="AH19" s="5" t="s">
        <v>183</v>
      </c>
      <c r="AI19" s="5" t="s">
        <v>185</v>
      </c>
      <c r="AJ19" s="5" t="s">
        <v>203</v>
      </c>
      <c r="AK19" s="7"/>
      <c r="AL19" s="7"/>
    </row>
    <row r="20" spans="1:38" x14ac:dyDescent="0.35">
      <c r="A20" s="7">
        <v>1</v>
      </c>
      <c r="B20" s="14">
        <v>0.69791666666666663</v>
      </c>
      <c r="C20" s="21" t="s">
        <v>130</v>
      </c>
      <c r="Y20" s="16" t="s">
        <v>181</v>
      </c>
      <c r="Z20" s="16" t="s">
        <v>185</v>
      </c>
      <c r="AA20" s="16" t="s">
        <v>208</v>
      </c>
      <c r="AB20" s="16" t="s">
        <v>183</v>
      </c>
      <c r="AC20" s="16" t="s">
        <v>206</v>
      </c>
      <c r="AD20" s="16" t="s">
        <v>211</v>
      </c>
      <c r="AE20" s="16" t="s">
        <v>134</v>
      </c>
      <c r="AK20" s="7"/>
      <c r="AL20" s="7"/>
    </row>
    <row r="21" spans="1:38" x14ac:dyDescent="0.35">
      <c r="A21" s="7">
        <v>1</v>
      </c>
      <c r="B21" s="15">
        <v>0.69513888888888886</v>
      </c>
      <c r="C21" s="21" t="s">
        <v>130</v>
      </c>
      <c r="D21" s="1" t="s">
        <v>142</v>
      </c>
      <c r="E21" s="1">
        <v>10</v>
      </c>
      <c r="F21" s="1" t="s">
        <v>149</v>
      </c>
      <c r="G21" s="1">
        <v>7</v>
      </c>
      <c r="H21" s="1">
        <v>6</v>
      </c>
      <c r="J21" s="1" t="s">
        <v>143</v>
      </c>
      <c r="K21" s="1" t="s">
        <v>144</v>
      </c>
      <c r="M21" s="1" t="s">
        <v>139</v>
      </c>
      <c r="N21" s="1" t="s">
        <v>139</v>
      </c>
      <c r="P21" s="1" t="s">
        <v>140</v>
      </c>
      <c r="Q21" s="1" t="s">
        <v>141</v>
      </c>
      <c r="U21" s="1">
        <v>0</v>
      </c>
      <c r="V21" s="1">
        <v>50</v>
      </c>
      <c r="W21" s="1">
        <v>20003</v>
      </c>
      <c r="X21" s="1">
        <v>45573</v>
      </c>
      <c r="AK21" s="7"/>
      <c r="AL21" s="7"/>
    </row>
    <row r="22" spans="1:38" x14ac:dyDescent="0.35">
      <c r="A22" s="2">
        <v>1</v>
      </c>
      <c r="B22" s="15">
        <v>0.68263888888888891</v>
      </c>
      <c r="C22" s="21" t="s">
        <v>130</v>
      </c>
      <c r="Y22" s="16" t="s">
        <v>184</v>
      </c>
      <c r="Z22" s="16" t="s">
        <v>212</v>
      </c>
      <c r="AA22" s="16" t="s">
        <v>211</v>
      </c>
      <c r="AB22" s="16" t="s">
        <v>183</v>
      </c>
      <c r="AC22" s="16" t="s">
        <v>206</v>
      </c>
      <c r="AD22" s="16" t="s">
        <v>183</v>
      </c>
      <c r="AE22" s="16" t="s">
        <v>183</v>
      </c>
      <c r="AF22" s="5" t="s">
        <v>210</v>
      </c>
      <c r="AG22" s="5" t="s">
        <v>196</v>
      </c>
      <c r="AH22" s="5" t="s">
        <v>186</v>
      </c>
      <c r="AK22" s="7"/>
      <c r="AL22" s="7"/>
    </row>
    <row r="23" spans="1:38" x14ac:dyDescent="0.35">
      <c r="A23" s="7">
        <v>1</v>
      </c>
      <c r="B23" s="15">
        <v>0.65833333333333333</v>
      </c>
      <c r="C23" s="21" t="s">
        <v>130</v>
      </c>
      <c r="AF23" s="5" t="s">
        <v>193</v>
      </c>
      <c r="AG23" s="5" t="s">
        <v>192</v>
      </c>
      <c r="AK23" s="7"/>
      <c r="AL23" s="7"/>
    </row>
    <row r="24" spans="1:38" x14ac:dyDescent="0.35">
      <c r="A24" s="15">
        <v>1</v>
      </c>
      <c r="B24" s="15">
        <v>0.64444444444444449</v>
      </c>
      <c r="C24" s="21" t="s">
        <v>130</v>
      </c>
      <c r="Y24" s="16" t="s">
        <v>181</v>
      </c>
      <c r="Z24" s="16" t="s">
        <v>213</v>
      </c>
      <c r="AA24" s="16" t="s">
        <v>183</v>
      </c>
      <c r="AB24" s="16" t="s">
        <v>183</v>
      </c>
      <c r="AC24" s="16" t="s">
        <v>206</v>
      </c>
      <c r="AD24" s="16" t="s">
        <v>214</v>
      </c>
      <c r="AE24" s="16" t="s">
        <v>183</v>
      </c>
      <c r="AF24" s="5" t="s">
        <v>188</v>
      </c>
      <c r="AG24" s="5" t="s">
        <v>199</v>
      </c>
      <c r="AH24" s="5" t="s">
        <v>183</v>
      </c>
      <c r="AI24" s="5" t="s">
        <v>215</v>
      </c>
      <c r="AJ24" s="5" t="s">
        <v>187</v>
      </c>
      <c r="AK24" s="7"/>
      <c r="AL24" s="7"/>
    </row>
    <row r="25" spans="1:38" x14ac:dyDescent="0.35">
      <c r="A25" s="2">
        <v>1</v>
      </c>
      <c r="B25" s="15">
        <v>0.59930555555555554</v>
      </c>
      <c r="C25" s="21" t="s">
        <v>130</v>
      </c>
      <c r="AF25" s="5" t="s">
        <v>216</v>
      </c>
      <c r="AG25" s="5" t="s">
        <v>199</v>
      </c>
      <c r="AH25" s="5" t="s">
        <v>183</v>
      </c>
      <c r="AI25" s="5" t="s">
        <v>217</v>
      </c>
      <c r="AJ25" s="5" t="s">
        <v>192</v>
      </c>
      <c r="AK25" s="7"/>
      <c r="AL25" s="7"/>
    </row>
    <row r="26" spans="1:38" x14ac:dyDescent="0.35">
      <c r="A26" s="7">
        <v>1</v>
      </c>
      <c r="B26" s="15">
        <v>0.59583333333333333</v>
      </c>
      <c r="C26" s="21" t="s">
        <v>130</v>
      </c>
      <c r="Y26" s="16" t="s">
        <v>184</v>
      </c>
      <c r="Z26" s="16" t="s">
        <v>218</v>
      </c>
      <c r="AA26" s="16" t="s">
        <v>201</v>
      </c>
      <c r="AB26" s="16" t="s">
        <v>134</v>
      </c>
      <c r="AC26" s="16" t="s">
        <v>169</v>
      </c>
      <c r="AD26" s="16" t="s">
        <v>183</v>
      </c>
      <c r="AE26" s="16" t="s">
        <v>134</v>
      </c>
      <c r="AK26" s="7"/>
      <c r="AL26" s="7"/>
    </row>
    <row r="27" spans="1:38" x14ac:dyDescent="0.35">
      <c r="A27" s="2">
        <v>1</v>
      </c>
      <c r="B27" s="15">
        <v>0.59305555555555556</v>
      </c>
      <c r="C27" s="21" t="s">
        <v>130</v>
      </c>
      <c r="D27" s="1" t="s">
        <v>142</v>
      </c>
      <c r="E27" s="1">
        <v>12</v>
      </c>
      <c r="F27" s="1" t="s">
        <v>138</v>
      </c>
      <c r="G27" s="1">
        <v>37</v>
      </c>
      <c r="J27" s="1" t="s">
        <v>150</v>
      </c>
      <c r="M27" s="1" t="s">
        <v>139</v>
      </c>
      <c r="N27" s="1" t="s">
        <v>139</v>
      </c>
      <c r="P27" s="1" t="s">
        <v>135</v>
      </c>
      <c r="Q27" s="1" t="s">
        <v>136</v>
      </c>
      <c r="R27" s="1" t="s">
        <v>137</v>
      </c>
      <c r="U27" s="1">
        <v>0</v>
      </c>
      <c r="V27" s="1">
        <v>50</v>
      </c>
      <c r="W27" s="1">
        <v>20003</v>
      </c>
      <c r="X27" s="1">
        <v>45573</v>
      </c>
      <c r="AK27" s="7"/>
      <c r="AL27" s="7"/>
    </row>
    <row r="28" spans="1:38" x14ac:dyDescent="0.35">
      <c r="A28" s="2">
        <v>1</v>
      </c>
      <c r="B28" s="15">
        <v>0.59166666666666667</v>
      </c>
      <c r="C28" s="21" t="s">
        <v>130</v>
      </c>
      <c r="AF28" s="5" t="s">
        <v>201</v>
      </c>
      <c r="AG28" s="5" t="s">
        <v>199</v>
      </c>
      <c r="AH28" s="5" t="s">
        <v>183</v>
      </c>
      <c r="AI28" s="5" t="s">
        <v>219</v>
      </c>
      <c r="AJ28" s="5" t="s">
        <v>209</v>
      </c>
      <c r="AK28" s="7"/>
      <c r="AL28" s="7"/>
    </row>
    <row r="29" spans="1:38" x14ac:dyDescent="0.35">
      <c r="A29" s="7">
        <v>1</v>
      </c>
      <c r="B29" s="15">
        <v>0.57916666666666672</v>
      </c>
      <c r="C29" s="21" t="s">
        <v>130</v>
      </c>
      <c r="Y29" s="16" t="s">
        <v>184</v>
      </c>
      <c r="Z29" s="16" t="s">
        <v>208</v>
      </c>
      <c r="AA29" s="16" t="s">
        <v>211</v>
      </c>
      <c r="AB29" s="16" t="s">
        <v>183</v>
      </c>
      <c r="AC29" s="16" t="s">
        <v>184</v>
      </c>
      <c r="AD29" s="16" t="s">
        <v>183</v>
      </c>
      <c r="AE29" s="16" t="s">
        <v>183</v>
      </c>
      <c r="AK29" s="7"/>
      <c r="AL29" s="7"/>
    </row>
    <row r="30" spans="1:38" x14ac:dyDescent="0.35">
      <c r="A30" s="2">
        <v>1</v>
      </c>
      <c r="B30" s="15">
        <v>0.57847222222222228</v>
      </c>
      <c r="C30" s="21" t="s">
        <v>130</v>
      </c>
      <c r="D30" s="1" t="s">
        <v>131</v>
      </c>
      <c r="E30" s="1">
        <v>55</v>
      </c>
      <c r="F30" s="1" t="s">
        <v>132</v>
      </c>
      <c r="G30" s="1">
        <v>6</v>
      </c>
      <c r="J30" s="1" t="s">
        <v>151</v>
      </c>
      <c r="N30" s="1" t="s">
        <v>134</v>
      </c>
      <c r="P30" s="1" t="s">
        <v>135</v>
      </c>
      <c r="Q30" s="1" t="s">
        <v>152</v>
      </c>
      <c r="R30" s="1" t="s">
        <v>153</v>
      </c>
      <c r="U30" s="1">
        <v>0</v>
      </c>
      <c r="V30" s="1">
        <v>31</v>
      </c>
      <c r="W30" s="1">
        <v>20003</v>
      </c>
      <c r="X30" s="1">
        <v>45573</v>
      </c>
      <c r="AK30" s="7"/>
      <c r="AL30" s="7"/>
    </row>
    <row r="31" spans="1:38" x14ac:dyDescent="0.35">
      <c r="A31" s="2">
        <v>1</v>
      </c>
      <c r="B31" s="15">
        <v>0.5756944444444444</v>
      </c>
      <c r="C31" s="21" t="s">
        <v>130</v>
      </c>
      <c r="D31" s="1" t="s">
        <v>131</v>
      </c>
      <c r="E31" s="1">
        <v>55</v>
      </c>
      <c r="F31" s="1" t="s">
        <v>138</v>
      </c>
      <c r="G31" s="1">
        <v>18</v>
      </c>
      <c r="J31" s="1" t="s">
        <v>154</v>
      </c>
      <c r="N31" s="1" t="s">
        <v>139</v>
      </c>
      <c r="Q31" s="1" t="s">
        <v>141</v>
      </c>
      <c r="R31" s="1" t="s">
        <v>148</v>
      </c>
      <c r="U31" s="1">
        <v>0</v>
      </c>
      <c r="V31" s="1">
        <v>31</v>
      </c>
      <c r="W31" s="1">
        <v>20003</v>
      </c>
      <c r="X31" s="1">
        <v>45573</v>
      </c>
      <c r="AK31" s="7"/>
      <c r="AL31" s="7"/>
    </row>
    <row r="32" spans="1:38" x14ac:dyDescent="0.35">
      <c r="A32" s="2">
        <v>1</v>
      </c>
      <c r="B32" s="15">
        <v>0.57430555555555551</v>
      </c>
      <c r="C32" s="21" t="s">
        <v>130</v>
      </c>
      <c r="D32" s="1" t="s">
        <v>131</v>
      </c>
      <c r="E32" s="1">
        <v>63</v>
      </c>
      <c r="F32" s="1" t="s">
        <v>135</v>
      </c>
      <c r="M32" s="1" t="s">
        <v>139</v>
      </c>
      <c r="N32" s="1" t="s">
        <v>139</v>
      </c>
      <c r="Q32" s="1" t="s">
        <v>141</v>
      </c>
      <c r="R32" s="1" t="s">
        <v>148</v>
      </c>
      <c r="U32" s="1">
        <v>0</v>
      </c>
      <c r="V32" s="1">
        <v>31</v>
      </c>
      <c r="W32" s="1">
        <v>20003</v>
      </c>
      <c r="X32" s="1">
        <v>45573</v>
      </c>
      <c r="AK32" s="7"/>
      <c r="AL32" s="7"/>
    </row>
    <row r="33" spans="1:38" x14ac:dyDescent="0.35">
      <c r="A33" s="2">
        <v>1</v>
      </c>
      <c r="B33" s="15">
        <v>0.55347222222222225</v>
      </c>
      <c r="C33" s="21" t="s">
        <v>130</v>
      </c>
      <c r="AF33" s="5" t="s">
        <v>182</v>
      </c>
      <c r="AG33" s="5" t="s">
        <v>192</v>
      </c>
      <c r="AK33" s="7"/>
      <c r="AL33" s="7"/>
    </row>
    <row r="34" spans="1:38" x14ac:dyDescent="0.35">
      <c r="A34" s="7">
        <v>1</v>
      </c>
      <c r="B34" s="15">
        <v>0.55138888888888893</v>
      </c>
      <c r="C34" s="21" t="s">
        <v>130</v>
      </c>
      <c r="Y34" s="16" t="s">
        <v>181</v>
      </c>
      <c r="Z34" s="16" t="s">
        <v>185</v>
      </c>
      <c r="AA34" s="16" t="s">
        <v>183</v>
      </c>
      <c r="AB34" s="16" t="s">
        <v>183</v>
      </c>
      <c r="AC34" s="16" t="s">
        <v>169</v>
      </c>
      <c r="AD34" s="16" t="s">
        <v>220</v>
      </c>
      <c r="AE34" s="16" t="s">
        <v>183</v>
      </c>
      <c r="AK34" s="7"/>
      <c r="AL34" s="7"/>
    </row>
    <row r="35" spans="1:38" x14ac:dyDescent="0.35">
      <c r="A35" s="2">
        <v>1</v>
      </c>
      <c r="B35" s="15">
        <v>0.51388888888888884</v>
      </c>
      <c r="C35" s="21" t="s">
        <v>130</v>
      </c>
      <c r="AF35" s="5" t="s">
        <v>216</v>
      </c>
      <c r="AG35" s="5" t="s">
        <v>199</v>
      </c>
      <c r="AH35" s="5" t="s">
        <v>183</v>
      </c>
      <c r="AI35" s="5" t="s">
        <v>218</v>
      </c>
      <c r="AJ35" s="5" t="s">
        <v>187</v>
      </c>
      <c r="AK35" s="7"/>
      <c r="AL35" s="7"/>
    </row>
    <row r="36" spans="1:38" x14ac:dyDescent="0.35">
      <c r="A36" s="7">
        <v>1</v>
      </c>
      <c r="B36" s="15">
        <v>0.49791666666666667</v>
      </c>
      <c r="C36" s="21" t="s">
        <v>130</v>
      </c>
      <c r="Y36" s="16" t="s">
        <v>181</v>
      </c>
      <c r="Z36" s="16" t="s">
        <v>189</v>
      </c>
      <c r="AA36" s="16" t="s">
        <v>221</v>
      </c>
      <c r="AB36" s="16" t="s">
        <v>183</v>
      </c>
      <c r="AC36" s="16" t="s">
        <v>169</v>
      </c>
      <c r="AD36" s="16" t="s">
        <v>183</v>
      </c>
      <c r="AE36" s="16" t="s">
        <v>183</v>
      </c>
      <c r="AF36" s="5" t="s">
        <v>190</v>
      </c>
      <c r="AG36" s="5" t="s">
        <v>199</v>
      </c>
      <c r="AH36" s="5" t="s">
        <v>183</v>
      </c>
      <c r="AI36" s="5" t="s">
        <v>212</v>
      </c>
      <c r="AJ36" s="5" t="s">
        <v>209</v>
      </c>
      <c r="AK36" s="7"/>
      <c r="AL36" s="7"/>
    </row>
    <row r="37" spans="1:38" x14ac:dyDescent="0.35">
      <c r="A37" s="7">
        <v>1</v>
      </c>
      <c r="B37" s="15">
        <v>0.4861111111111111</v>
      </c>
      <c r="C37" s="21" t="s">
        <v>130</v>
      </c>
      <c r="Y37" s="16" t="s">
        <v>184</v>
      </c>
      <c r="Z37" s="16" t="s">
        <v>217</v>
      </c>
      <c r="AA37" s="16" t="s">
        <v>197</v>
      </c>
      <c r="AB37" s="16" t="s">
        <v>183</v>
      </c>
      <c r="AC37" s="16" t="s">
        <v>206</v>
      </c>
      <c r="AD37" s="16" t="s">
        <v>183</v>
      </c>
      <c r="AE37" s="16" t="s">
        <v>183</v>
      </c>
      <c r="AK37" s="7"/>
      <c r="AL37" s="7"/>
    </row>
    <row r="38" spans="1:38" x14ac:dyDescent="0.35">
      <c r="A38" s="7">
        <v>1</v>
      </c>
      <c r="B38" s="15">
        <v>0.4826388888888889</v>
      </c>
      <c r="C38" s="21" t="s">
        <v>130</v>
      </c>
      <c r="D38" s="1" t="s">
        <v>142</v>
      </c>
      <c r="E38" s="1">
        <v>13</v>
      </c>
      <c r="F38" s="1" t="s">
        <v>132</v>
      </c>
      <c r="G38" s="1">
        <v>41</v>
      </c>
      <c r="J38" s="1" t="s">
        <v>151</v>
      </c>
      <c r="N38" s="1" t="s">
        <v>139</v>
      </c>
      <c r="P38" s="1" t="s">
        <v>135</v>
      </c>
      <c r="Q38" s="1" t="s">
        <v>152</v>
      </c>
      <c r="R38" s="1" t="s">
        <v>155</v>
      </c>
      <c r="U38" s="1">
        <v>0</v>
      </c>
      <c r="V38" s="1">
        <v>50</v>
      </c>
      <c r="W38" s="1">
        <v>20003</v>
      </c>
      <c r="X38" s="1">
        <v>45573</v>
      </c>
      <c r="AK38" s="7"/>
      <c r="AL38" s="7"/>
    </row>
    <row r="39" spans="1:38" x14ac:dyDescent="0.35">
      <c r="A39" s="7">
        <v>1</v>
      </c>
      <c r="B39" s="15">
        <v>0.47222222222222221</v>
      </c>
      <c r="C39" s="21" t="s">
        <v>130</v>
      </c>
      <c r="AF39" s="5" t="s">
        <v>188</v>
      </c>
      <c r="AG39" s="5" t="s">
        <v>187</v>
      </c>
      <c r="AK39" s="7"/>
      <c r="AL39" s="7"/>
    </row>
    <row r="40" spans="1:38" x14ac:dyDescent="0.35">
      <c r="A40" s="2">
        <v>1</v>
      </c>
      <c r="B40" s="15">
        <v>0.46527777777777779</v>
      </c>
      <c r="C40" s="21" t="s">
        <v>130</v>
      </c>
      <c r="Y40" s="16" t="s">
        <v>181</v>
      </c>
      <c r="Z40" s="16" t="s">
        <v>200</v>
      </c>
      <c r="AA40" s="16" t="s">
        <v>183</v>
      </c>
      <c r="AB40" s="16" t="s">
        <v>183</v>
      </c>
      <c r="AC40" s="16" t="s">
        <v>169</v>
      </c>
      <c r="AD40" s="16" t="s">
        <v>222</v>
      </c>
      <c r="AE40" s="16" t="s">
        <v>183</v>
      </c>
      <c r="AK40" s="7"/>
      <c r="AL40" s="7"/>
    </row>
    <row r="41" spans="1:38" x14ac:dyDescent="0.35">
      <c r="A41" s="2">
        <v>1</v>
      </c>
      <c r="B41" s="15">
        <v>0.46250000000000002</v>
      </c>
      <c r="C41" s="21" t="s">
        <v>130</v>
      </c>
      <c r="D41" s="1" t="s">
        <v>142</v>
      </c>
      <c r="E41" s="1">
        <v>41</v>
      </c>
      <c r="F41" s="1" t="s">
        <v>132</v>
      </c>
      <c r="G41" s="1">
        <v>37</v>
      </c>
      <c r="J41" s="1" t="s">
        <v>156</v>
      </c>
      <c r="N41" s="1" t="s">
        <v>134</v>
      </c>
      <c r="P41" s="1" t="s">
        <v>140</v>
      </c>
      <c r="Q41" s="1" t="s">
        <v>141</v>
      </c>
      <c r="U41" s="1">
        <v>0</v>
      </c>
      <c r="V41" s="1">
        <v>50</v>
      </c>
      <c r="W41" s="1">
        <v>20003</v>
      </c>
      <c r="X41" s="1">
        <v>45573</v>
      </c>
      <c r="AK41" s="7"/>
      <c r="AL41" s="7"/>
    </row>
    <row r="42" spans="1:38" x14ac:dyDescent="0.35">
      <c r="A42" s="7">
        <v>1</v>
      </c>
      <c r="B42" s="14">
        <v>0.4548611111111111</v>
      </c>
      <c r="C42" s="21" t="s">
        <v>130</v>
      </c>
      <c r="AF42" s="5" t="s">
        <v>215</v>
      </c>
      <c r="AG42" s="5" t="s">
        <v>192</v>
      </c>
      <c r="AK42" s="7"/>
      <c r="AL42" s="7"/>
    </row>
    <row r="43" spans="1:38" x14ac:dyDescent="0.35">
      <c r="A43" s="2">
        <v>1</v>
      </c>
      <c r="B43" s="15">
        <v>0.4513888888888889</v>
      </c>
      <c r="C43" s="21" t="s">
        <v>130</v>
      </c>
      <c r="Y43" s="16" t="s">
        <v>184</v>
      </c>
      <c r="Z43" s="16" t="s">
        <v>197</v>
      </c>
      <c r="AA43" s="16" t="s">
        <v>204</v>
      </c>
      <c r="AB43" s="16" t="s">
        <v>183</v>
      </c>
      <c r="AC43" s="16" t="s">
        <v>206</v>
      </c>
      <c r="AD43" s="16" t="s">
        <v>183</v>
      </c>
      <c r="AE43" s="16" t="s">
        <v>183</v>
      </c>
      <c r="AK43" s="7"/>
      <c r="AL43" s="7"/>
    </row>
    <row r="44" spans="1:38" x14ac:dyDescent="0.35">
      <c r="A44" s="2">
        <v>1</v>
      </c>
      <c r="B44" s="15">
        <v>0.44861111111111113</v>
      </c>
      <c r="C44" s="21" t="s">
        <v>130</v>
      </c>
      <c r="D44" s="1" t="s">
        <v>131</v>
      </c>
      <c r="E44" s="1">
        <v>42</v>
      </c>
      <c r="F44" s="1" t="s">
        <v>147</v>
      </c>
      <c r="N44" s="1" t="s">
        <v>139</v>
      </c>
      <c r="P44" s="1" t="s">
        <v>135</v>
      </c>
      <c r="Q44" s="1" t="s">
        <v>136</v>
      </c>
      <c r="R44" s="1" t="s">
        <v>137</v>
      </c>
      <c r="U44" s="1">
        <v>0</v>
      </c>
      <c r="V44" s="1">
        <v>31</v>
      </c>
      <c r="W44" s="1">
        <v>20003</v>
      </c>
      <c r="X44" s="1">
        <v>45573</v>
      </c>
      <c r="AK44" s="7"/>
      <c r="AL44" s="7"/>
    </row>
    <row r="45" spans="1:38" x14ac:dyDescent="0.35">
      <c r="A45" s="7">
        <v>1</v>
      </c>
      <c r="B45" s="15">
        <v>0.43263888888888891</v>
      </c>
      <c r="C45" s="21" t="s">
        <v>130</v>
      </c>
      <c r="AF45" s="5" t="s">
        <v>207</v>
      </c>
      <c r="AG45" s="5" t="s">
        <v>199</v>
      </c>
      <c r="AH45" s="5" t="s">
        <v>183</v>
      </c>
      <c r="AI45" s="5" t="s">
        <v>223</v>
      </c>
      <c r="AJ45" s="5" t="s">
        <v>192</v>
      </c>
      <c r="AK45" s="7"/>
      <c r="AL45" s="7"/>
    </row>
    <row r="46" spans="1:38" x14ac:dyDescent="0.35">
      <c r="A46" s="7">
        <v>1</v>
      </c>
      <c r="B46" s="15">
        <v>0.42638888888888887</v>
      </c>
      <c r="C46" s="21" t="s">
        <v>130</v>
      </c>
      <c r="Y46" s="16" t="s">
        <v>181</v>
      </c>
      <c r="Z46" s="16" t="s">
        <v>208</v>
      </c>
      <c r="AA46" s="16" t="s">
        <v>183</v>
      </c>
      <c r="AB46" s="16" t="s">
        <v>183</v>
      </c>
      <c r="AC46" s="16" t="s">
        <v>169</v>
      </c>
      <c r="AD46" s="16" t="s">
        <v>183</v>
      </c>
      <c r="AE46" s="16" t="s">
        <v>183</v>
      </c>
      <c r="AF46" s="5" t="s">
        <v>211</v>
      </c>
      <c r="AG46" s="5" t="s">
        <v>196</v>
      </c>
      <c r="AH46" s="5" t="s">
        <v>223</v>
      </c>
      <c r="AK46" s="7"/>
      <c r="AL46" s="7"/>
    </row>
    <row r="47" spans="1:38" x14ac:dyDescent="0.35">
      <c r="A47" s="7">
        <v>1</v>
      </c>
      <c r="B47" s="15">
        <v>0.42083333333333334</v>
      </c>
      <c r="C47" s="21" t="s">
        <v>130</v>
      </c>
      <c r="AF47" s="5" t="s">
        <v>214</v>
      </c>
      <c r="AG47" s="5" t="s">
        <v>199</v>
      </c>
      <c r="AH47" s="5" t="s">
        <v>201</v>
      </c>
      <c r="AI47" s="5" t="s">
        <v>205</v>
      </c>
      <c r="AJ47" s="5" t="s">
        <v>209</v>
      </c>
      <c r="AK47" s="7"/>
      <c r="AL47" s="7"/>
    </row>
    <row r="48" spans="1:38" x14ac:dyDescent="0.35">
      <c r="A48" s="2">
        <v>1</v>
      </c>
      <c r="B48" s="15">
        <v>0.40277777777777779</v>
      </c>
      <c r="C48" s="21" t="s">
        <v>130</v>
      </c>
      <c r="Y48" s="16" t="s">
        <v>181</v>
      </c>
      <c r="Z48" s="16" t="s">
        <v>182</v>
      </c>
      <c r="AA48" s="16" t="s">
        <v>183</v>
      </c>
      <c r="AB48" s="16" t="s">
        <v>183</v>
      </c>
      <c r="AC48" s="16" t="s">
        <v>184</v>
      </c>
      <c r="AD48" s="16" t="s">
        <v>183</v>
      </c>
      <c r="AE48" s="16" t="s">
        <v>183</v>
      </c>
      <c r="AF48" s="5" t="s">
        <v>224</v>
      </c>
      <c r="AG48" s="5" t="s">
        <v>198</v>
      </c>
      <c r="AK48" s="7"/>
      <c r="AL48" s="7"/>
    </row>
    <row r="49" spans="1:38" x14ac:dyDescent="0.35">
      <c r="A49" s="7">
        <v>1</v>
      </c>
      <c r="B49" s="15">
        <v>0.39374999999999999</v>
      </c>
      <c r="C49" s="21" t="s">
        <v>130</v>
      </c>
      <c r="AF49" s="5" t="s">
        <v>225</v>
      </c>
      <c r="AG49" s="5" t="s">
        <v>199</v>
      </c>
      <c r="AH49" s="5" t="s">
        <v>182</v>
      </c>
      <c r="AI49" s="5" t="s">
        <v>186</v>
      </c>
      <c r="AJ49" s="5" t="s">
        <v>209</v>
      </c>
      <c r="AK49" s="7"/>
      <c r="AL49" s="7"/>
    </row>
    <row r="50" spans="1:38" x14ac:dyDescent="0.35">
      <c r="A50" s="7">
        <v>1</v>
      </c>
      <c r="B50" s="14">
        <v>0.3840277777777778</v>
      </c>
      <c r="C50" s="21" t="s">
        <v>130</v>
      </c>
      <c r="Y50" s="16" t="s">
        <v>181</v>
      </c>
      <c r="Z50" s="16" t="s">
        <v>186</v>
      </c>
      <c r="AA50" s="16" t="s">
        <v>216</v>
      </c>
      <c r="AB50" s="16" t="s">
        <v>183</v>
      </c>
      <c r="AC50" s="16" t="s">
        <v>206</v>
      </c>
      <c r="AD50" s="16" t="s">
        <v>183</v>
      </c>
      <c r="AE50" s="16" t="s">
        <v>183</v>
      </c>
      <c r="AF50" s="5" t="s">
        <v>216</v>
      </c>
      <c r="AG50" s="5" t="s">
        <v>199</v>
      </c>
      <c r="AH50" s="5" t="s">
        <v>183</v>
      </c>
      <c r="AI50" s="5" t="s">
        <v>226</v>
      </c>
      <c r="AJ50" s="5" t="s">
        <v>203</v>
      </c>
      <c r="AK50" s="7"/>
      <c r="AL50" s="7"/>
    </row>
    <row r="51" spans="1:38" x14ac:dyDescent="0.35">
      <c r="A51" s="2">
        <v>1</v>
      </c>
      <c r="B51" s="15">
        <v>0.37777777777777777</v>
      </c>
      <c r="C51" s="21" t="s">
        <v>130</v>
      </c>
      <c r="Y51" s="16" t="s">
        <v>181</v>
      </c>
      <c r="Z51" s="16" t="s">
        <v>220</v>
      </c>
      <c r="AA51" s="16" t="s">
        <v>188</v>
      </c>
      <c r="AB51" s="16" t="s">
        <v>183</v>
      </c>
      <c r="AC51" s="16" t="s">
        <v>169</v>
      </c>
      <c r="AD51" s="16" t="s">
        <v>183</v>
      </c>
      <c r="AE51" s="16" t="s">
        <v>183</v>
      </c>
      <c r="AF51" s="5" t="s">
        <v>190</v>
      </c>
      <c r="AG51" s="5" t="s">
        <v>209</v>
      </c>
      <c r="AH51" s="5" t="s">
        <v>189</v>
      </c>
      <c r="AK51" s="7"/>
      <c r="AL51" s="7"/>
    </row>
    <row r="52" spans="1:38" x14ac:dyDescent="0.35">
      <c r="A52" s="2">
        <v>1</v>
      </c>
      <c r="B52" s="15">
        <v>0.3611111111111111</v>
      </c>
      <c r="C52" s="21" t="s">
        <v>130</v>
      </c>
      <c r="D52" s="1" t="s">
        <v>142</v>
      </c>
      <c r="E52" s="1">
        <v>9</v>
      </c>
      <c r="F52" s="1" t="s">
        <v>132</v>
      </c>
      <c r="G52" s="1">
        <v>95</v>
      </c>
      <c r="H52" s="1">
        <v>3</v>
      </c>
      <c r="J52" s="1" t="s">
        <v>157</v>
      </c>
      <c r="K52" s="1" t="s">
        <v>158</v>
      </c>
      <c r="M52" s="1" t="s">
        <v>134</v>
      </c>
      <c r="N52" s="1" t="s">
        <v>134</v>
      </c>
      <c r="P52" s="1" t="s">
        <v>135</v>
      </c>
      <c r="Q52" s="1" t="s">
        <v>152</v>
      </c>
      <c r="R52" s="1" t="s">
        <v>155</v>
      </c>
      <c r="U52" s="1">
        <v>0</v>
      </c>
      <c r="V52" s="1">
        <v>50</v>
      </c>
      <c r="W52" s="1">
        <v>20003</v>
      </c>
      <c r="X52" s="1">
        <v>45573</v>
      </c>
      <c r="AK52" s="7"/>
      <c r="AL52" s="7"/>
    </row>
    <row r="53" spans="1:38" x14ac:dyDescent="0.35">
      <c r="A53" s="7">
        <v>1</v>
      </c>
      <c r="B53" s="14">
        <v>0.3611111111111111</v>
      </c>
      <c r="C53" s="21" t="s">
        <v>130</v>
      </c>
      <c r="Y53" s="16" t="s">
        <v>184</v>
      </c>
      <c r="Z53" s="16" t="s">
        <v>189</v>
      </c>
      <c r="AA53" s="16" t="s">
        <v>197</v>
      </c>
      <c r="AB53" s="16" t="s">
        <v>134</v>
      </c>
      <c r="AC53" s="16" t="s">
        <v>184</v>
      </c>
      <c r="AD53" s="16" t="s">
        <v>183</v>
      </c>
      <c r="AE53" s="16" t="s">
        <v>134</v>
      </c>
      <c r="AK53" s="7"/>
      <c r="AL53" s="7"/>
    </row>
    <row r="54" spans="1:38" x14ac:dyDescent="0.35">
      <c r="A54" s="2">
        <v>1</v>
      </c>
      <c r="B54" s="15">
        <v>0.3576388888888889</v>
      </c>
      <c r="C54" s="21" t="s">
        <v>130</v>
      </c>
      <c r="AF54" s="5" t="s">
        <v>190</v>
      </c>
      <c r="AG54" s="5" t="s">
        <v>196</v>
      </c>
      <c r="AH54" s="5" t="s">
        <v>193</v>
      </c>
      <c r="AK54" s="7"/>
      <c r="AL54" s="7"/>
    </row>
    <row r="55" spans="1:38" x14ac:dyDescent="0.35">
      <c r="A55" s="2">
        <v>1</v>
      </c>
      <c r="B55" s="15">
        <v>0.35555555555555557</v>
      </c>
      <c r="C55" s="21" t="s">
        <v>130</v>
      </c>
      <c r="D55" s="1" t="s">
        <v>142</v>
      </c>
      <c r="E55" s="1">
        <v>17</v>
      </c>
      <c r="F55" s="1" t="s">
        <v>132</v>
      </c>
      <c r="G55" s="1">
        <v>9</v>
      </c>
      <c r="J55" s="1" t="s">
        <v>159</v>
      </c>
      <c r="M55" s="1" t="s">
        <v>134</v>
      </c>
      <c r="N55" s="1" t="s">
        <v>134</v>
      </c>
      <c r="P55" s="1" t="s">
        <v>140</v>
      </c>
      <c r="Q55" s="1" t="s">
        <v>141</v>
      </c>
      <c r="U55" s="1">
        <v>0</v>
      </c>
      <c r="V55" s="1">
        <v>50</v>
      </c>
      <c r="W55" s="1">
        <v>20003</v>
      </c>
      <c r="X55" s="1">
        <v>45573</v>
      </c>
      <c r="AK55" s="7"/>
      <c r="AL55" s="7"/>
    </row>
    <row r="56" spans="1:38" x14ac:dyDescent="0.35">
      <c r="A56" s="2">
        <v>1</v>
      </c>
      <c r="B56" s="15">
        <v>0.35</v>
      </c>
      <c r="C56" s="21" t="s">
        <v>130</v>
      </c>
      <c r="D56" s="1" t="s">
        <v>142</v>
      </c>
      <c r="E56" s="1">
        <v>3</v>
      </c>
      <c r="F56" s="1" t="s">
        <v>138</v>
      </c>
      <c r="G56" s="1">
        <v>9</v>
      </c>
      <c r="J56" s="1" t="s">
        <v>160</v>
      </c>
      <c r="Q56" s="1" t="s">
        <v>141</v>
      </c>
      <c r="R56" s="1" t="s">
        <v>148</v>
      </c>
      <c r="U56" s="1">
        <v>0</v>
      </c>
      <c r="V56" s="1">
        <v>50</v>
      </c>
      <c r="W56" s="1">
        <v>20003</v>
      </c>
      <c r="X56" s="1">
        <v>45573</v>
      </c>
      <c r="AK56" s="7"/>
      <c r="AL56" s="7"/>
    </row>
    <row r="57" spans="1:38" x14ac:dyDescent="0.35">
      <c r="A57" s="7">
        <v>1</v>
      </c>
      <c r="B57" s="14">
        <v>0.34583333333333333</v>
      </c>
      <c r="C57" s="21" t="s">
        <v>130</v>
      </c>
      <c r="AF57" s="5" t="s">
        <v>202</v>
      </c>
      <c r="AG57" s="5" t="s">
        <v>187</v>
      </c>
      <c r="AK57" s="7"/>
      <c r="AL57" s="7"/>
    </row>
    <row r="58" spans="1:38" x14ac:dyDescent="0.35">
      <c r="A58" s="7">
        <v>1</v>
      </c>
      <c r="B58" s="14">
        <v>0.34305555555555556</v>
      </c>
      <c r="C58" s="21" t="s">
        <v>130</v>
      </c>
      <c r="Y58" s="16" t="s">
        <v>181</v>
      </c>
      <c r="Z58" s="16" t="s">
        <v>227</v>
      </c>
      <c r="AA58" s="16" t="s">
        <v>228</v>
      </c>
      <c r="AB58" s="16" t="s">
        <v>183</v>
      </c>
      <c r="AC58" s="16" t="s">
        <v>206</v>
      </c>
      <c r="AD58" s="16" t="s">
        <v>183</v>
      </c>
      <c r="AE58" s="16" t="s">
        <v>183</v>
      </c>
      <c r="AF58" s="5" t="s">
        <v>228</v>
      </c>
      <c r="AG58" s="5" t="s">
        <v>199</v>
      </c>
      <c r="AH58" s="5" t="s">
        <v>183</v>
      </c>
      <c r="AI58" s="5" t="s">
        <v>228</v>
      </c>
      <c r="AJ58" s="5" t="s">
        <v>192</v>
      </c>
      <c r="AK58" s="7"/>
      <c r="AL58" s="7"/>
    </row>
    <row r="59" spans="1:38" x14ac:dyDescent="0.35">
      <c r="A59" s="2">
        <v>1</v>
      </c>
      <c r="B59" s="15">
        <v>0.32430555555555557</v>
      </c>
      <c r="C59" s="21" t="s">
        <v>130</v>
      </c>
      <c r="Y59" s="16" t="s">
        <v>181</v>
      </c>
      <c r="Z59" s="16" t="s">
        <v>200</v>
      </c>
      <c r="AA59" s="16" t="s">
        <v>183</v>
      </c>
      <c r="AB59" s="16" t="s">
        <v>183</v>
      </c>
      <c r="AC59" s="16" t="s">
        <v>206</v>
      </c>
      <c r="AD59" s="16" t="s">
        <v>183</v>
      </c>
      <c r="AE59" s="16" t="s">
        <v>183</v>
      </c>
      <c r="AF59" s="5" t="s">
        <v>208</v>
      </c>
      <c r="AG59" s="5" t="s">
        <v>203</v>
      </c>
      <c r="AK59" s="7"/>
      <c r="AL59" s="7"/>
    </row>
    <row r="60" spans="1:38" x14ac:dyDescent="0.35">
      <c r="A60" s="7">
        <v>1</v>
      </c>
      <c r="B60" s="15">
        <v>0.30694444444444446</v>
      </c>
      <c r="C60" s="21" t="s">
        <v>130</v>
      </c>
      <c r="AF60" s="5" t="s">
        <v>222</v>
      </c>
      <c r="AG60" s="5" t="s">
        <v>209</v>
      </c>
      <c r="AK60" s="7"/>
      <c r="AL60" s="7"/>
    </row>
    <row r="61" spans="1:38" x14ac:dyDescent="0.35">
      <c r="A61" s="7">
        <v>1</v>
      </c>
      <c r="B61" s="15">
        <v>0.30486111111111114</v>
      </c>
      <c r="C61" s="21" t="s">
        <v>130</v>
      </c>
      <c r="AF61" s="5" t="s">
        <v>224</v>
      </c>
      <c r="AG61" s="5" t="s">
        <v>199</v>
      </c>
      <c r="AH61" s="5" t="s">
        <v>183</v>
      </c>
      <c r="AI61" s="5" t="s">
        <v>186</v>
      </c>
      <c r="AJ61" s="5" t="s">
        <v>192</v>
      </c>
      <c r="AK61" s="7"/>
      <c r="AL61" s="7"/>
    </row>
    <row r="62" spans="1:38" x14ac:dyDescent="0.35">
      <c r="A62" s="2">
        <v>1</v>
      </c>
      <c r="B62" s="15">
        <v>0.30069444444444443</v>
      </c>
      <c r="C62" s="21" t="s">
        <v>130</v>
      </c>
      <c r="Y62" s="16" t="s">
        <v>184</v>
      </c>
      <c r="Z62" s="16" t="s">
        <v>229</v>
      </c>
      <c r="AA62" s="16" t="s">
        <v>205</v>
      </c>
      <c r="AB62" s="16" t="s">
        <v>183</v>
      </c>
      <c r="AC62" s="16" t="s">
        <v>206</v>
      </c>
      <c r="AD62" s="16" t="s">
        <v>183</v>
      </c>
      <c r="AE62" s="16" t="s">
        <v>183</v>
      </c>
      <c r="AK62" s="7"/>
      <c r="AL62" s="7"/>
    </row>
    <row r="63" spans="1:38" x14ac:dyDescent="0.35">
      <c r="A63" s="7">
        <v>1</v>
      </c>
      <c r="B63" s="15">
        <v>0.28958333333333336</v>
      </c>
      <c r="C63" s="21" t="s">
        <v>130</v>
      </c>
      <c r="AF63" s="5" t="s">
        <v>218</v>
      </c>
      <c r="AG63" s="5" t="s">
        <v>209</v>
      </c>
      <c r="AK63" s="7"/>
      <c r="AL63" s="7"/>
    </row>
    <row r="64" spans="1:38" x14ac:dyDescent="0.35">
      <c r="A64" s="7">
        <v>1</v>
      </c>
      <c r="B64" s="15">
        <v>0.28333333333333333</v>
      </c>
      <c r="C64" s="21" t="s">
        <v>130</v>
      </c>
      <c r="Y64" s="16" t="s">
        <v>181</v>
      </c>
      <c r="Z64" s="16" t="s">
        <v>213</v>
      </c>
      <c r="AA64" s="16" t="s">
        <v>183</v>
      </c>
      <c r="AB64" s="16" t="s">
        <v>183</v>
      </c>
      <c r="AC64" s="16" t="s">
        <v>169</v>
      </c>
      <c r="AD64" s="16" t="s">
        <v>183</v>
      </c>
      <c r="AE64" s="16" t="s">
        <v>183</v>
      </c>
      <c r="AF64" s="5" t="s">
        <v>207</v>
      </c>
      <c r="AG64" s="5" t="s">
        <v>199</v>
      </c>
      <c r="AH64" s="5" t="s">
        <v>183</v>
      </c>
      <c r="AI64" s="5" t="s">
        <v>208</v>
      </c>
      <c r="AJ64" s="5" t="s">
        <v>192</v>
      </c>
      <c r="AK64" s="7"/>
      <c r="AL64" s="7"/>
    </row>
    <row r="65" spans="1:38" x14ac:dyDescent="0.35">
      <c r="A65" s="2">
        <v>1</v>
      </c>
      <c r="B65" s="15">
        <v>0.27777777777777779</v>
      </c>
      <c r="C65" s="21" t="s">
        <v>130</v>
      </c>
      <c r="Y65" s="16" t="s">
        <v>184</v>
      </c>
      <c r="Z65" s="16" t="s">
        <v>190</v>
      </c>
      <c r="AA65" s="16" t="s">
        <v>218</v>
      </c>
      <c r="AB65" s="16" t="s">
        <v>183</v>
      </c>
      <c r="AC65" s="16" t="s">
        <v>169</v>
      </c>
      <c r="AD65" s="16" t="s">
        <v>183</v>
      </c>
      <c r="AE65" s="16" t="s">
        <v>183</v>
      </c>
      <c r="AK65" s="7"/>
      <c r="AL65" s="7"/>
    </row>
    <row r="66" spans="1:38" x14ac:dyDescent="0.35">
      <c r="A66" s="7">
        <v>1</v>
      </c>
      <c r="B66" s="15">
        <v>0.27291666666666664</v>
      </c>
      <c r="C66" s="21" t="s">
        <v>130</v>
      </c>
      <c r="Y66" s="16" t="s">
        <v>181</v>
      </c>
      <c r="Z66" s="16" t="s">
        <v>213</v>
      </c>
      <c r="AA66" s="16" t="s">
        <v>201</v>
      </c>
      <c r="AB66" s="16" t="s">
        <v>183</v>
      </c>
      <c r="AC66" s="16" t="s">
        <v>184</v>
      </c>
      <c r="AD66" s="16" t="s">
        <v>205</v>
      </c>
      <c r="AE66" s="16" t="s">
        <v>134</v>
      </c>
      <c r="AK66" s="7"/>
      <c r="AL66" s="7"/>
    </row>
    <row r="67" spans="1:38" x14ac:dyDescent="0.35">
      <c r="A67" s="7">
        <v>1</v>
      </c>
      <c r="B67" s="14">
        <v>0.26874999999999999</v>
      </c>
      <c r="C67" s="21" t="s">
        <v>130</v>
      </c>
      <c r="AF67" s="5" t="s">
        <v>208</v>
      </c>
      <c r="AG67" s="5" t="s">
        <v>199</v>
      </c>
      <c r="AH67" s="5" t="s">
        <v>216</v>
      </c>
      <c r="AI67" s="5" t="s">
        <v>195</v>
      </c>
      <c r="AJ67" s="5" t="s">
        <v>198</v>
      </c>
      <c r="AK67" s="7"/>
      <c r="AL67" s="7"/>
    </row>
    <row r="68" spans="1:38" x14ac:dyDescent="0.35">
      <c r="A68" s="7">
        <v>1</v>
      </c>
      <c r="B68" s="15">
        <v>0.26805555555555555</v>
      </c>
      <c r="C68" s="21" t="s">
        <v>130</v>
      </c>
      <c r="D68" s="1" t="s">
        <v>142</v>
      </c>
      <c r="E68" s="1">
        <v>7</v>
      </c>
      <c r="F68" s="1" t="s">
        <v>132</v>
      </c>
      <c r="G68" s="1">
        <v>51</v>
      </c>
      <c r="J68" s="1" t="s">
        <v>144</v>
      </c>
      <c r="M68" s="1" t="s">
        <v>134</v>
      </c>
      <c r="P68" s="1" t="s">
        <v>140</v>
      </c>
      <c r="Q68" s="1" t="s">
        <v>141</v>
      </c>
      <c r="U68" s="1">
        <v>0</v>
      </c>
      <c r="V68" s="1">
        <v>50</v>
      </c>
      <c r="W68" s="1">
        <v>20003</v>
      </c>
      <c r="X68" s="1">
        <v>45573</v>
      </c>
      <c r="AK68" s="7"/>
      <c r="AL68" s="7"/>
    </row>
    <row r="69" spans="1:38" x14ac:dyDescent="0.35">
      <c r="A69" s="2">
        <v>1</v>
      </c>
      <c r="B69" s="15">
        <v>0.2590277777777778</v>
      </c>
      <c r="C69" s="21" t="s">
        <v>130</v>
      </c>
      <c r="AF69" s="5" t="s">
        <v>201</v>
      </c>
      <c r="AG69" s="5" t="s">
        <v>209</v>
      </c>
      <c r="AK69" s="7"/>
      <c r="AL69" s="7"/>
    </row>
    <row r="70" spans="1:38" x14ac:dyDescent="0.35">
      <c r="A70" s="7">
        <v>1</v>
      </c>
      <c r="B70" s="14">
        <v>0.25277777777777777</v>
      </c>
      <c r="C70" s="21" t="s">
        <v>130</v>
      </c>
      <c r="Y70" s="16" t="s">
        <v>184</v>
      </c>
      <c r="Z70" s="16" t="s">
        <v>220</v>
      </c>
      <c r="AA70" s="16" t="s">
        <v>208</v>
      </c>
      <c r="AB70" s="16" t="s">
        <v>183</v>
      </c>
      <c r="AC70" s="16" t="s">
        <v>206</v>
      </c>
      <c r="AD70" s="16" t="s">
        <v>183</v>
      </c>
      <c r="AE70" s="16" t="s">
        <v>134</v>
      </c>
      <c r="AK70" s="7"/>
      <c r="AL70" s="7"/>
    </row>
    <row r="71" spans="1:38" x14ac:dyDescent="0.35">
      <c r="A71" s="2">
        <v>1</v>
      </c>
      <c r="B71" s="15">
        <v>0.24861111111111112</v>
      </c>
      <c r="C71" s="21" t="s">
        <v>130</v>
      </c>
      <c r="AF71" s="5" t="s">
        <v>207</v>
      </c>
      <c r="AG71" s="5" t="s">
        <v>196</v>
      </c>
      <c r="AK71" s="7"/>
      <c r="AL71" s="7"/>
    </row>
    <row r="72" spans="1:38" x14ac:dyDescent="0.35">
      <c r="A72" s="2">
        <v>1</v>
      </c>
      <c r="B72" s="15">
        <v>0.23402777777777778</v>
      </c>
      <c r="C72" s="21" t="s">
        <v>130</v>
      </c>
      <c r="D72" s="1" t="s">
        <v>142</v>
      </c>
      <c r="E72" s="1">
        <v>19</v>
      </c>
      <c r="F72" s="1" t="s">
        <v>138</v>
      </c>
      <c r="G72" s="1">
        <v>41</v>
      </c>
      <c r="H72" s="1">
        <v>7</v>
      </c>
      <c r="J72" s="1" t="s">
        <v>147</v>
      </c>
      <c r="K72" s="1" t="s">
        <v>160</v>
      </c>
      <c r="M72" s="1" t="s">
        <v>139</v>
      </c>
      <c r="N72" s="1" t="s">
        <v>139</v>
      </c>
      <c r="P72" s="1" t="s">
        <v>161</v>
      </c>
      <c r="Q72" s="1" t="s">
        <v>141</v>
      </c>
      <c r="U72" s="1">
        <v>0</v>
      </c>
      <c r="V72" s="1">
        <v>50</v>
      </c>
      <c r="W72" s="1">
        <v>20003</v>
      </c>
      <c r="X72" s="1">
        <v>45573</v>
      </c>
      <c r="AK72" s="7"/>
      <c r="AL72" s="7"/>
    </row>
    <row r="73" spans="1:38" x14ac:dyDescent="0.35">
      <c r="A73" s="7">
        <v>1</v>
      </c>
      <c r="B73" s="15">
        <v>0.22222222222222221</v>
      </c>
      <c r="C73" s="21" t="s">
        <v>130</v>
      </c>
      <c r="AF73" s="5" t="s">
        <v>208</v>
      </c>
      <c r="AG73" s="5" t="s">
        <v>209</v>
      </c>
      <c r="AK73" s="7"/>
      <c r="AL73" s="7"/>
    </row>
    <row r="74" spans="1:38" x14ac:dyDescent="0.35">
      <c r="A74" s="7">
        <v>1</v>
      </c>
      <c r="B74" s="14">
        <v>0.21180555555555555</v>
      </c>
      <c r="C74" s="21" t="s">
        <v>130</v>
      </c>
      <c r="AF74" s="5" t="s">
        <v>207</v>
      </c>
      <c r="AG74" s="5" t="s">
        <v>199</v>
      </c>
      <c r="AH74" s="5" t="s">
        <v>183</v>
      </c>
      <c r="AI74" s="5" t="s">
        <v>201</v>
      </c>
      <c r="AJ74" s="5" t="s">
        <v>209</v>
      </c>
      <c r="AK74" s="7"/>
      <c r="AL74" s="7"/>
    </row>
    <row r="75" spans="1:38" x14ac:dyDescent="0.35">
      <c r="A75" s="2">
        <v>1</v>
      </c>
      <c r="B75" s="15">
        <v>0.20208333333333334</v>
      </c>
      <c r="C75" s="21" t="s">
        <v>130</v>
      </c>
      <c r="Y75" s="16" t="s">
        <v>181</v>
      </c>
      <c r="Z75" s="16" t="s">
        <v>189</v>
      </c>
      <c r="AA75" s="16" t="s">
        <v>188</v>
      </c>
      <c r="AB75" s="16" t="s">
        <v>183</v>
      </c>
      <c r="AC75" s="16" t="s">
        <v>169</v>
      </c>
      <c r="AD75" s="16" t="s">
        <v>183</v>
      </c>
      <c r="AE75" s="16" t="s">
        <v>183</v>
      </c>
      <c r="AK75" s="7"/>
      <c r="AL75" s="7"/>
    </row>
    <row r="76" spans="1:38" x14ac:dyDescent="0.35">
      <c r="A76" s="7">
        <v>1</v>
      </c>
      <c r="B76" s="15">
        <v>0.20208333333333334</v>
      </c>
      <c r="C76" s="21" t="s">
        <v>130</v>
      </c>
      <c r="AF76" s="5" t="s">
        <v>197</v>
      </c>
      <c r="AG76" s="5" t="s">
        <v>199</v>
      </c>
      <c r="AH76" s="5" t="s">
        <v>193</v>
      </c>
      <c r="AI76" s="5" t="s">
        <v>227</v>
      </c>
      <c r="AJ76" s="5" t="s">
        <v>209</v>
      </c>
      <c r="AK76" s="7"/>
      <c r="AL76" s="7"/>
    </row>
    <row r="77" spans="1:38" x14ac:dyDescent="0.35">
      <c r="A77" s="2">
        <v>1</v>
      </c>
      <c r="B77" s="15">
        <v>0.19444444444444445</v>
      </c>
      <c r="C77" s="21" t="s">
        <v>130</v>
      </c>
      <c r="Y77" s="16" t="s">
        <v>184</v>
      </c>
      <c r="Z77" s="16" t="s">
        <v>189</v>
      </c>
      <c r="AA77" s="16" t="s">
        <v>188</v>
      </c>
      <c r="AB77" s="16" t="s">
        <v>183</v>
      </c>
      <c r="AC77" s="16" t="s">
        <v>169</v>
      </c>
      <c r="AD77" s="16" t="s">
        <v>183</v>
      </c>
      <c r="AE77" s="16" t="s">
        <v>183</v>
      </c>
      <c r="AK77" s="7"/>
      <c r="AL77" s="7"/>
    </row>
    <row r="78" spans="1:38" x14ac:dyDescent="0.35">
      <c r="A78" s="7">
        <v>1</v>
      </c>
      <c r="B78" s="15">
        <v>0.19236111111111112</v>
      </c>
      <c r="C78" s="21" t="s">
        <v>130</v>
      </c>
      <c r="D78" s="1" t="s">
        <v>142</v>
      </c>
      <c r="E78" s="1">
        <v>6</v>
      </c>
      <c r="F78" s="1" t="s">
        <v>162</v>
      </c>
      <c r="G78" s="1">
        <v>9</v>
      </c>
      <c r="H78" s="1">
        <v>95</v>
      </c>
      <c r="J78" s="1" t="s">
        <v>163</v>
      </c>
      <c r="K78" s="1" t="s">
        <v>144</v>
      </c>
      <c r="P78" s="1" t="s">
        <v>161</v>
      </c>
      <c r="Q78" s="1" t="s">
        <v>152</v>
      </c>
      <c r="R78" s="1" t="s">
        <v>164</v>
      </c>
      <c r="U78" s="1">
        <v>0</v>
      </c>
      <c r="V78" s="1">
        <v>50</v>
      </c>
      <c r="W78" s="1">
        <v>20003</v>
      </c>
      <c r="X78" s="1">
        <v>45573</v>
      </c>
      <c r="AK78" s="7"/>
      <c r="AL78" s="7"/>
    </row>
    <row r="79" spans="1:38" x14ac:dyDescent="0.35">
      <c r="A79" s="7">
        <v>1</v>
      </c>
      <c r="B79" s="15">
        <v>0.18819444444444444</v>
      </c>
      <c r="C79" s="21" t="s">
        <v>130</v>
      </c>
      <c r="AF79" s="5" t="s">
        <v>227</v>
      </c>
      <c r="AG79" s="5" t="s">
        <v>199</v>
      </c>
      <c r="AH79" s="5" t="s">
        <v>189</v>
      </c>
      <c r="AI79" s="5" t="s">
        <v>202</v>
      </c>
      <c r="AJ79" s="5" t="s">
        <v>187</v>
      </c>
      <c r="AK79" s="7"/>
      <c r="AL79" s="7"/>
    </row>
    <row r="80" spans="1:38" x14ac:dyDescent="0.35">
      <c r="A80" s="7">
        <v>1</v>
      </c>
      <c r="B80" s="14">
        <v>0.18333333333333332</v>
      </c>
      <c r="C80" s="21" t="s">
        <v>130</v>
      </c>
      <c r="Y80" s="16" t="s">
        <v>181</v>
      </c>
      <c r="Z80" s="16" t="s">
        <v>227</v>
      </c>
      <c r="AA80" s="16" t="s">
        <v>211</v>
      </c>
      <c r="AB80" s="16" t="s">
        <v>183</v>
      </c>
      <c r="AC80" s="16" t="s">
        <v>206</v>
      </c>
      <c r="AD80" s="16" t="s">
        <v>183</v>
      </c>
      <c r="AE80" s="16" t="s">
        <v>183</v>
      </c>
      <c r="AF80" s="5" t="s">
        <v>210</v>
      </c>
      <c r="AG80" s="5" t="s">
        <v>199</v>
      </c>
      <c r="AH80" s="5" t="s">
        <v>183</v>
      </c>
      <c r="AI80" s="5" t="s">
        <v>211</v>
      </c>
      <c r="AJ80" s="5" t="s">
        <v>209</v>
      </c>
      <c r="AK80" s="7"/>
      <c r="AL80" s="7"/>
    </row>
    <row r="81" spans="1:38" x14ac:dyDescent="0.35">
      <c r="A81" s="2">
        <v>1</v>
      </c>
      <c r="B81" s="15">
        <v>0.17569444444444443</v>
      </c>
      <c r="C81" s="21" t="s">
        <v>130</v>
      </c>
      <c r="Y81" s="16" t="s">
        <v>181</v>
      </c>
      <c r="Z81" s="16" t="s">
        <v>225</v>
      </c>
      <c r="AA81" s="16" t="s">
        <v>211</v>
      </c>
      <c r="AB81" s="16" t="s">
        <v>183</v>
      </c>
      <c r="AC81" s="16" t="s">
        <v>206</v>
      </c>
      <c r="AD81" s="16" t="s">
        <v>183</v>
      </c>
      <c r="AE81" s="16" t="s">
        <v>183</v>
      </c>
      <c r="AF81" s="5" t="s">
        <v>210</v>
      </c>
      <c r="AG81" s="5" t="s">
        <v>199</v>
      </c>
      <c r="AH81" s="5" t="s">
        <v>183</v>
      </c>
      <c r="AI81" s="5" t="s">
        <v>222</v>
      </c>
      <c r="AJ81" s="5" t="s">
        <v>187</v>
      </c>
      <c r="AK81" s="7"/>
      <c r="AL81" s="7"/>
    </row>
    <row r="82" spans="1:38" x14ac:dyDescent="0.35">
      <c r="A82" s="7">
        <v>1</v>
      </c>
      <c r="B82" s="15">
        <v>0.16527777777777777</v>
      </c>
      <c r="C82" s="21" t="s">
        <v>130</v>
      </c>
      <c r="Y82" s="16" t="s">
        <v>181</v>
      </c>
      <c r="Z82" s="16" t="s">
        <v>221</v>
      </c>
      <c r="AA82" s="16" t="s">
        <v>183</v>
      </c>
      <c r="AB82" s="16" t="s">
        <v>183</v>
      </c>
      <c r="AC82" s="16" t="s">
        <v>206</v>
      </c>
      <c r="AD82" s="16" t="s">
        <v>183</v>
      </c>
      <c r="AE82" s="16" t="s">
        <v>183</v>
      </c>
      <c r="AF82" s="5" t="s">
        <v>210</v>
      </c>
      <c r="AG82" s="5" t="s">
        <v>199</v>
      </c>
      <c r="AH82" s="5" t="s">
        <v>183</v>
      </c>
      <c r="AI82" s="5" t="s">
        <v>222</v>
      </c>
      <c r="AJ82" s="5" t="s">
        <v>192</v>
      </c>
      <c r="AK82" s="7"/>
      <c r="AL82" s="7"/>
    </row>
    <row r="83" spans="1:38" x14ac:dyDescent="0.35">
      <c r="A83" s="2">
        <v>1</v>
      </c>
      <c r="B83" s="15">
        <v>0.15833333333333333</v>
      </c>
      <c r="C83" s="21" t="s">
        <v>130</v>
      </c>
      <c r="Y83" s="16" t="s">
        <v>181</v>
      </c>
      <c r="Z83" s="16" t="s">
        <v>216</v>
      </c>
      <c r="AA83" s="16" t="s">
        <v>221</v>
      </c>
      <c r="AB83" s="16" t="s">
        <v>183</v>
      </c>
      <c r="AC83" s="16" t="s">
        <v>169</v>
      </c>
      <c r="AD83" s="16" t="s">
        <v>217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0.14861111111111111</v>
      </c>
      <c r="C84" s="21" t="s">
        <v>130</v>
      </c>
      <c r="AF84" s="5" t="s">
        <v>225</v>
      </c>
      <c r="AG84" s="5" t="s">
        <v>199</v>
      </c>
      <c r="AH84" s="5" t="s">
        <v>183</v>
      </c>
      <c r="AI84" s="5" t="s">
        <v>221</v>
      </c>
      <c r="AJ84" s="5" t="s">
        <v>192</v>
      </c>
      <c r="AK84" s="7"/>
      <c r="AL84" s="7"/>
    </row>
    <row r="85" spans="1:38" x14ac:dyDescent="0.35">
      <c r="A85" s="7">
        <v>1</v>
      </c>
      <c r="B85" s="15">
        <v>0.14166666666666666</v>
      </c>
      <c r="C85" s="21" t="s">
        <v>130</v>
      </c>
      <c r="Y85" s="16" t="s">
        <v>181</v>
      </c>
      <c r="Z85" s="16" t="s">
        <v>227</v>
      </c>
      <c r="AA85" s="16" t="s">
        <v>183</v>
      </c>
      <c r="AB85" s="16" t="s">
        <v>183</v>
      </c>
      <c r="AC85" s="16" t="s">
        <v>206</v>
      </c>
      <c r="AD85" s="16" t="s">
        <v>183</v>
      </c>
      <c r="AE85" s="16" t="s">
        <v>183</v>
      </c>
      <c r="AF85" s="5" t="s">
        <v>230</v>
      </c>
      <c r="AG85" s="5" t="s">
        <v>199</v>
      </c>
      <c r="AH85" s="5" t="s">
        <v>183</v>
      </c>
      <c r="AI85" s="5" t="s">
        <v>218</v>
      </c>
      <c r="AJ85" s="5" t="s">
        <v>192</v>
      </c>
      <c r="AK85" s="7"/>
      <c r="AL85" s="7"/>
    </row>
    <row r="86" spans="1:38" x14ac:dyDescent="0.35">
      <c r="A86" s="2">
        <v>1</v>
      </c>
      <c r="B86" s="15">
        <v>0.13819444444444445</v>
      </c>
      <c r="C86" s="21" t="s">
        <v>130</v>
      </c>
      <c r="Y86" s="16" t="s">
        <v>184</v>
      </c>
      <c r="Z86" s="16" t="s">
        <v>214</v>
      </c>
      <c r="AA86" s="16" t="s">
        <v>201</v>
      </c>
      <c r="AB86" s="16" t="s">
        <v>183</v>
      </c>
      <c r="AC86" s="16" t="s">
        <v>169</v>
      </c>
      <c r="AD86" s="16" t="s">
        <v>183</v>
      </c>
      <c r="AE86" s="16" t="s">
        <v>274</v>
      </c>
      <c r="AK86" s="7"/>
      <c r="AL86" s="7"/>
    </row>
    <row r="87" spans="1:38" x14ac:dyDescent="0.35">
      <c r="A87" s="7">
        <v>1</v>
      </c>
      <c r="B87" s="15">
        <v>0.13402777777777777</v>
      </c>
      <c r="C87" s="21" t="s">
        <v>130</v>
      </c>
      <c r="D87" s="1" t="s">
        <v>142</v>
      </c>
      <c r="E87" s="1">
        <v>20</v>
      </c>
      <c r="F87" s="1" t="s">
        <v>165</v>
      </c>
      <c r="G87" s="1">
        <v>6</v>
      </c>
      <c r="H87" s="1">
        <v>51</v>
      </c>
      <c r="J87" s="1" t="s">
        <v>166</v>
      </c>
      <c r="K87" s="1" t="s">
        <v>154</v>
      </c>
      <c r="M87" s="1" t="s">
        <v>139</v>
      </c>
      <c r="N87" s="1" t="s">
        <v>139</v>
      </c>
      <c r="Q87" s="1" t="s">
        <v>141</v>
      </c>
      <c r="R87" s="1" t="s">
        <v>148</v>
      </c>
      <c r="U87" s="1">
        <v>0</v>
      </c>
      <c r="V87" s="1">
        <v>50</v>
      </c>
      <c r="W87" s="1">
        <v>20003</v>
      </c>
      <c r="X87" s="1">
        <v>45573</v>
      </c>
      <c r="AK87" s="7"/>
      <c r="AL87" s="7"/>
    </row>
    <row r="88" spans="1:38" x14ac:dyDescent="0.35">
      <c r="A88" s="2">
        <v>1</v>
      </c>
      <c r="B88" s="15">
        <v>0.12986111111111112</v>
      </c>
      <c r="C88" s="21" t="s">
        <v>130</v>
      </c>
      <c r="AF88" s="5" t="s">
        <v>208</v>
      </c>
      <c r="AG88" s="5" t="s">
        <v>187</v>
      </c>
      <c r="AK88" s="7"/>
      <c r="AL88" s="7"/>
    </row>
    <row r="89" spans="1:38" x14ac:dyDescent="0.35">
      <c r="A89" s="7">
        <v>1</v>
      </c>
      <c r="B89" s="15">
        <v>0.1</v>
      </c>
      <c r="C89" s="21" t="s">
        <v>130</v>
      </c>
      <c r="AF89" s="5" t="s">
        <v>211</v>
      </c>
      <c r="AG89" s="5" t="s">
        <v>196</v>
      </c>
      <c r="AH89" s="5" t="s">
        <v>190</v>
      </c>
      <c r="AI89" s="5" t="s">
        <v>213</v>
      </c>
      <c r="AJ89" s="5" t="s">
        <v>209</v>
      </c>
      <c r="AK89" s="7"/>
      <c r="AL89" s="7"/>
    </row>
    <row r="90" spans="1:38" x14ac:dyDescent="0.35">
      <c r="A90" s="2">
        <v>1</v>
      </c>
      <c r="B90" s="15">
        <v>8.611111111111111E-2</v>
      </c>
      <c r="C90" s="21" t="s">
        <v>130</v>
      </c>
      <c r="Y90" s="16" t="s">
        <v>194</v>
      </c>
      <c r="Z90" s="16" t="s">
        <v>131</v>
      </c>
      <c r="AF90" s="5" t="s">
        <v>204</v>
      </c>
      <c r="AG90" s="5" t="s">
        <v>196</v>
      </c>
      <c r="AH90" s="5" t="s">
        <v>186</v>
      </c>
      <c r="AK90" s="7"/>
      <c r="AL90" s="7"/>
    </row>
    <row r="91" spans="1:38" x14ac:dyDescent="0.35">
      <c r="A91" s="7">
        <v>1</v>
      </c>
      <c r="B91" s="14">
        <v>6.805555555555555E-2</v>
      </c>
      <c r="C91" s="21" t="s">
        <v>130</v>
      </c>
      <c r="AF91" s="5" t="s">
        <v>185</v>
      </c>
      <c r="AG91" s="5" t="s">
        <v>187</v>
      </c>
      <c r="AK91" s="7"/>
      <c r="AL91" s="7"/>
    </row>
    <row r="92" spans="1:38" x14ac:dyDescent="0.35">
      <c r="A92" s="7">
        <v>1</v>
      </c>
      <c r="B92" s="15">
        <v>6.5277777777777782E-2</v>
      </c>
      <c r="C92" s="21" t="s">
        <v>130</v>
      </c>
      <c r="Y92" s="16" t="s">
        <v>181</v>
      </c>
      <c r="Z92" s="16" t="s">
        <v>228</v>
      </c>
      <c r="AA92" s="16" t="s">
        <v>225</v>
      </c>
      <c r="AB92" s="16" t="s">
        <v>183</v>
      </c>
      <c r="AC92" s="16" t="s">
        <v>206</v>
      </c>
      <c r="AD92" s="16" t="s">
        <v>182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5.9722222222222225E-2</v>
      </c>
      <c r="C93" s="21" t="s">
        <v>130</v>
      </c>
      <c r="D93" s="1" t="s">
        <v>142</v>
      </c>
      <c r="E93" s="1">
        <v>3</v>
      </c>
      <c r="F93" s="1" t="s">
        <v>149</v>
      </c>
      <c r="G93" s="1">
        <v>19</v>
      </c>
      <c r="H93" s="1">
        <v>7</v>
      </c>
      <c r="J93" s="1" t="s">
        <v>163</v>
      </c>
      <c r="K93" s="1" t="s">
        <v>144</v>
      </c>
      <c r="N93" s="1" t="s">
        <v>139</v>
      </c>
      <c r="P93" s="1" t="s">
        <v>140</v>
      </c>
      <c r="Q93" s="1" t="s">
        <v>141</v>
      </c>
      <c r="U93" s="1">
        <v>0</v>
      </c>
      <c r="V93" s="1">
        <v>50</v>
      </c>
      <c r="W93" s="1">
        <v>20003</v>
      </c>
      <c r="X93" s="1">
        <v>45573</v>
      </c>
      <c r="AK93" s="7"/>
      <c r="AL93" s="7"/>
    </row>
    <row r="94" spans="1:38" x14ac:dyDescent="0.35">
      <c r="A94" s="2">
        <v>1</v>
      </c>
      <c r="B94" s="15">
        <v>4.9305555555555554E-2</v>
      </c>
      <c r="C94" s="21" t="s">
        <v>130</v>
      </c>
      <c r="AF94" s="5" t="s">
        <v>208</v>
      </c>
      <c r="AG94" s="5" t="s">
        <v>199</v>
      </c>
      <c r="AH94" s="5" t="s">
        <v>200</v>
      </c>
      <c r="AI94" s="5" t="s">
        <v>202</v>
      </c>
      <c r="AJ94" s="5" t="s">
        <v>209</v>
      </c>
      <c r="AK94" s="7"/>
      <c r="AL94" s="7"/>
    </row>
    <row r="95" spans="1:38" x14ac:dyDescent="0.35">
      <c r="A95" s="7">
        <v>1</v>
      </c>
      <c r="B95" s="15">
        <v>4.4444444444444446E-2</v>
      </c>
      <c r="C95" s="21" t="s">
        <v>130</v>
      </c>
      <c r="AF95" s="5" t="s">
        <v>217</v>
      </c>
      <c r="AG95" s="5" t="s">
        <v>199</v>
      </c>
      <c r="AH95" s="5" t="s">
        <v>183</v>
      </c>
      <c r="AI95" s="5" t="s">
        <v>222</v>
      </c>
      <c r="AJ95" s="5" t="s">
        <v>198</v>
      </c>
      <c r="AK95" s="7"/>
      <c r="AL95" s="7"/>
    </row>
    <row r="96" spans="1:38" x14ac:dyDescent="0.35">
      <c r="A96" s="2">
        <v>1</v>
      </c>
      <c r="B96" s="15">
        <v>3.6805555555555557E-2</v>
      </c>
      <c r="C96" s="21" t="s">
        <v>130</v>
      </c>
      <c r="AF96" s="5" t="s">
        <v>216</v>
      </c>
      <c r="AG96" s="5" t="s">
        <v>209</v>
      </c>
      <c r="AK96" s="7"/>
      <c r="AL96" s="7"/>
    </row>
    <row r="97" spans="1:38" x14ac:dyDescent="0.35">
      <c r="A97" s="7">
        <v>1</v>
      </c>
      <c r="B97" s="15">
        <v>2.6388888888888889E-2</v>
      </c>
      <c r="C97" s="21" t="s">
        <v>130</v>
      </c>
      <c r="Y97" s="16" t="s">
        <v>184</v>
      </c>
      <c r="Z97" s="16" t="s">
        <v>189</v>
      </c>
      <c r="AA97" s="16" t="s">
        <v>212</v>
      </c>
      <c r="AB97" s="16" t="s">
        <v>183</v>
      </c>
      <c r="AC97" s="16" t="s">
        <v>206</v>
      </c>
      <c r="AD97" s="16" t="s">
        <v>183</v>
      </c>
      <c r="AE97" s="16" t="s">
        <v>183</v>
      </c>
      <c r="AF97" s="5" t="s">
        <v>197</v>
      </c>
      <c r="AG97" s="5" t="s">
        <v>199</v>
      </c>
      <c r="AH97" s="5" t="s">
        <v>183</v>
      </c>
      <c r="AI97" s="5" t="s">
        <v>202</v>
      </c>
      <c r="AJ97" s="5" t="s">
        <v>192</v>
      </c>
      <c r="AK97" s="7"/>
      <c r="AL97" s="7"/>
    </row>
    <row r="98" spans="1:38" x14ac:dyDescent="0.35">
      <c r="A98" s="2">
        <v>1</v>
      </c>
      <c r="B98" s="15">
        <v>2.013888888888889E-2</v>
      </c>
      <c r="C98" s="21" t="s">
        <v>130</v>
      </c>
      <c r="Y98" s="16" t="s">
        <v>181</v>
      </c>
      <c r="Z98" s="16" t="s">
        <v>212</v>
      </c>
      <c r="AA98" s="16" t="s">
        <v>216</v>
      </c>
      <c r="AB98" s="16" t="s">
        <v>183</v>
      </c>
      <c r="AC98" s="16" t="s">
        <v>169</v>
      </c>
      <c r="AD98" s="16" t="s">
        <v>212</v>
      </c>
      <c r="AE98" s="16" t="s">
        <v>183</v>
      </c>
      <c r="AK98" s="7"/>
      <c r="AL98" s="7"/>
    </row>
    <row r="99" spans="1:38" x14ac:dyDescent="0.35">
      <c r="A99" s="7">
        <v>1</v>
      </c>
      <c r="B99" s="15">
        <v>1.1805555555555555E-2</v>
      </c>
      <c r="C99" s="21" t="s">
        <v>130</v>
      </c>
      <c r="D99" s="1" t="s">
        <v>131</v>
      </c>
      <c r="E99" s="1">
        <v>89</v>
      </c>
      <c r="F99" s="1" t="s">
        <v>138</v>
      </c>
      <c r="G99" s="1">
        <v>18</v>
      </c>
      <c r="H99" s="1">
        <v>25</v>
      </c>
      <c r="J99" s="1" t="s">
        <v>157</v>
      </c>
      <c r="K99" s="1" t="s">
        <v>144</v>
      </c>
      <c r="Q99" s="1" t="s">
        <v>141</v>
      </c>
      <c r="R99" s="1" t="s">
        <v>148</v>
      </c>
      <c r="U99" s="1">
        <v>0</v>
      </c>
      <c r="V99" s="1">
        <v>31</v>
      </c>
      <c r="W99" s="1">
        <v>20003</v>
      </c>
      <c r="X99" s="1">
        <v>45573</v>
      </c>
      <c r="AK99" s="7"/>
      <c r="AL99" s="7"/>
    </row>
    <row r="100" spans="1:38" x14ac:dyDescent="0.35">
      <c r="A100" s="2">
        <v>1</v>
      </c>
      <c r="B100" s="15">
        <v>9.0277777777777769E-3</v>
      </c>
      <c r="C100" s="21" t="s">
        <v>130</v>
      </c>
      <c r="AF100" s="5" t="s">
        <v>210</v>
      </c>
      <c r="AG100" s="5" t="s">
        <v>187</v>
      </c>
      <c r="AK100" s="7"/>
      <c r="AL100" s="7"/>
    </row>
    <row r="101" spans="1:38" x14ac:dyDescent="0.35">
      <c r="A101" s="2">
        <v>1</v>
      </c>
      <c r="B101" s="15"/>
      <c r="C101" s="21" t="s">
        <v>130</v>
      </c>
      <c r="AF101" s="5" t="s">
        <v>188</v>
      </c>
      <c r="AG101" s="5" t="s">
        <v>187</v>
      </c>
      <c r="AH101" s="5" t="s">
        <v>189</v>
      </c>
      <c r="AK101" s="7"/>
      <c r="AL101" s="7"/>
    </row>
    <row r="102" spans="1:38" x14ac:dyDescent="0.35">
      <c r="A102" s="2">
        <v>2</v>
      </c>
      <c r="B102" s="15">
        <v>0.82777777777777772</v>
      </c>
      <c r="C102" s="21" t="s">
        <v>130</v>
      </c>
      <c r="Y102" s="16" t="s">
        <v>181</v>
      </c>
      <c r="Z102" s="16" t="s">
        <v>182</v>
      </c>
      <c r="AA102" s="16" t="s">
        <v>201</v>
      </c>
      <c r="AB102" s="16" t="s">
        <v>183</v>
      </c>
      <c r="AC102" s="16" t="s">
        <v>169</v>
      </c>
      <c r="AD102" s="16" t="s">
        <v>183</v>
      </c>
      <c r="AE102" s="16" t="s">
        <v>183</v>
      </c>
      <c r="AF102" s="5" t="s">
        <v>208</v>
      </c>
      <c r="AG102" s="5" t="s">
        <v>199</v>
      </c>
      <c r="AH102" s="5" t="s">
        <v>183</v>
      </c>
      <c r="AI102" s="5" t="s">
        <v>229</v>
      </c>
      <c r="AJ102" s="5" t="s">
        <v>187</v>
      </c>
      <c r="AK102" s="7"/>
      <c r="AL102" s="7"/>
    </row>
    <row r="103" spans="1:38" x14ac:dyDescent="0.35">
      <c r="A103" s="7">
        <v>2</v>
      </c>
      <c r="B103" s="15">
        <v>0.81736111111111109</v>
      </c>
      <c r="C103" s="21" t="s">
        <v>130</v>
      </c>
      <c r="Y103" s="16" t="s">
        <v>184</v>
      </c>
      <c r="Z103" s="16" t="s">
        <v>210</v>
      </c>
      <c r="AA103" s="16" t="s">
        <v>208</v>
      </c>
      <c r="AB103" s="16" t="s">
        <v>183</v>
      </c>
      <c r="AC103" s="16" t="s">
        <v>169</v>
      </c>
      <c r="AD103" s="16" t="s">
        <v>183</v>
      </c>
      <c r="AE103" s="16" t="s">
        <v>134</v>
      </c>
      <c r="AK103" s="7"/>
      <c r="AL103" s="7"/>
    </row>
    <row r="104" spans="1:38" x14ac:dyDescent="0.35">
      <c r="A104" s="2">
        <v>2</v>
      </c>
      <c r="B104" s="15">
        <v>0.81527777777777777</v>
      </c>
      <c r="C104" s="21" t="s">
        <v>130</v>
      </c>
      <c r="D104" s="1" t="s">
        <v>142</v>
      </c>
      <c r="E104" s="1">
        <v>29</v>
      </c>
      <c r="F104" s="1" t="s">
        <v>138</v>
      </c>
      <c r="G104" s="1">
        <v>7</v>
      </c>
      <c r="J104" s="1" t="s">
        <v>158</v>
      </c>
      <c r="M104" s="1" t="s">
        <v>134</v>
      </c>
      <c r="N104" s="1" t="s">
        <v>134</v>
      </c>
      <c r="P104" s="1" t="s">
        <v>135</v>
      </c>
      <c r="Q104" s="1" t="s">
        <v>152</v>
      </c>
      <c r="R104" s="1" t="s">
        <v>167</v>
      </c>
      <c r="S104" s="1" t="s">
        <v>168</v>
      </c>
      <c r="U104" s="1">
        <v>0</v>
      </c>
      <c r="V104" s="1">
        <v>50</v>
      </c>
      <c r="W104" s="1">
        <v>20003</v>
      </c>
      <c r="X104" s="1">
        <v>45573</v>
      </c>
      <c r="AK104" s="7"/>
      <c r="AL104" s="7"/>
    </row>
    <row r="105" spans="1:38" x14ac:dyDescent="0.35">
      <c r="A105" s="7">
        <v>2</v>
      </c>
      <c r="B105" s="15">
        <v>0.81388888888888888</v>
      </c>
      <c r="C105" s="21" t="s">
        <v>130</v>
      </c>
      <c r="D105" s="1" t="s">
        <v>142</v>
      </c>
      <c r="E105" s="1">
        <v>29</v>
      </c>
      <c r="F105" s="1" t="s">
        <v>135</v>
      </c>
      <c r="M105" s="1" t="s">
        <v>139</v>
      </c>
      <c r="N105" s="1" t="s">
        <v>139</v>
      </c>
      <c r="P105" s="1" t="s">
        <v>135</v>
      </c>
      <c r="Q105" s="1" t="s">
        <v>152</v>
      </c>
      <c r="R105" s="1" t="s">
        <v>167</v>
      </c>
      <c r="T105" s="1" t="s">
        <v>139</v>
      </c>
      <c r="U105" s="1">
        <v>0</v>
      </c>
      <c r="V105" s="1">
        <v>50</v>
      </c>
      <c r="W105" s="1">
        <v>20003</v>
      </c>
      <c r="X105" s="1">
        <v>45573</v>
      </c>
      <c r="AK105" s="7"/>
      <c r="AL105" s="7"/>
    </row>
    <row r="106" spans="1:38" x14ac:dyDescent="0.35">
      <c r="A106" s="7">
        <v>2</v>
      </c>
      <c r="B106" s="14">
        <v>0.80833333333333335</v>
      </c>
      <c r="C106" s="21" t="s">
        <v>130</v>
      </c>
      <c r="AF106" s="5" t="s">
        <v>207</v>
      </c>
      <c r="AG106" s="5" t="s">
        <v>187</v>
      </c>
      <c r="AK106" s="7"/>
      <c r="AL106" s="7"/>
    </row>
    <row r="107" spans="1:38" x14ac:dyDescent="0.35">
      <c r="A107" s="2">
        <v>2</v>
      </c>
      <c r="B107" s="15">
        <v>0.80486111111111114</v>
      </c>
      <c r="C107" s="21" t="s">
        <v>130</v>
      </c>
      <c r="Y107" s="16" t="s">
        <v>181</v>
      </c>
      <c r="Z107" s="16" t="s">
        <v>212</v>
      </c>
      <c r="AA107" s="16" t="s">
        <v>216</v>
      </c>
      <c r="AB107" s="16" t="s">
        <v>183</v>
      </c>
      <c r="AC107" s="16" t="s">
        <v>206</v>
      </c>
      <c r="AD107" s="16" t="s">
        <v>183</v>
      </c>
      <c r="AE107" s="16" t="s">
        <v>183</v>
      </c>
      <c r="AF107" s="5" t="s">
        <v>218</v>
      </c>
      <c r="AG107" s="5" t="s">
        <v>192</v>
      </c>
      <c r="AK107" s="7"/>
      <c r="AL107" s="7"/>
    </row>
    <row r="108" spans="1:38" x14ac:dyDescent="0.35">
      <c r="A108" s="7">
        <v>2</v>
      </c>
      <c r="B108" s="15">
        <v>0.79722222222222228</v>
      </c>
      <c r="C108" s="21" t="s">
        <v>130</v>
      </c>
      <c r="Y108" s="16" t="s">
        <v>184</v>
      </c>
      <c r="Z108" s="16" t="s">
        <v>189</v>
      </c>
      <c r="AA108" s="16" t="s">
        <v>188</v>
      </c>
      <c r="AB108" s="16" t="s">
        <v>134</v>
      </c>
      <c r="AC108" s="16" t="s">
        <v>169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2">
        <v>2</v>
      </c>
      <c r="B109" s="15">
        <v>0.79097222222222219</v>
      </c>
      <c r="C109" s="21" t="s">
        <v>130</v>
      </c>
      <c r="D109" s="1" t="s">
        <v>142</v>
      </c>
      <c r="E109" s="1">
        <v>62</v>
      </c>
      <c r="F109" s="1" t="s">
        <v>132</v>
      </c>
      <c r="G109" s="1">
        <v>95</v>
      </c>
      <c r="J109" s="1" t="s">
        <v>163</v>
      </c>
      <c r="P109" s="1" t="s">
        <v>140</v>
      </c>
      <c r="Q109" s="1" t="s">
        <v>141</v>
      </c>
      <c r="U109" s="1">
        <v>1</v>
      </c>
      <c r="V109" s="1">
        <v>50</v>
      </c>
      <c r="W109" s="1">
        <v>20003</v>
      </c>
      <c r="X109" s="1">
        <v>45573</v>
      </c>
      <c r="AK109" s="7"/>
      <c r="AL109" s="7"/>
    </row>
    <row r="110" spans="1:38" x14ac:dyDescent="0.35">
      <c r="A110" s="7">
        <v>2</v>
      </c>
      <c r="B110" s="14">
        <v>0.78888888888888886</v>
      </c>
      <c r="C110" s="21" t="s">
        <v>130</v>
      </c>
      <c r="D110" s="1" t="s">
        <v>142</v>
      </c>
      <c r="E110" s="1">
        <v>24</v>
      </c>
      <c r="F110" s="1" t="s">
        <v>132</v>
      </c>
      <c r="N110" s="1" t="s">
        <v>139</v>
      </c>
      <c r="P110" s="1" t="s">
        <v>140</v>
      </c>
      <c r="Q110" s="1" t="s">
        <v>141</v>
      </c>
      <c r="U110" s="1">
        <v>1</v>
      </c>
      <c r="V110" s="1">
        <v>50</v>
      </c>
      <c r="W110" s="1">
        <v>20003</v>
      </c>
      <c r="X110" s="1">
        <v>45573</v>
      </c>
      <c r="AK110" s="7"/>
      <c r="AL110" s="7"/>
    </row>
    <row r="111" spans="1:38" x14ac:dyDescent="0.35">
      <c r="A111" s="7">
        <v>2</v>
      </c>
      <c r="B111" s="15">
        <v>0.76944444444444449</v>
      </c>
      <c r="C111" s="21" t="s">
        <v>130</v>
      </c>
      <c r="AF111" s="5" t="s">
        <v>212</v>
      </c>
      <c r="AG111" s="5" t="s">
        <v>192</v>
      </c>
      <c r="AK111" s="7"/>
      <c r="AL111" s="7"/>
    </row>
    <row r="112" spans="1:38" x14ac:dyDescent="0.35">
      <c r="A112" s="2">
        <v>2</v>
      </c>
      <c r="B112" s="15">
        <v>0.76597222222222228</v>
      </c>
      <c r="C112" s="21" t="s">
        <v>130</v>
      </c>
      <c r="Y112" s="16" t="s">
        <v>181</v>
      </c>
      <c r="Z112" s="16" t="s">
        <v>195</v>
      </c>
      <c r="AA112" s="16" t="s">
        <v>183</v>
      </c>
      <c r="AB112" s="16" t="s">
        <v>183</v>
      </c>
      <c r="AC112" s="16" t="s">
        <v>169</v>
      </c>
      <c r="AD112" s="16" t="s">
        <v>183</v>
      </c>
      <c r="AE112" s="16" t="s">
        <v>183</v>
      </c>
      <c r="AF112" s="5" t="s">
        <v>230</v>
      </c>
      <c r="AG112" s="5" t="s">
        <v>199</v>
      </c>
      <c r="AH112" s="5" t="s">
        <v>183</v>
      </c>
      <c r="AI112" s="5" t="s">
        <v>216</v>
      </c>
      <c r="AJ112" s="5" t="s">
        <v>192</v>
      </c>
      <c r="AK112" s="7"/>
      <c r="AL112" s="7"/>
    </row>
    <row r="113" spans="1:38" x14ac:dyDescent="0.35">
      <c r="A113" s="7">
        <v>2</v>
      </c>
      <c r="B113" s="15">
        <v>0.76249999999999996</v>
      </c>
      <c r="C113" s="21" t="s">
        <v>130</v>
      </c>
      <c r="Y113" s="16" t="s">
        <v>184</v>
      </c>
      <c r="Z113" s="16" t="s">
        <v>191</v>
      </c>
      <c r="AA113" s="16" t="s">
        <v>224</v>
      </c>
      <c r="AB113" s="16" t="s">
        <v>183</v>
      </c>
      <c r="AC113" s="16" t="s">
        <v>184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7">
        <v>2</v>
      </c>
      <c r="B114" s="14">
        <v>0.75347222222222221</v>
      </c>
      <c r="C114" s="21" t="s">
        <v>130</v>
      </c>
      <c r="D114" s="1" t="s">
        <v>142</v>
      </c>
      <c r="E114" s="1">
        <v>3</v>
      </c>
      <c r="F114" s="1" t="s">
        <v>138</v>
      </c>
      <c r="G114" s="1">
        <v>51</v>
      </c>
      <c r="J114" s="1" t="s">
        <v>163</v>
      </c>
      <c r="N114" s="1" t="s">
        <v>139</v>
      </c>
      <c r="P114" s="1" t="s">
        <v>161</v>
      </c>
      <c r="Q114" s="1" t="s">
        <v>141</v>
      </c>
      <c r="U114" s="1">
        <v>1</v>
      </c>
      <c r="V114" s="1">
        <v>50</v>
      </c>
      <c r="W114" s="1">
        <v>20003</v>
      </c>
      <c r="X114" s="1">
        <v>45573</v>
      </c>
      <c r="AK114" s="7"/>
      <c r="AL114" s="7"/>
    </row>
    <row r="115" spans="1:38" x14ac:dyDescent="0.35">
      <c r="A115" s="2">
        <v>2</v>
      </c>
      <c r="B115" s="15">
        <v>0.74930555555555556</v>
      </c>
      <c r="C115" s="21" t="s">
        <v>130</v>
      </c>
      <c r="D115" s="1" t="s">
        <v>142</v>
      </c>
      <c r="E115" s="1">
        <v>22</v>
      </c>
      <c r="F115" s="1" t="s">
        <v>138</v>
      </c>
      <c r="G115" s="1">
        <v>51</v>
      </c>
      <c r="H115" s="1">
        <v>22</v>
      </c>
      <c r="J115" s="1" t="s">
        <v>159</v>
      </c>
      <c r="K115" s="1" t="s">
        <v>159</v>
      </c>
      <c r="N115" s="1" t="s">
        <v>139</v>
      </c>
      <c r="P115" s="1" t="s">
        <v>140</v>
      </c>
      <c r="Q115" s="1" t="s">
        <v>141</v>
      </c>
      <c r="U115" s="1">
        <v>1</v>
      </c>
      <c r="V115" s="1">
        <v>50</v>
      </c>
      <c r="W115" s="1">
        <v>20003</v>
      </c>
      <c r="X115" s="1">
        <v>45573</v>
      </c>
      <c r="AK115" s="7"/>
      <c r="AL115" s="7"/>
    </row>
    <row r="116" spans="1:38" x14ac:dyDescent="0.35">
      <c r="A116" s="7">
        <v>2</v>
      </c>
      <c r="B116" s="14">
        <v>0.74791666666666667</v>
      </c>
      <c r="C116" s="21" t="s">
        <v>130</v>
      </c>
      <c r="D116" s="1" t="s">
        <v>142</v>
      </c>
      <c r="E116" s="1">
        <v>51</v>
      </c>
      <c r="F116" s="1" t="s">
        <v>169</v>
      </c>
      <c r="M116" s="1" t="s">
        <v>139</v>
      </c>
      <c r="N116" s="1" t="s">
        <v>139</v>
      </c>
      <c r="P116" s="1" t="s">
        <v>140</v>
      </c>
      <c r="Q116" s="1" t="s">
        <v>141</v>
      </c>
      <c r="U116" s="1">
        <v>1</v>
      </c>
      <c r="V116" s="1">
        <v>50</v>
      </c>
      <c r="W116" s="1">
        <v>20003</v>
      </c>
      <c r="X116" s="1">
        <v>45573</v>
      </c>
      <c r="AK116" s="7"/>
      <c r="AL116" s="7"/>
    </row>
    <row r="117" spans="1:38" x14ac:dyDescent="0.35">
      <c r="A117" s="2">
        <v>2</v>
      </c>
      <c r="B117" s="15">
        <v>0.74444444444444446</v>
      </c>
      <c r="C117" s="21" t="s">
        <v>130</v>
      </c>
      <c r="D117" s="1" t="s">
        <v>142</v>
      </c>
      <c r="E117" s="1">
        <v>22</v>
      </c>
      <c r="F117" s="1" t="s">
        <v>146</v>
      </c>
      <c r="G117" s="1">
        <v>3</v>
      </c>
      <c r="H117" s="1">
        <v>20</v>
      </c>
      <c r="I117" s="1">
        <v>51</v>
      </c>
      <c r="J117" s="1" t="s">
        <v>147</v>
      </c>
      <c r="K117" s="1" t="s">
        <v>145</v>
      </c>
      <c r="L117" s="1" t="s">
        <v>159</v>
      </c>
      <c r="P117" s="1" t="s">
        <v>161</v>
      </c>
      <c r="Q117" s="1" t="s">
        <v>141</v>
      </c>
      <c r="U117" s="1">
        <v>1</v>
      </c>
      <c r="V117" s="1">
        <v>50</v>
      </c>
      <c r="W117" s="1">
        <v>20003</v>
      </c>
      <c r="X117" s="1">
        <v>45573</v>
      </c>
      <c r="AK117" s="7"/>
      <c r="AL117" s="7"/>
    </row>
    <row r="118" spans="1:38" x14ac:dyDescent="0.35">
      <c r="A118" s="2">
        <v>2</v>
      </c>
      <c r="B118" s="15">
        <v>0.7416666666666667</v>
      </c>
      <c r="C118" s="21" t="s">
        <v>130</v>
      </c>
      <c r="AF118" s="5" t="s">
        <v>224</v>
      </c>
      <c r="AG118" s="5" t="s">
        <v>209</v>
      </c>
      <c r="AK118" s="7"/>
      <c r="AL118" s="7"/>
    </row>
    <row r="119" spans="1:38" x14ac:dyDescent="0.35">
      <c r="A119" s="2">
        <v>2</v>
      </c>
      <c r="B119" s="15">
        <v>0.73541666666666672</v>
      </c>
      <c r="C119" s="21" t="s">
        <v>130</v>
      </c>
      <c r="D119" s="1" t="s">
        <v>142</v>
      </c>
      <c r="E119" s="1">
        <v>20</v>
      </c>
      <c r="F119" s="1" t="s">
        <v>146</v>
      </c>
      <c r="G119" s="1">
        <v>41</v>
      </c>
      <c r="H119" s="1">
        <v>3</v>
      </c>
      <c r="I119" s="1">
        <v>51</v>
      </c>
      <c r="J119" s="1" t="s">
        <v>147</v>
      </c>
      <c r="K119" s="1" t="s">
        <v>144</v>
      </c>
      <c r="L119" s="1" t="s">
        <v>154</v>
      </c>
      <c r="M119" s="1" t="s">
        <v>139</v>
      </c>
      <c r="N119" s="1" t="s">
        <v>139</v>
      </c>
      <c r="O119" s="1" t="s">
        <v>139</v>
      </c>
      <c r="Q119" s="1" t="s">
        <v>141</v>
      </c>
      <c r="R119" s="1" t="s">
        <v>148</v>
      </c>
      <c r="T119" s="1" t="s">
        <v>139</v>
      </c>
      <c r="U119" s="1">
        <v>1</v>
      </c>
      <c r="V119" s="1">
        <v>50</v>
      </c>
      <c r="W119" s="1">
        <v>20003</v>
      </c>
      <c r="X119" s="1">
        <v>45573</v>
      </c>
      <c r="AK119" s="7"/>
      <c r="AL119" s="7"/>
    </row>
    <row r="120" spans="1:38" x14ac:dyDescent="0.35">
      <c r="A120" s="2">
        <v>2</v>
      </c>
      <c r="B120" s="15">
        <v>0.7270833333333333</v>
      </c>
      <c r="C120" s="21" t="s">
        <v>130</v>
      </c>
      <c r="Y120" s="16" t="s">
        <v>181</v>
      </c>
      <c r="Z120" s="16" t="s">
        <v>208</v>
      </c>
      <c r="AA120" s="16" t="s">
        <v>183</v>
      </c>
      <c r="AB120" s="16" t="s">
        <v>183</v>
      </c>
      <c r="AC120" s="16" t="s">
        <v>169</v>
      </c>
      <c r="AD120" s="16" t="s">
        <v>183</v>
      </c>
      <c r="AE120" s="16" t="s">
        <v>183</v>
      </c>
      <c r="AF120" s="5" t="s">
        <v>211</v>
      </c>
      <c r="AG120" s="5" t="s">
        <v>199</v>
      </c>
      <c r="AH120" s="5" t="s">
        <v>183</v>
      </c>
      <c r="AI120" s="5" t="s">
        <v>200</v>
      </c>
      <c r="AJ120" s="5" t="s">
        <v>192</v>
      </c>
      <c r="AK120" s="7"/>
      <c r="AL120" s="7"/>
    </row>
    <row r="121" spans="1:38" x14ac:dyDescent="0.35">
      <c r="A121" s="2">
        <v>2</v>
      </c>
      <c r="B121" s="15">
        <v>0.71527777777777779</v>
      </c>
      <c r="C121" s="21" t="s">
        <v>130</v>
      </c>
      <c r="Y121" s="16" t="s">
        <v>181</v>
      </c>
      <c r="Z121" s="16" t="s">
        <v>222</v>
      </c>
      <c r="AA121" s="16" t="s">
        <v>183</v>
      </c>
      <c r="AB121" s="16" t="s">
        <v>183</v>
      </c>
      <c r="AC121" s="16" t="s">
        <v>184</v>
      </c>
      <c r="AD121" s="16" t="s">
        <v>183</v>
      </c>
      <c r="AE121" s="16" t="s">
        <v>183</v>
      </c>
      <c r="AF121" s="5" t="s">
        <v>201</v>
      </c>
      <c r="AG121" s="5" t="s">
        <v>209</v>
      </c>
      <c r="AK121" s="7"/>
      <c r="AL121" s="7"/>
    </row>
    <row r="122" spans="1:38" x14ac:dyDescent="0.35">
      <c r="A122" s="7">
        <v>2</v>
      </c>
      <c r="B122" s="15">
        <v>0.70625000000000004</v>
      </c>
      <c r="C122" s="21" t="s">
        <v>130</v>
      </c>
      <c r="Y122" s="16" t="s">
        <v>181</v>
      </c>
      <c r="Z122" s="16" t="s">
        <v>182</v>
      </c>
      <c r="AA122" s="16" t="s">
        <v>183</v>
      </c>
      <c r="AB122" s="16" t="s">
        <v>183</v>
      </c>
      <c r="AC122" s="16" t="s">
        <v>169</v>
      </c>
      <c r="AD122" s="16" t="s">
        <v>183</v>
      </c>
      <c r="AE122" s="16" t="s">
        <v>183</v>
      </c>
      <c r="AF122" s="5" t="s">
        <v>202</v>
      </c>
      <c r="AG122" s="5" t="s">
        <v>203</v>
      </c>
      <c r="AK122" s="7"/>
      <c r="AL122" s="7"/>
    </row>
    <row r="123" spans="1:38" x14ac:dyDescent="0.35">
      <c r="A123" s="7">
        <v>2</v>
      </c>
      <c r="B123" s="15">
        <v>0.6743055555555556</v>
      </c>
      <c r="C123" s="21" t="s">
        <v>130</v>
      </c>
      <c r="Y123" s="16" t="s">
        <v>184</v>
      </c>
      <c r="Z123" s="16" t="s">
        <v>200</v>
      </c>
      <c r="AA123" s="16" t="s">
        <v>188</v>
      </c>
      <c r="AB123" s="16" t="s">
        <v>183</v>
      </c>
      <c r="AC123" s="16" t="s">
        <v>169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2</v>
      </c>
      <c r="B124" s="15">
        <v>0.66527777777777775</v>
      </c>
      <c r="C124" s="21" t="s">
        <v>130</v>
      </c>
      <c r="Y124" s="16" t="s">
        <v>184</v>
      </c>
      <c r="Z124" s="16" t="s">
        <v>231</v>
      </c>
      <c r="AA124" s="16" t="s">
        <v>183</v>
      </c>
      <c r="AB124" s="16" t="s">
        <v>183</v>
      </c>
      <c r="AC124" s="16" t="s">
        <v>169</v>
      </c>
      <c r="AD124" s="16" t="s">
        <v>183</v>
      </c>
      <c r="AE124" s="16" t="s">
        <v>134</v>
      </c>
      <c r="AK124" s="7"/>
      <c r="AL124" s="7"/>
    </row>
    <row r="125" spans="1:38" x14ac:dyDescent="0.35">
      <c r="A125" s="7">
        <v>2</v>
      </c>
      <c r="B125" s="15">
        <v>0.66319444444444442</v>
      </c>
      <c r="C125" s="21" t="s">
        <v>130</v>
      </c>
      <c r="D125" s="1" t="s">
        <v>131</v>
      </c>
      <c r="E125" s="1">
        <v>26</v>
      </c>
      <c r="F125" s="1" t="s">
        <v>132</v>
      </c>
      <c r="M125" s="1" t="s">
        <v>139</v>
      </c>
      <c r="N125" s="1" t="s">
        <v>139</v>
      </c>
      <c r="P125" s="1" t="s">
        <v>135</v>
      </c>
      <c r="Q125" s="1" t="s">
        <v>136</v>
      </c>
      <c r="R125" s="1" t="s">
        <v>170</v>
      </c>
      <c r="S125" s="1" t="s">
        <v>168</v>
      </c>
      <c r="U125" s="1">
        <v>2</v>
      </c>
      <c r="V125" s="1">
        <v>31</v>
      </c>
      <c r="W125" s="1">
        <v>20003</v>
      </c>
      <c r="X125" s="1">
        <v>45573</v>
      </c>
      <c r="AK125" s="7"/>
      <c r="AL125" s="7"/>
    </row>
    <row r="126" spans="1:38" x14ac:dyDescent="0.35">
      <c r="A126" s="7">
        <v>2</v>
      </c>
      <c r="B126" s="15">
        <v>0.65763888888888888</v>
      </c>
      <c r="C126" s="21" t="s">
        <v>130</v>
      </c>
      <c r="AF126" s="5" t="s">
        <v>218</v>
      </c>
      <c r="AG126" s="5" t="s">
        <v>187</v>
      </c>
      <c r="AK126" s="7"/>
      <c r="AL126" s="7"/>
    </row>
    <row r="127" spans="1:38" x14ac:dyDescent="0.35">
      <c r="A127" s="2">
        <v>2</v>
      </c>
      <c r="B127" s="15">
        <v>0.65277777777777779</v>
      </c>
      <c r="C127" s="21" t="s">
        <v>130</v>
      </c>
      <c r="Y127" s="16" t="s">
        <v>184</v>
      </c>
      <c r="Z127" s="16" t="s">
        <v>193</v>
      </c>
      <c r="AA127" s="16" t="s">
        <v>224</v>
      </c>
      <c r="AB127" s="16" t="s">
        <v>183</v>
      </c>
      <c r="AC127" s="16" t="s">
        <v>184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7">
        <v>2</v>
      </c>
      <c r="B128" s="15">
        <v>0.64930555555555558</v>
      </c>
      <c r="C128" s="21" t="s">
        <v>130</v>
      </c>
      <c r="AF128" s="5" t="s">
        <v>229</v>
      </c>
      <c r="AG128" s="5" t="s">
        <v>196</v>
      </c>
      <c r="AH128" s="5" t="s">
        <v>193</v>
      </c>
      <c r="AK128" s="7"/>
      <c r="AL128" s="7"/>
    </row>
    <row r="129" spans="1:38" x14ac:dyDescent="0.35">
      <c r="A129" s="2">
        <v>2</v>
      </c>
      <c r="B129" s="15">
        <v>0.6479166666666667</v>
      </c>
      <c r="C129" s="21" t="s">
        <v>130</v>
      </c>
      <c r="D129" s="1" t="s">
        <v>142</v>
      </c>
      <c r="E129" s="1">
        <v>62</v>
      </c>
      <c r="F129" s="1" t="s">
        <v>171</v>
      </c>
      <c r="N129" s="1" t="s">
        <v>139</v>
      </c>
      <c r="P129" s="1" t="s">
        <v>140</v>
      </c>
      <c r="Q129" s="1" t="s">
        <v>141</v>
      </c>
      <c r="U129" s="1">
        <v>2</v>
      </c>
      <c r="V129" s="1">
        <v>50</v>
      </c>
      <c r="W129" s="1">
        <v>20003</v>
      </c>
      <c r="X129" s="1">
        <v>45573</v>
      </c>
      <c r="AK129" s="7"/>
      <c r="AL129" s="7"/>
    </row>
    <row r="130" spans="1:38" x14ac:dyDescent="0.35">
      <c r="A130" s="7">
        <v>2</v>
      </c>
      <c r="B130" s="15">
        <v>0.62847222222222221</v>
      </c>
      <c r="C130" s="21" t="s">
        <v>130</v>
      </c>
      <c r="AF130" s="5" t="s">
        <v>197</v>
      </c>
      <c r="AG130" s="5" t="s">
        <v>192</v>
      </c>
      <c r="AK130" s="7"/>
      <c r="AL130" s="7"/>
    </row>
    <row r="131" spans="1:38" x14ac:dyDescent="0.35">
      <c r="A131" s="7">
        <v>2</v>
      </c>
      <c r="B131" s="15">
        <v>0.62569444444444444</v>
      </c>
      <c r="C131" s="21" t="s">
        <v>130</v>
      </c>
      <c r="Y131" s="16" t="s">
        <v>232</v>
      </c>
      <c r="Z131" s="16" t="s">
        <v>186</v>
      </c>
      <c r="AA131" s="16" t="s">
        <v>183</v>
      </c>
      <c r="AB131" s="16" t="s">
        <v>183</v>
      </c>
      <c r="AC131" s="16" t="s">
        <v>169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7">
        <v>2</v>
      </c>
      <c r="B132" s="15">
        <v>0.62361111111111112</v>
      </c>
      <c r="C132" s="21" t="s">
        <v>130</v>
      </c>
      <c r="Y132" s="16" t="s">
        <v>184</v>
      </c>
      <c r="Z132" s="16" t="s">
        <v>191</v>
      </c>
      <c r="AA132" s="16" t="s">
        <v>188</v>
      </c>
      <c r="AB132" s="16" t="s">
        <v>134</v>
      </c>
      <c r="AC132" s="16" t="s">
        <v>206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7">
        <v>2</v>
      </c>
      <c r="B133" s="15">
        <v>0.62222222222222223</v>
      </c>
      <c r="C133" s="21" t="s">
        <v>130</v>
      </c>
      <c r="D133" s="1" t="s">
        <v>142</v>
      </c>
      <c r="E133" s="1">
        <v>24</v>
      </c>
      <c r="F133" s="1" t="s">
        <v>138</v>
      </c>
      <c r="G133" s="1">
        <v>9</v>
      </c>
      <c r="J133" s="1" t="s">
        <v>151</v>
      </c>
      <c r="N133" s="1" t="s">
        <v>139</v>
      </c>
      <c r="P133" s="1" t="s">
        <v>135</v>
      </c>
      <c r="Q133" s="1" t="s">
        <v>152</v>
      </c>
      <c r="R133" s="1" t="s">
        <v>167</v>
      </c>
      <c r="U133" s="1">
        <v>2</v>
      </c>
      <c r="V133" s="1">
        <v>50</v>
      </c>
      <c r="W133" s="1">
        <v>20003</v>
      </c>
      <c r="X133" s="1">
        <v>45573</v>
      </c>
      <c r="AK133" s="7"/>
      <c r="AL133" s="7"/>
    </row>
    <row r="134" spans="1:38" x14ac:dyDescent="0.35">
      <c r="A134" s="7">
        <v>2</v>
      </c>
      <c r="B134" s="15">
        <v>0.61597222222222225</v>
      </c>
      <c r="C134" s="21" t="s">
        <v>130</v>
      </c>
      <c r="AF134" s="5" t="s">
        <v>201</v>
      </c>
      <c r="AG134" s="5" t="s">
        <v>199</v>
      </c>
      <c r="AH134" s="5" t="s">
        <v>183</v>
      </c>
      <c r="AI134" s="5" t="s">
        <v>208</v>
      </c>
      <c r="AJ134" s="5" t="s">
        <v>209</v>
      </c>
      <c r="AK134" s="7"/>
      <c r="AL134" s="7"/>
    </row>
    <row r="135" spans="1:38" x14ac:dyDescent="0.35">
      <c r="A135" s="2">
        <v>2</v>
      </c>
      <c r="B135" s="15">
        <v>0.60972222222222228</v>
      </c>
      <c r="C135" s="21" t="s">
        <v>130</v>
      </c>
      <c r="Y135" s="16" t="s">
        <v>232</v>
      </c>
      <c r="Z135" s="16" t="s">
        <v>190</v>
      </c>
      <c r="AA135" s="16" t="s">
        <v>228</v>
      </c>
      <c r="AB135" s="16" t="s">
        <v>183</v>
      </c>
      <c r="AC135" s="16" t="s">
        <v>169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7">
        <v>2</v>
      </c>
      <c r="B136" s="15">
        <v>0.60277777777777775</v>
      </c>
      <c r="C136" s="21" t="s">
        <v>130</v>
      </c>
      <c r="Y136" s="16" t="s">
        <v>181</v>
      </c>
      <c r="Z136" s="16" t="s">
        <v>212</v>
      </c>
      <c r="AA136" s="16" t="s">
        <v>183</v>
      </c>
      <c r="AB136" s="16" t="s">
        <v>183</v>
      </c>
      <c r="AC136" s="16" t="s">
        <v>169</v>
      </c>
      <c r="AD136" s="16" t="s">
        <v>190</v>
      </c>
      <c r="AE136" s="16" t="s">
        <v>183</v>
      </c>
      <c r="AK136" s="7"/>
      <c r="AL136" s="7"/>
    </row>
    <row r="137" spans="1:38" x14ac:dyDescent="0.35">
      <c r="A137" s="7">
        <v>2</v>
      </c>
      <c r="B137" s="15">
        <v>0.59791666666666665</v>
      </c>
      <c r="C137" s="21" t="s">
        <v>130</v>
      </c>
      <c r="D137" s="1" t="s">
        <v>131</v>
      </c>
      <c r="E137" s="1">
        <v>55</v>
      </c>
      <c r="F137" s="1" t="s">
        <v>138</v>
      </c>
      <c r="G137" s="1">
        <v>9</v>
      </c>
      <c r="H137" s="1">
        <v>89</v>
      </c>
      <c r="J137" s="1" t="s">
        <v>163</v>
      </c>
      <c r="K137" s="1" t="s">
        <v>144</v>
      </c>
      <c r="N137" s="1" t="s">
        <v>134</v>
      </c>
      <c r="P137" s="1" t="s">
        <v>161</v>
      </c>
      <c r="Q137" s="1" t="s">
        <v>141</v>
      </c>
      <c r="U137" s="1">
        <v>2</v>
      </c>
      <c r="V137" s="1">
        <v>31</v>
      </c>
      <c r="W137" s="1">
        <v>20003</v>
      </c>
      <c r="X137" s="1">
        <v>45573</v>
      </c>
      <c r="AK137" s="7"/>
      <c r="AL137" s="7"/>
    </row>
    <row r="138" spans="1:38" x14ac:dyDescent="0.35">
      <c r="A138" s="2">
        <v>2</v>
      </c>
      <c r="B138" s="15">
        <v>0.58888888888888891</v>
      </c>
      <c r="C138" s="21" t="s">
        <v>130</v>
      </c>
      <c r="Y138" s="16" t="s">
        <v>184</v>
      </c>
      <c r="Z138" s="16" t="s">
        <v>210</v>
      </c>
      <c r="AA138" s="16" t="s">
        <v>208</v>
      </c>
      <c r="AB138" s="16" t="s">
        <v>183</v>
      </c>
      <c r="AC138" s="16" t="s">
        <v>184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7">
        <v>2</v>
      </c>
      <c r="B139" s="15">
        <v>0.58472222222222225</v>
      </c>
      <c r="C139" s="21" t="s">
        <v>130</v>
      </c>
      <c r="Y139" s="16" t="s">
        <v>184</v>
      </c>
      <c r="Z139" s="16" t="s">
        <v>201</v>
      </c>
      <c r="AA139" s="16" t="s">
        <v>210</v>
      </c>
      <c r="AB139" s="16" t="s">
        <v>183</v>
      </c>
      <c r="AC139" s="16" t="s">
        <v>206</v>
      </c>
      <c r="AD139" s="16" t="s">
        <v>183</v>
      </c>
      <c r="AE139" s="16" t="s">
        <v>183</v>
      </c>
      <c r="AF139" s="5" t="s">
        <v>210</v>
      </c>
      <c r="AG139" s="5" t="s">
        <v>199</v>
      </c>
      <c r="AH139" s="5" t="s">
        <v>183</v>
      </c>
      <c r="AI139" s="5" t="s">
        <v>220</v>
      </c>
      <c r="AJ139" s="5" t="s">
        <v>192</v>
      </c>
      <c r="AK139" s="7"/>
      <c r="AL139" s="7"/>
    </row>
    <row r="140" spans="1:38" x14ac:dyDescent="0.35">
      <c r="A140" s="2">
        <v>2</v>
      </c>
      <c r="B140" s="15">
        <v>0.57222222222222219</v>
      </c>
      <c r="C140" s="21" t="s">
        <v>130</v>
      </c>
      <c r="Y140" s="16" t="s">
        <v>181</v>
      </c>
      <c r="Z140" s="16" t="s">
        <v>185</v>
      </c>
      <c r="AA140" s="16" t="s">
        <v>183</v>
      </c>
      <c r="AB140" s="16" t="s">
        <v>183</v>
      </c>
      <c r="AC140" s="16" t="s">
        <v>206</v>
      </c>
      <c r="AD140" s="16" t="s">
        <v>185</v>
      </c>
      <c r="AE140" s="16" t="s">
        <v>183</v>
      </c>
      <c r="AK140" s="7"/>
      <c r="AL140" s="7"/>
    </row>
    <row r="141" spans="1:38" x14ac:dyDescent="0.35">
      <c r="A141" s="7">
        <v>2</v>
      </c>
      <c r="B141" s="15">
        <v>0.55833333333333335</v>
      </c>
      <c r="C141" s="21" t="s">
        <v>130</v>
      </c>
      <c r="AF141" s="5" t="s">
        <v>212</v>
      </c>
      <c r="AG141" s="5" t="s">
        <v>196</v>
      </c>
      <c r="AH141" s="5" t="s">
        <v>222</v>
      </c>
      <c r="AK141" s="7"/>
      <c r="AL141" s="7"/>
    </row>
    <row r="142" spans="1:38" x14ac:dyDescent="0.35">
      <c r="A142" s="2">
        <v>2</v>
      </c>
      <c r="B142" s="15">
        <v>0.55347222222222225</v>
      </c>
      <c r="C142" s="21" t="s">
        <v>130</v>
      </c>
      <c r="AF142" s="5" t="s">
        <v>190</v>
      </c>
      <c r="AG142" s="5" t="s">
        <v>209</v>
      </c>
      <c r="AK142" s="7"/>
      <c r="AL142" s="7"/>
    </row>
    <row r="143" spans="1:38" x14ac:dyDescent="0.35">
      <c r="A143" s="7">
        <v>2</v>
      </c>
      <c r="B143" s="15">
        <v>0.55069444444444449</v>
      </c>
      <c r="C143" s="21" t="s">
        <v>130</v>
      </c>
      <c r="AF143" s="5" t="s">
        <v>230</v>
      </c>
      <c r="AG143" s="5" t="s">
        <v>199</v>
      </c>
      <c r="AH143" s="5" t="s">
        <v>183</v>
      </c>
      <c r="AI143" s="5" t="s">
        <v>217</v>
      </c>
      <c r="AJ143" s="5" t="s">
        <v>192</v>
      </c>
      <c r="AK143" s="7"/>
      <c r="AL143" s="7"/>
    </row>
    <row r="144" spans="1:38" x14ac:dyDescent="0.35">
      <c r="A144" s="7">
        <v>2</v>
      </c>
      <c r="B144" s="14">
        <v>0.54722222222222228</v>
      </c>
      <c r="C144" s="21" t="s">
        <v>130</v>
      </c>
      <c r="Y144" s="16" t="s">
        <v>184</v>
      </c>
      <c r="Z144" s="16" t="s">
        <v>216</v>
      </c>
      <c r="AA144" s="16" t="s">
        <v>188</v>
      </c>
      <c r="AB144" s="16" t="s">
        <v>134</v>
      </c>
      <c r="AC144" s="16" t="s">
        <v>206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7">
        <v>2</v>
      </c>
      <c r="B145" s="15">
        <v>0.54652777777777772</v>
      </c>
      <c r="C145" s="21" t="s">
        <v>130</v>
      </c>
      <c r="D145" s="1" t="s">
        <v>142</v>
      </c>
      <c r="E145" s="1">
        <v>12</v>
      </c>
      <c r="F145" s="1" t="s">
        <v>132</v>
      </c>
      <c r="G145" s="1">
        <v>62</v>
      </c>
      <c r="H145" s="1">
        <v>13</v>
      </c>
      <c r="J145" s="1" t="s">
        <v>159</v>
      </c>
      <c r="K145" s="1" t="s">
        <v>133</v>
      </c>
      <c r="N145" s="1" t="s">
        <v>139</v>
      </c>
      <c r="P145" s="1" t="s">
        <v>135</v>
      </c>
      <c r="Q145" s="1" t="s">
        <v>136</v>
      </c>
      <c r="R145" s="1" t="s">
        <v>137</v>
      </c>
      <c r="U145" s="1">
        <v>2</v>
      </c>
      <c r="V145" s="1">
        <v>50</v>
      </c>
      <c r="W145" s="1">
        <v>20003</v>
      </c>
      <c r="X145" s="1">
        <v>45573</v>
      </c>
      <c r="AK145" s="7"/>
      <c r="AL145" s="7"/>
    </row>
    <row r="146" spans="1:38" x14ac:dyDescent="0.35">
      <c r="A146" s="15">
        <v>2</v>
      </c>
      <c r="B146" s="15">
        <v>0.5444444444444444</v>
      </c>
      <c r="C146" s="21" t="s">
        <v>130</v>
      </c>
      <c r="AF146" s="5" t="s">
        <v>227</v>
      </c>
      <c r="AG146" s="5" t="s">
        <v>192</v>
      </c>
      <c r="AK146" s="7"/>
      <c r="AL146" s="7"/>
    </row>
    <row r="147" spans="1:38" x14ac:dyDescent="0.35">
      <c r="A147" s="7">
        <v>2</v>
      </c>
      <c r="B147" s="15">
        <v>0.5395833333333333</v>
      </c>
      <c r="C147" s="21" t="s">
        <v>130</v>
      </c>
      <c r="Y147" s="16" t="s">
        <v>184</v>
      </c>
      <c r="Z147" s="16" t="s">
        <v>188</v>
      </c>
      <c r="AA147" s="16" t="s">
        <v>216</v>
      </c>
      <c r="AB147" s="16" t="s">
        <v>183</v>
      </c>
      <c r="AC147" s="16" t="s">
        <v>169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0.53541666666666665</v>
      </c>
      <c r="C148" s="21" t="s">
        <v>130</v>
      </c>
      <c r="AF148" s="5" t="s">
        <v>218</v>
      </c>
      <c r="AG148" s="5" t="s">
        <v>199</v>
      </c>
      <c r="AH148" s="5" t="s">
        <v>183</v>
      </c>
      <c r="AI148" s="5" t="s">
        <v>216</v>
      </c>
      <c r="AJ148" s="5" t="s">
        <v>209</v>
      </c>
      <c r="AK148" s="7"/>
      <c r="AL148" s="7"/>
    </row>
    <row r="149" spans="1:38" x14ac:dyDescent="0.35">
      <c r="A149" s="7">
        <v>2</v>
      </c>
      <c r="B149" s="15">
        <v>0.5229166666666667</v>
      </c>
      <c r="C149" s="21" t="s">
        <v>130</v>
      </c>
      <c r="AF149" s="5" t="s">
        <v>204</v>
      </c>
      <c r="AG149" s="5" t="s">
        <v>199</v>
      </c>
      <c r="AH149" s="5" t="s">
        <v>183</v>
      </c>
      <c r="AI149" s="5" t="s">
        <v>193</v>
      </c>
      <c r="AJ149" s="5" t="s">
        <v>192</v>
      </c>
      <c r="AL149" s="2"/>
    </row>
    <row r="150" spans="1:38" x14ac:dyDescent="0.35">
      <c r="A150" s="2">
        <v>2</v>
      </c>
      <c r="B150" s="15">
        <v>0.51875000000000004</v>
      </c>
      <c r="C150" s="21" t="s">
        <v>130</v>
      </c>
      <c r="Y150" s="16" t="s">
        <v>181</v>
      </c>
      <c r="Z150" s="16" t="s">
        <v>228</v>
      </c>
      <c r="AA150" s="16" t="s">
        <v>224</v>
      </c>
      <c r="AB150" s="16" t="s">
        <v>183</v>
      </c>
      <c r="AC150" s="16" t="s">
        <v>206</v>
      </c>
      <c r="AD150" s="16" t="s">
        <v>183</v>
      </c>
      <c r="AE150" s="16" t="s">
        <v>183</v>
      </c>
      <c r="AF150" s="5" t="s">
        <v>224</v>
      </c>
      <c r="AG150" s="5" t="s">
        <v>199</v>
      </c>
      <c r="AH150" s="5" t="s">
        <v>191</v>
      </c>
      <c r="AI150" s="5" t="s">
        <v>215</v>
      </c>
      <c r="AJ150" s="5" t="s">
        <v>209</v>
      </c>
      <c r="AL150" s="2"/>
    </row>
    <row r="151" spans="1:38" x14ac:dyDescent="0.35">
      <c r="A151" s="2">
        <v>2</v>
      </c>
      <c r="B151" s="15">
        <v>0.50069444444444444</v>
      </c>
      <c r="C151" s="21" t="s">
        <v>130</v>
      </c>
      <c r="AF151" s="5" t="s">
        <v>207</v>
      </c>
      <c r="AG151" s="5" t="s">
        <v>199</v>
      </c>
      <c r="AH151" s="5" t="s">
        <v>183</v>
      </c>
      <c r="AI151" s="5" t="s">
        <v>224</v>
      </c>
      <c r="AJ151" s="5" t="s">
        <v>192</v>
      </c>
      <c r="AL151" s="2"/>
    </row>
    <row r="152" spans="1:38" x14ac:dyDescent="0.35">
      <c r="A152" s="2">
        <v>2</v>
      </c>
      <c r="B152" s="15">
        <v>0.49861111111111112</v>
      </c>
      <c r="C152" s="21" t="s">
        <v>130</v>
      </c>
      <c r="Y152" s="16" t="s">
        <v>184</v>
      </c>
      <c r="Z152" s="16" t="s">
        <v>195</v>
      </c>
      <c r="AA152" s="16" t="s">
        <v>211</v>
      </c>
      <c r="AB152" s="16" t="s">
        <v>183</v>
      </c>
      <c r="AC152" s="16" t="s">
        <v>184</v>
      </c>
      <c r="AD152" s="16" t="s">
        <v>183</v>
      </c>
      <c r="AE152" s="16" t="s">
        <v>183</v>
      </c>
      <c r="AL152" s="2"/>
    </row>
    <row r="153" spans="1:38" x14ac:dyDescent="0.35">
      <c r="A153" s="7">
        <v>2</v>
      </c>
      <c r="B153" s="15">
        <v>0.48472222222222222</v>
      </c>
      <c r="C153" s="21" t="s">
        <v>130</v>
      </c>
      <c r="AF153" s="5" t="s">
        <v>214</v>
      </c>
      <c r="AG153" s="5" t="s">
        <v>199</v>
      </c>
      <c r="AH153" s="5" t="s">
        <v>183</v>
      </c>
      <c r="AI153" s="5" t="s">
        <v>210</v>
      </c>
      <c r="AJ153" s="5" t="s">
        <v>192</v>
      </c>
      <c r="AL153" s="2"/>
    </row>
    <row r="154" spans="1:38" x14ac:dyDescent="0.35">
      <c r="A154" s="7">
        <v>2</v>
      </c>
      <c r="B154" s="15">
        <v>0.4826388888888889</v>
      </c>
      <c r="C154" s="21" t="s">
        <v>130</v>
      </c>
      <c r="Y154" s="16" t="s">
        <v>184</v>
      </c>
      <c r="Z154" s="16" t="s">
        <v>205</v>
      </c>
      <c r="AA154" s="16" t="s">
        <v>188</v>
      </c>
      <c r="AB154" s="16" t="s">
        <v>134</v>
      </c>
      <c r="AC154" s="16" t="s">
        <v>169</v>
      </c>
      <c r="AD154" s="16" t="s">
        <v>183</v>
      </c>
      <c r="AE154" s="16" t="s">
        <v>183</v>
      </c>
      <c r="AL154" s="2"/>
    </row>
    <row r="155" spans="1:38" x14ac:dyDescent="0.35">
      <c r="A155" s="2">
        <v>2</v>
      </c>
      <c r="B155" s="15">
        <v>0.48125000000000001</v>
      </c>
      <c r="C155" s="21" t="s">
        <v>130</v>
      </c>
      <c r="D155" s="1" t="s">
        <v>142</v>
      </c>
      <c r="E155" s="1">
        <v>6</v>
      </c>
      <c r="F155" s="1" t="s">
        <v>138</v>
      </c>
      <c r="G155" s="1">
        <v>51</v>
      </c>
      <c r="H155" s="1">
        <v>29</v>
      </c>
      <c r="I155" s="1">
        <v>22</v>
      </c>
      <c r="J155" s="1" t="s">
        <v>144</v>
      </c>
      <c r="K155" s="1" t="s">
        <v>133</v>
      </c>
      <c r="L155" s="1" t="s">
        <v>133</v>
      </c>
      <c r="N155" s="1" t="s">
        <v>139</v>
      </c>
      <c r="P155" s="1" t="s">
        <v>135</v>
      </c>
      <c r="Q155" s="1" t="s">
        <v>136</v>
      </c>
      <c r="R155" s="1" t="s">
        <v>137</v>
      </c>
      <c r="U155" s="1">
        <v>2</v>
      </c>
      <c r="V155" s="1">
        <v>50</v>
      </c>
      <c r="W155" s="1">
        <v>20003</v>
      </c>
      <c r="X155" s="1">
        <v>45573</v>
      </c>
      <c r="AK155" s="7"/>
      <c r="AL155" s="7"/>
    </row>
    <row r="156" spans="1:38" x14ac:dyDescent="0.35">
      <c r="A156" s="7">
        <v>2</v>
      </c>
      <c r="B156" s="15">
        <v>0.47361111111111109</v>
      </c>
      <c r="C156" s="21" t="s">
        <v>130</v>
      </c>
      <c r="AF156" s="5" t="s">
        <v>201</v>
      </c>
      <c r="AG156" s="5" t="s">
        <v>199</v>
      </c>
      <c r="AH156" s="5" t="s">
        <v>183</v>
      </c>
      <c r="AI156" s="5" t="s">
        <v>208</v>
      </c>
      <c r="AJ156" s="5" t="s">
        <v>209</v>
      </c>
      <c r="AL156" s="2"/>
    </row>
    <row r="157" spans="1:38" x14ac:dyDescent="0.35">
      <c r="A157" s="7">
        <v>2</v>
      </c>
      <c r="B157" s="15">
        <v>0.46805555555555556</v>
      </c>
      <c r="C157" s="21" t="s">
        <v>130</v>
      </c>
      <c r="AF157" s="5" t="s">
        <v>223</v>
      </c>
      <c r="AG157" s="5" t="s">
        <v>187</v>
      </c>
      <c r="AH157" s="5" t="s">
        <v>200</v>
      </c>
      <c r="AL157" s="2"/>
    </row>
    <row r="158" spans="1:38" x14ac:dyDescent="0.35">
      <c r="A158" s="7">
        <v>2</v>
      </c>
      <c r="B158" s="15">
        <v>0.46388888888888891</v>
      </c>
      <c r="C158" s="21" t="s">
        <v>130</v>
      </c>
      <c r="Y158" s="16" t="s">
        <v>181</v>
      </c>
      <c r="Z158" s="16" t="s">
        <v>222</v>
      </c>
      <c r="AA158" s="16" t="s">
        <v>183</v>
      </c>
      <c r="AB158" s="16" t="s">
        <v>183</v>
      </c>
      <c r="AC158" s="16" t="s">
        <v>206</v>
      </c>
      <c r="AD158" s="16" t="s">
        <v>183</v>
      </c>
      <c r="AE158" s="16" t="s">
        <v>183</v>
      </c>
      <c r="AF158" s="5" t="s">
        <v>223</v>
      </c>
      <c r="AG158" s="5" t="s">
        <v>187</v>
      </c>
      <c r="AH158" s="5" t="s">
        <v>222</v>
      </c>
      <c r="AL158" s="2"/>
    </row>
    <row r="159" spans="1:38" x14ac:dyDescent="0.35">
      <c r="A159" s="2">
        <v>2</v>
      </c>
      <c r="B159" s="15">
        <v>0.4548611111111111</v>
      </c>
      <c r="C159" s="21" t="s">
        <v>130</v>
      </c>
      <c r="Y159" s="16" t="s">
        <v>181</v>
      </c>
      <c r="Z159" s="16" t="s">
        <v>216</v>
      </c>
      <c r="AA159" s="16" t="s">
        <v>183</v>
      </c>
      <c r="AB159" s="16" t="s">
        <v>183</v>
      </c>
      <c r="AC159" s="16" t="s">
        <v>206</v>
      </c>
      <c r="AD159" s="16" t="s">
        <v>183</v>
      </c>
      <c r="AE159" s="16" t="s">
        <v>183</v>
      </c>
      <c r="AF159" s="5" t="s">
        <v>197</v>
      </c>
      <c r="AG159" s="5" t="s">
        <v>199</v>
      </c>
      <c r="AH159" s="5" t="s">
        <v>183</v>
      </c>
      <c r="AI159" s="5" t="s">
        <v>202</v>
      </c>
      <c r="AJ159" s="5" t="s">
        <v>192</v>
      </c>
      <c r="AL159" s="2"/>
    </row>
    <row r="160" spans="1:38" x14ac:dyDescent="0.35">
      <c r="A160" s="7">
        <v>2</v>
      </c>
      <c r="B160" s="15">
        <v>0.4465277777777778</v>
      </c>
      <c r="C160" s="21" t="s">
        <v>130</v>
      </c>
      <c r="Y160" s="16" t="s">
        <v>181</v>
      </c>
      <c r="Z160" s="16" t="s">
        <v>227</v>
      </c>
      <c r="AA160" s="16" t="s">
        <v>216</v>
      </c>
      <c r="AB160" s="16" t="s">
        <v>183</v>
      </c>
      <c r="AC160" s="16" t="s">
        <v>206</v>
      </c>
      <c r="AD160" s="16" t="s">
        <v>183</v>
      </c>
      <c r="AE160" s="16" t="s">
        <v>183</v>
      </c>
      <c r="AF160" s="5" t="s">
        <v>218</v>
      </c>
      <c r="AG160" s="5" t="s">
        <v>187</v>
      </c>
      <c r="AL160" s="2"/>
    </row>
    <row r="161" spans="1:38" x14ac:dyDescent="0.35">
      <c r="A161" s="2">
        <v>2</v>
      </c>
      <c r="B161" s="15">
        <v>0.44027777777777777</v>
      </c>
      <c r="C161" s="21" t="s">
        <v>130</v>
      </c>
      <c r="AF161" s="5" t="s">
        <v>188</v>
      </c>
      <c r="AG161" s="5" t="s">
        <v>199</v>
      </c>
      <c r="AH161" s="5" t="s">
        <v>182</v>
      </c>
      <c r="AI161" s="5" t="s">
        <v>215</v>
      </c>
      <c r="AJ161" s="5" t="s">
        <v>187</v>
      </c>
      <c r="AL161" s="2"/>
    </row>
    <row r="162" spans="1:38" x14ac:dyDescent="0.35">
      <c r="A162" s="7">
        <v>2</v>
      </c>
      <c r="B162" s="15">
        <v>0.43263888888888891</v>
      </c>
      <c r="C162" s="21" t="s">
        <v>130</v>
      </c>
      <c r="Y162" s="16" t="s">
        <v>184</v>
      </c>
      <c r="Z162" s="16" t="s">
        <v>227</v>
      </c>
      <c r="AA162" s="16" t="s">
        <v>218</v>
      </c>
      <c r="AB162" s="16" t="s">
        <v>183</v>
      </c>
      <c r="AC162" s="16" t="s">
        <v>169</v>
      </c>
      <c r="AD162" s="16" t="s">
        <v>183</v>
      </c>
      <c r="AE162" s="16" t="s">
        <v>183</v>
      </c>
      <c r="AL162" s="2"/>
    </row>
    <row r="163" spans="1:38" x14ac:dyDescent="0.35">
      <c r="A163" s="2">
        <v>2</v>
      </c>
      <c r="B163" s="15">
        <v>0.41944444444444445</v>
      </c>
      <c r="C163" s="21" t="s">
        <v>130</v>
      </c>
      <c r="AF163" s="5" t="s">
        <v>193</v>
      </c>
      <c r="AG163" s="5" t="s">
        <v>198</v>
      </c>
      <c r="AL163" s="2"/>
    </row>
    <row r="164" spans="1:38" x14ac:dyDescent="0.35">
      <c r="A164" s="7">
        <v>2</v>
      </c>
      <c r="B164" s="15">
        <v>0.41319444444444442</v>
      </c>
      <c r="C164" s="21" t="s">
        <v>130</v>
      </c>
      <c r="D164" s="1" t="s">
        <v>131</v>
      </c>
      <c r="E164" s="1">
        <v>63</v>
      </c>
      <c r="F164" s="1" t="s">
        <v>138</v>
      </c>
      <c r="N164" s="1" t="s">
        <v>139</v>
      </c>
      <c r="P164" s="1" t="s">
        <v>140</v>
      </c>
      <c r="Q164" s="1" t="s">
        <v>141</v>
      </c>
      <c r="U164" s="1">
        <v>2</v>
      </c>
      <c r="V164" s="1">
        <v>31</v>
      </c>
      <c r="W164" s="1">
        <v>20003</v>
      </c>
      <c r="X164" s="1">
        <v>45573</v>
      </c>
      <c r="AK164" s="7"/>
      <c r="AL164" s="7"/>
    </row>
    <row r="165" spans="1:38" x14ac:dyDescent="0.35">
      <c r="A165" s="7">
        <v>2</v>
      </c>
      <c r="B165" s="15">
        <v>0.40972222222222221</v>
      </c>
      <c r="C165" s="21" t="s">
        <v>130</v>
      </c>
      <c r="AF165" s="5" t="s">
        <v>204</v>
      </c>
      <c r="AG165" s="5" t="s">
        <v>196</v>
      </c>
      <c r="AH165" s="5" t="s">
        <v>229</v>
      </c>
      <c r="AL165" s="2"/>
    </row>
    <row r="166" spans="1:38" x14ac:dyDescent="0.35">
      <c r="A166" s="7">
        <v>2</v>
      </c>
      <c r="B166" s="14">
        <v>0.40625</v>
      </c>
      <c r="C166" s="21" t="s">
        <v>130</v>
      </c>
      <c r="D166" s="1" t="s">
        <v>131</v>
      </c>
      <c r="E166" s="1">
        <v>81</v>
      </c>
      <c r="F166" s="1" t="s">
        <v>132</v>
      </c>
      <c r="G166" s="1">
        <v>18</v>
      </c>
      <c r="J166" s="1" t="s">
        <v>144</v>
      </c>
      <c r="M166" s="1" t="s">
        <v>139</v>
      </c>
      <c r="N166" s="1" t="s">
        <v>139</v>
      </c>
      <c r="P166" s="1" t="s">
        <v>140</v>
      </c>
      <c r="Q166" s="1" t="s">
        <v>141</v>
      </c>
      <c r="U166" s="1">
        <v>2</v>
      </c>
      <c r="V166" s="1">
        <v>31</v>
      </c>
      <c r="W166" s="1">
        <v>20003</v>
      </c>
      <c r="X166" s="1">
        <v>45573</v>
      </c>
      <c r="AK166" s="7"/>
      <c r="AL166" s="7"/>
    </row>
    <row r="167" spans="1:38" x14ac:dyDescent="0.35">
      <c r="A167" s="2">
        <v>2</v>
      </c>
      <c r="B167" s="15">
        <v>0.39583333333333331</v>
      </c>
      <c r="C167" s="21" t="s">
        <v>130</v>
      </c>
      <c r="D167" s="1" t="s">
        <v>131</v>
      </c>
      <c r="E167" s="1">
        <v>22</v>
      </c>
      <c r="F167" s="1" t="s">
        <v>171</v>
      </c>
      <c r="G167" s="1">
        <v>18</v>
      </c>
      <c r="J167" s="1" t="s">
        <v>160</v>
      </c>
      <c r="N167" s="1" t="s">
        <v>134</v>
      </c>
      <c r="P167" s="1" t="s">
        <v>140</v>
      </c>
      <c r="Q167" s="1" t="s">
        <v>141</v>
      </c>
      <c r="U167" s="1">
        <v>2</v>
      </c>
      <c r="V167" s="1">
        <v>31</v>
      </c>
      <c r="W167" s="1">
        <v>20003</v>
      </c>
      <c r="X167" s="1">
        <v>45573</v>
      </c>
      <c r="AK167" s="7"/>
      <c r="AL167" s="7"/>
    </row>
    <row r="168" spans="1:38" x14ac:dyDescent="0.35">
      <c r="A168" s="7">
        <v>2</v>
      </c>
      <c r="B168" s="14">
        <v>0.39374999999999999</v>
      </c>
      <c r="C168" s="21" t="s">
        <v>130</v>
      </c>
      <c r="AF168" s="5" t="s">
        <v>193</v>
      </c>
      <c r="AG168" s="5" t="s">
        <v>199</v>
      </c>
      <c r="AH168" s="5" t="s">
        <v>183</v>
      </c>
      <c r="AI168" s="5" t="s">
        <v>189</v>
      </c>
      <c r="AJ168" s="5" t="s">
        <v>192</v>
      </c>
      <c r="AL168" s="2"/>
    </row>
    <row r="169" spans="1:38" x14ac:dyDescent="0.35">
      <c r="A169" s="7">
        <v>2</v>
      </c>
      <c r="B169" s="15">
        <v>0.38958333333333334</v>
      </c>
      <c r="C169" s="21" t="s">
        <v>130</v>
      </c>
      <c r="Y169" s="16" t="s">
        <v>184</v>
      </c>
      <c r="Z169" s="16" t="s">
        <v>193</v>
      </c>
      <c r="AA169" s="16" t="s">
        <v>224</v>
      </c>
      <c r="AB169" s="16" t="s">
        <v>183</v>
      </c>
      <c r="AC169" s="16" t="s">
        <v>206</v>
      </c>
      <c r="AD169" s="16" t="s">
        <v>183</v>
      </c>
      <c r="AE169" s="16" t="s">
        <v>183</v>
      </c>
      <c r="AL169" s="2"/>
    </row>
    <row r="170" spans="1:38" x14ac:dyDescent="0.35">
      <c r="A170" s="2">
        <v>2</v>
      </c>
      <c r="B170" s="15">
        <v>0.38541666666666669</v>
      </c>
      <c r="C170" s="21" t="s">
        <v>130</v>
      </c>
      <c r="AF170" s="5" t="s">
        <v>229</v>
      </c>
      <c r="AG170" s="5" t="s">
        <v>187</v>
      </c>
      <c r="AL170" s="2"/>
    </row>
    <row r="171" spans="1:38" x14ac:dyDescent="0.35">
      <c r="A171" s="7">
        <v>2</v>
      </c>
      <c r="B171" s="15">
        <v>0.37777777777777777</v>
      </c>
      <c r="C171" s="21" t="s">
        <v>130</v>
      </c>
      <c r="Y171" s="16" t="s">
        <v>181</v>
      </c>
      <c r="Z171" s="16" t="s">
        <v>205</v>
      </c>
      <c r="AA171" s="16" t="s">
        <v>183</v>
      </c>
      <c r="AB171" s="16" t="s">
        <v>183</v>
      </c>
      <c r="AC171" s="16" t="s">
        <v>206</v>
      </c>
      <c r="AD171" s="16" t="s">
        <v>183</v>
      </c>
      <c r="AE171" s="16" t="s">
        <v>183</v>
      </c>
      <c r="AF171" s="5" t="s">
        <v>221</v>
      </c>
      <c r="AG171" s="5" t="s">
        <v>196</v>
      </c>
      <c r="AH171" s="5" t="s">
        <v>205</v>
      </c>
      <c r="AL171" s="2"/>
    </row>
    <row r="172" spans="1:38" x14ac:dyDescent="0.35">
      <c r="A172" s="2">
        <v>2</v>
      </c>
      <c r="B172" s="15">
        <v>0.37361111111111112</v>
      </c>
      <c r="C172" s="21" t="s">
        <v>130</v>
      </c>
      <c r="AF172" s="5" t="s">
        <v>221</v>
      </c>
      <c r="AG172" s="5" t="s">
        <v>198</v>
      </c>
      <c r="AL172" s="2"/>
    </row>
    <row r="173" spans="1:38" x14ac:dyDescent="0.35">
      <c r="A173" s="7">
        <v>2</v>
      </c>
      <c r="B173" s="14">
        <v>0.36666666666666664</v>
      </c>
      <c r="C173" s="21" t="s">
        <v>130</v>
      </c>
      <c r="AF173" s="5" t="s">
        <v>208</v>
      </c>
      <c r="AG173" s="5" t="s">
        <v>209</v>
      </c>
      <c r="AH173" s="5" t="s">
        <v>213</v>
      </c>
      <c r="AL173" s="2"/>
    </row>
    <row r="174" spans="1:38" x14ac:dyDescent="0.35">
      <c r="A174" s="7">
        <v>2</v>
      </c>
      <c r="B174" s="14">
        <v>0.36180555555555555</v>
      </c>
      <c r="C174" s="21" t="s">
        <v>130</v>
      </c>
      <c r="AF174" s="5" t="s">
        <v>208</v>
      </c>
      <c r="AG174" s="5" t="s">
        <v>187</v>
      </c>
      <c r="AH174" s="5" t="s">
        <v>214</v>
      </c>
      <c r="AL174" s="2"/>
    </row>
    <row r="175" spans="1:38" x14ac:dyDescent="0.35">
      <c r="A175" s="2">
        <v>2</v>
      </c>
      <c r="B175" s="15">
        <v>0.35416666666666669</v>
      </c>
      <c r="C175" s="21" t="s">
        <v>130</v>
      </c>
      <c r="Y175" s="16" t="s">
        <v>184</v>
      </c>
      <c r="Z175" s="16" t="s">
        <v>214</v>
      </c>
      <c r="AA175" s="16" t="s">
        <v>208</v>
      </c>
      <c r="AB175" s="16" t="s">
        <v>134</v>
      </c>
      <c r="AC175" s="16" t="s">
        <v>206</v>
      </c>
      <c r="AD175" s="16" t="s">
        <v>183</v>
      </c>
      <c r="AE175" s="16" t="s">
        <v>134</v>
      </c>
      <c r="AL175" s="2"/>
    </row>
    <row r="176" spans="1:38" x14ac:dyDescent="0.35">
      <c r="A176" s="7">
        <v>2</v>
      </c>
      <c r="B176" s="15">
        <v>0.35208333333333336</v>
      </c>
      <c r="C176" s="21" t="s">
        <v>130</v>
      </c>
      <c r="D176" s="1" t="s">
        <v>142</v>
      </c>
      <c r="E176" s="1">
        <v>22</v>
      </c>
      <c r="F176" s="1" t="s">
        <v>138</v>
      </c>
      <c r="G176" s="1">
        <v>51</v>
      </c>
      <c r="J176" s="1" t="s">
        <v>159</v>
      </c>
      <c r="M176" s="1" t="s">
        <v>139</v>
      </c>
      <c r="N176" s="1" t="s">
        <v>139</v>
      </c>
      <c r="P176" s="1" t="s">
        <v>135</v>
      </c>
      <c r="Q176" s="1" t="s">
        <v>152</v>
      </c>
      <c r="R176" s="1" t="s">
        <v>167</v>
      </c>
      <c r="S176" s="1" t="s">
        <v>172</v>
      </c>
      <c r="U176" s="1">
        <v>2</v>
      </c>
      <c r="V176" s="1">
        <v>50</v>
      </c>
      <c r="W176" s="1">
        <v>20003</v>
      </c>
      <c r="X176" s="1">
        <v>45573</v>
      </c>
      <c r="AK176" s="7"/>
      <c r="AL176" s="7"/>
    </row>
    <row r="177" spans="1:38" x14ac:dyDescent="0.35">
      <c r="A177" s="2">
        <v>2</v>
      </c>
      <c r="B177" s="15">
        <v>0.35</v>
      </c>
      <c r="C177" s="21" t="s">
        <v>130</v>
      </c>
      <c r="AF177" s="5" t="s">
        <v>188</v>
      </c>
      <c r="AG177" s="5" t="s">
        <v>187</v>
      </c>
      <c r="AL177" s="2"/>
    </row>
    <row r="178" spans="1:38" x14ac:dyDescent="0.35">
      <c r="A178" s="7">
        <v>2</v>
      </c>
      <c r="B178" s="14">
        <v>0.33402777777777776</v>
      </c>
      <c r="C178" s="21" t="s">
        <v>130</v>
      </c>
      <c r="AF178" s="5" t="s">
        <v>201</v>
      </c>
      <c r="AG178" s="5" t="s">
        <v>199</v>
      </c>
      <c r="AH178" s="5" t="s">
        <v>183</v>
      </c>
      <c r="AI178" s="5" t="s">
        <v>197</v>
      </c>
      <c r="AJ178" s="5" t="s">
        <v>192</v>
      </c>
      <c r="AL178" s="2"/>
    </row>
    <row r="179" spans="1:38" x14ac:dyDescent="0.35">
      <c r="A179" s="2">
        <v>2</v>
      </c>
      <c r="B179" s="15">
        <v>0.32916666666666666</v>
      </c>
      <c r="C179" s="21" t="s">
        <v>130</v>
      </c>
      <c r="Y179" s="16" t="s">
        <v>184</v>
      </c>
      <c r="Z179" s="16" t="s">
        <v>188</v>
      </c>
      <c r="AA179" s="16" t="s">
        <v>204</v>
      </c>
      <c r="AB179" s="16" t="s">
        <v>183</v>
      </c>
      <c r="AC179" s="16" t="s">
        <v>206</v>
      </c>
      <c r="AD179" s="16" t="s">
        <v>183</v>
      </c>
      <c r="AE179" s="16" t="s">
        <v>183</v>
      </c>
      <c r="AL179" s="2"/>
    </row>
    <row r="180" spans="1:38" x14ac:dyDescent="0.35">
      <c r="A180" s="2">
        <v>2</v>
      </c>
      <c r="B180" s="15">
        <v>0.32430555555555557</v>
      </c>
      <c r="C180" s="21" t="s">
        <v>130</v>
      </c>
      <c r="D180" s="1" t="s">
        <v>131</v>
      </c>
      <c r="E180" s="1">
        <v>10</v>
      </c>
      <c r="F180" s="1" t="s">
        <v>138</v>
      </c>
      <c r="N180" s="1" t="s">
        <v>139</v>
      </c>
      <c r="P180" s="1" t="s">
        <v>161</v>
      </c>
      <c r="Q180" s="1" t="s">
        <v>141</v>
      </c>
      <c r="U180" s="1">
        <v>2</v>
      </c>
      <c r="V180" s="1">
        <v>31</v>
      </c>
      <c r="W180" s="1">
        <v>20003</v>
      </c>
      <c r="X180" s="1">
        <v>45573</v>
      </c>
      <c r="AK180" s="7"/>
      <c r="AL180" s="7"/>
    </row>
    <row r="181" spans="1:38" x14ac:dyDescent="0.35">
      <c r="A181" s="7">
        <v>2</v>
      </c>
      <c r="B181" s="15">
        <v>0.32083333333333336</v>
      </c>
      <c r="C181" s="21" t="s">
        <v>130</v>
      </c>
      <c r="AF181" s="5" t="s">
        <v>191</v>
      </c>
      <c r="AG181" s="5" t="s">
        <v>187</v>
      </c>
      <c r="AL181" s="2"/>
    </row>
    <row r="182" spans="1:38" x14ac:dyDescent="0.35">
      <c r="A182" s="2">
        <v>2</v>
      </c>
      <c r="B182" s="15">
        <v>0.3125</v>
      </c>
      <c r="C182" s="21" t="s">
        <v>130</v>
      </c>
      <c r="Y182" s="16" t="s">
        <v>181</v>
      </c>
      <c r="Z182" s="16" t="s">
        <v>202</v>
      </c>
      <c r="AA182" s="16" t="s">
        <v>210</v>
      </c>
      <c r="AB182" s="16" t="s">
        <v>183</v>
      </c>
      <c r="AC182" s="16" t="s">
        <v>169</v>
      </c>
      <c r="AD182" s="16" t="s">
        <v>183</v>
      </c>
      <c r="AE182" s="16" t="s">
        <v>183</v>
      </c>
      <c r="AF182" s="5" t="s">
        <v>182</v>
      </c>
      <c r="AG182" s="5" t="s">
        <v>192</v>
      </c>
      <c r="AL182" s="2"/>
    </row>
    <row r="183" spans="1:38" x14ac:dyDescent="0.35">
      <c r="A183" s="7">
        <v>2</v>
      </c>
      <c r="B183" s="14">
        <v>0.30486111111111114</v>
      </c>
      <c r="C183" s="21" t="s">
        <v>130</v>
      </c>
      <c r="Y183" s="16" t="s">
        <v>181</v>
      </c>
      <c r="Z183" s="16" t="s">
        <v>220</v>
      </c>
      <c r="AA183" s="16" t="s">
        <v>224</v>
      </c>
      <c r="AB183" s="16" t="s">
        <v>183</v>
      </c>
      <c r="AC183" s="16" t="s">
        <v>169</v>
      </c>
      <c r="AD183" s="16" t="s">
        <v>183</v>
      </c>
      <c r="AE183" s="16" t="s">
        <v>183</v>
      </c>
      <c r="AF183" s="5" t="s">
        <v>212</v>
      </c>
      <c r="AG183" s="5" t="s">
        <v>203</v>
      </c>
      <c r="AL183" s="2"/>
    </row>
    <row r="184" spans="1:38" x14ac:dyDescent="0.35">
      <c r="A184" s="7">
        <v>2</v>
      </c>
      <c r="B184" s="14">
        <v>0.29444444444444445</v>
      </c>
      <c r="C184" s="21" t="s">
        <v>130</v>
      </c>
      <c r="D184" s="1" t="s">
        <v>131</v>
      </c>
      <c r="E184" s="1">
        <v>25</v>
      </c>
      <c r="F184" s="1" t="s">
        <v>138</v>
      </c>
      <c r="N184" s="1" t="s">
        <v>139</v>
      </c>
      <c r="P184" s="1" t="s">
        <v>135</v>
      </c>
      <c r="Q184" s="1" t="s">
        <v>136</v>
      </c>
      <c r="R184" s="1" t="s">
        <v>137</v>
      </c>
      <c r="U184" s="1">
        <v>2</v>
      </c>
      <c r="V184" s="1">
        <v>31</v>
      </c>
      <c r="W184" s="1">
        <v>20003</v>
      </c>
      <c r="X184" s="1">
        <v>45573</v>
      </c>
      <c r="AK184" s="7"/>
      <c r="AL184" s="7"/>
    </row>
    <row r="185" spans="1:38" x14ac:dyDescent="0.35">
      <c r="A185" s="2">
        <v>2</v>
      </c>
      <c r="B185" s="15">
        <v>0.29444444444444445</v>
      </c>
      <c r="C185" s="21" t="s">
        <v>130</v>
      </c>
      <c r="Y185" s="16" t="s">
        <v>184</v>
      </c>
      <c r="Z185" s="16" t="s">
        <v>212</v>
      </c>
      <c r="AA185" s="16" t="s">
        <v>210</v>
      </c>
      <c r="AB185" s="16" t="s">
        <v>183</v>
      </c>
      <c r="AC185" s="16" t="s">
        <v>169</v>
      </c>
      <c r="AD185" s="16" t="s">
        <v>183</v>
      </c>
      <c r="AE185" s="16" t="s">
        <v>183</v>
      </c>
    </row>
    <row r="186" spans="1:38" x14ac:dyDescent="0.35">
      <c r="A186" s="7">
        <v>2</v>
      </c>
      <c r="B186" s="15">
        <v>0.28125</v>
      </c>
      <c r="C186" s="21" t="s">
        <v>130</v>
      </c>
      <c r="D186" s="1" t="s">
        <v>131</v>
      </c>
      <c r="E186" s="1">
        <v>22</v>
      </c>
      <c r="F186" s="1" t="s">
        <v>138</v>
      </c>
      <c r="G186" s="1">
        <v>55</v>
      </c>
      <c r="H186" s="1">
        <v>25</v>
      </c>
      <c r="J186" s="1" t="s">
        <v>144</v>
      </c>
      <c r="K186" s="1" t="s">
        <v>173</v>
      </c>
      <c r="N186" s="1" t="s">
        <v>139</v>
      </c>
      <c r="O186" s="1" t="s">
        <v>139</v>
      </c>
      <c r="P186" s="1" t="s">
        <v>161</v>
      </c>
      <c r="Q186" s="1" t="s">
        <v>141</v>
      </c>
      <c r="U186" s="1">
        <v>2</v>
      </c>
      <c r="V186" s="1">
        <v>31</v>
      </c>
      <c r="W186" s="1">
        <v>20003</v>
      </c>
      <c r="X186" s="1">
        <v>45573</v>
      </c>
      <c r="AK186" s="7"/>
      <c r="AL186" s="23"/>
    </row>
    <row r="187" spans="1:38" x14ac:dyDescent="0.35">
      <c r="A187" s="7">
        <v>2</v>
      </c>
      <c r="B187" s="15">
        <v>0.26527777777777778</v>
      </c>
      <c r="C187" s="21" t="s">
        <v>174</v>
      </c>
      <c r="Y187" s="16" t="s">
        <v>184</v>
      </c>
      <c r="Z187" s="16" t="s">
        <v>212</v>
      </c>
      <c r="AA187" s="16" t="s">
        <v>183</v>
      </c>
      <c r="AB187" s="16" t="s">
        <v>183</v>
      </c>
      <c r="AC187" s="16" t="s">
        <v>169</v>
      </c>
      <c r="AD187" s="16" t="s">
        <v>183</v>
      </c>
      <c r="AE187" s="16" t="s">
        <v>134</v>
      </c>
    </row>
    <row r="188" spans="1:38" x14ac:dyDescent="0.35">
      <c r="A188" s="2">
        <v>2</v>
      </c>
      <c r="B188" s="15">
        <v>0.26180555555555557</v>
      </c>
      <c r="C188" s="21" t="s">
        <v>174</v>
      </c>
      <c r="D188" s="1" t="s">
        <v>131</v>
      </c>
      <c r="E188" s="1">
        <v>25</v>
      </c>
      <c r="F188" s="1" t="s">
        <v>175</v>
      </c>
      <c r="G188" s="1">
        <v>18</v>
      </c>
      <c r="H188" s="1">
        <v>72</v>
      </c>
      <c r="J188" s="1" t="s">
        <v>176</v>
      </c>
      <c r="K188" s="1" t="s">
        <v>158</v>
      </c>
      <c r="M188" s="1" t="s">
        <v>139</v>
      </c>
      <c r="N188" s="1" t="s">
        <v>139</v>
      </c>
      <c r="P188" s="1" t="s">
        <v>135</v>
      </c>
      <c r="Q188" s="1" t="s">
        <v>136</v>
      </c>
      <c r="S188" s="1" t="s">
        <v>177</v>
      </c>
      <c r="T188" s="1" t="s">
        <v>139</v>
      </c>
      <c r="U188" s="1">
        <v>2</v>
      </c>
      <c r="V188" s="1">
        <v>31</v>
      </c>
      <c r="W188" s="1">
        <v>20003</v>
      </c>
      <c r="X188" s="1">
        <v>45573</v>
      </c>
      <c r="AK188" s="7"/>
      <c r="AL188" s="23"/>
    </row>
    <row r="189" spans="1:38" x14ac:dyDescent="0.35">
      <c r="A189" s="7">
        <v>2</v>
      </c>
      <c r="B189" s="14">
        <v>0.25972222222222224</v>
      </c>
      <c r="C189" s="21" t="s">
        <v>130</v>
      </c>
      <c r="Y189" s="16" t="s">
        <v>181</v>
      </c>
      <c r="Z189" s="16" t="s">
        <v>215</v>
      </c>
      <c r="AA189" s="16" t="s">
        <v>183</v>
      </c>
      <c r="AB189" s="16" t="s">
        <v>183</v>
      </c>
      <c r="AC189" s="16" t="s">
        <v>206</v>
      </c>
      <c r="AD189" s="16" t="s">
        <v>183</v>
      </c>
      <c r="AE189" s="16" t="s">
        <v>134</v>
      </c>
      <c r="AF189" s="5" t="s">
        <v>230</v>
      </c>
      <c r="AG189" s="5" t="s">
        <v>199</v>
      </c>
      <c r="AH189" s="5" t="s">
        <v>215</v>
      </c>
      <c r="AI189" s="5" t="s">
        <v>216</v>
      </c>
      <c r="AJ189" s="5" t="s">
        <v>198</v>
      </c>
    </row>
    <row r="190" spans="1:38" x14ac:dyDescent="0.35">
      <c r="A190" s="7">
        <v>2</v>
      </c>
      <c r="B190" s="14">
        <v>0.25277777777777777</v>
      </c>
      <c r="C190" s="21" t="s">
        <v>130</v>
      </c>
      <c r="D190" s="1" t="s">
        <v>131</v>
      </c>
      <c r="E190" s="1">
        <v>10</v>
      </c>
      <c r="F190" s="1" t="s">
        <v>132</v>
      </c>
      <c r="G190" s="1">
        <v>71</v>
      </c>
      <c r="J190" s="1" t="s">
        <v>159</v>
      </c>
      <c r="M190" s="1" t="s">
        <v>139</v>
      </c>
      <c r="N190" s="1" t="s">
        <v>139</v>
      </c>
      <c r="P190" s="1" t="s">
        <v>140</v>
      </c>
      <c r="Q190" s="1" t="s">
        <v>141</v>
      </c>
      <c r="U190" s="1">
        <v>1</v>
      </c>
      <c r="V190" s="1">
        <v>31</v>
      </c>
      <c r="W190" s="1">
        <v>20003</v>
      </c>
      <c r="X190" s="1">
        <v>45573</v>
      </c>
      <c r="AK190" s="7"/>
      <c r="AL190" s="23"/>
    </row>
    <row r="191" spans="1:38" x14ac:dyDescent="0.35">
      <c r="A191" s="7">
        <v>2</v>
      </c>
      <c r="B191" s="15">
        <v>0.24722222222222223</v>
      </c>
      <c r="C191" s="21" t="s">
        <v>130</v>
      </c>
      <c r="D191" s="1" t="s">
        <v>131</v>
      </c>
      <c r="E191" s="1">
        <v>55</v>
      </c>
      <c r="F191" s="1" t="s">
        <v>147</v>
      </c>
      <c r="G191" s="1">
        <v>42</v>
      </c>
      <c r="J191" s="1" t="s">
        <v>160</v>
      </c>
      <c r="P191" s="1" t="s">
        <v>140</v>
      </c>
      <c r="Q191" s="1" t="s">
        <v>141</v>
      </c>
      <c r="U191" s="1">
        <v>1</v>
      </c>
      <c r="V191" s="1">
        <v>31</v>
      </c>
      <c r="W191" s="1">
        <v>20003</v>
      </c>
      <c r="X191" s="1">
        <v>45573</v>
      </c>
      <c r="AK191" s="7"/>
      <c r="AL191" s="23"/>
    </row>
    <row r="192" spans="1:38" x14ac:dyDescent="0.35">
      <c r="A192" s="2">
        <v>2</v>
      </c>
      <c r="B192" s="15">
        <v>0.23680555555555555</v>
      </c>
      <c r="C192" s="21" t="s">
        <v>130</v>
      </c>
      <c r="AF192" s="5" t="s">
        <v>205</v>
      </c>
      <c r="AG192" s="5" t="s">
        <v>199</v>
      </c>
      <c r="AH192" s="5" t="s">
        <v>183</v>
      </c>
      <c r="AI192" s="5" t="s">
        <v>213</v>
      </c>
      <c r="AJ192" s="5" t="s">
        <v>192</v>
      </c>
    </row>
    <row r="193" spans="1:38" x14ac:dyDescent="0.35">
      <c r="A193" s="7">
        <v>2</v>
      </c>
      <c r="B193" s="15">
        <v>0.2326388888888889</v>
      </c>
      <c r="C193" s="21" t="s">
        <v>130</v>
      </c>
      <c r="Y193" s="16" t="s">
        <v>181</v>
      </c>
      <c r="Z193" s="16" t="s">
        <v>216</v>
      </c>
      <c r="AA193" s="16" t="s">
        <v>183</v>
      </c>
      <c r="AB193" s="16" t="s">
        <v>183</v>
      </c>
      <c r="AC193" s="16" t="s">
        <v>184</v>
      </c>
      <c r="AD193" s="16" t="s">
        <v>183</v>
      </c>
      <c r="AE193" s="16" t="s">
        <v>183</v>
      </c>
      <c r="AF193" s="5" t="s">
        <v>207</v>
      </c>
      <c r="AG193" s="5" t="s">
        <v>199</v>
      </c>
      <c r="AH193" s="5" t="s">
        <v>183</v>
      </c>
      <c r="AI193" s="5" t="s">
        <v>208</v>
      </c>
      <c r="AJ193" s="5" t="s">
        <v>203</v>
      </c>
    </row>
    <row r="194" spans="1:38" x14ac:dyDescent="0.35">
      <c r="A194" s="2">
        <v>2</v>
      </c>
      <c r="B194" s="15">
        <v>0.22500000000000001</v>
      </c>
      <c r="C194" s="21" t="s">
        <v>130</v>
      </c>
      <c r="Y194" s="16" t="s">
        <v>181</v>
      </c>
      <c r="Z194" s="16" t="s">
        <v>208</v>
      </c>
      <c r="AA194" s="16" t="s">
        <v>183</v>
      </c>
      <c r="AB194" s="16" t="s">
        <v>183</v>
      </c>
      <c r="AC194" s="16" t="s">
        <v>184</v>
      </c>
      <c r="AD194" s="16" t="s">
        <v>183</v>
      </c>
      <c r="AE194" s="16" t="s">
        <v>183</v>
      </c>
      <c r="AF194" s="5" t="s">
        <v>210</v>
      </c>
      <c r="AG194" s="5" t="s">
        <v>196</v>
      </c>
      <c r="AH194" s="5" t="s">
        <v>186</v>
      </c>
    </row>
    <row r="195" spans="1:38" x14ac:dyDescent="0.35">
      <c r="A195" s="7">
        <v>2</v>
      </c>
      <c r="B195" s="15">
        <v>0.21875</v>
      </c>
      <c r="C195" s="21" t="s">
        <v>130</v>
      </c>
      <c r="AF195" s="5" t="s">
        <v>210</v>
      </c>
      <c r="AG195" s="5" t="s">
        <v>187</v>
      </c>
      <c r="AH195" s="5" t="s">
        <v>186</v>
      </c>
    </row>
    <row r="196" spans="1:38" x14ac:dyDescent="0.35">
      <c r="A196" s="7">
        <v>2</v>
      </c>
      <c r="B196" s="14">
        <v>0.20902777777777778</v>
      </c>
      <c r="C196" s="21" t="s">
        <v>130</v>
      </c>
      <c r="Y196" s="16" t="s">
        <v>181</v>
      </c>
      <c r="Z196" s="16" t="s">
        <v>182</v>
      </c>
      <c r="AA196" s="16" t="s">
        <v>183</v>
      </c>
      <c r="AB196" s="16" t="s">
        <v>183</v>
      </c>
      <c r="AC196" s="16" t="s">
        <v>206</v>
      </c>
      <c r="AD196" s="16" t="s">
        <v>183</v>
      </c>
      <c r="AE196" s="16" t="s">
        <v>183</v>
      </c>
      <c r="AF196" s="5" t="s">
        <v>197</v>
      </c>
      <c r="AG196" s="5" t="s">
        <v>199</v>
      </c>
      <c r="AH196" s="5" t="s">
        <v>183</v>
      </c>
      <c r="AI196" s="5" t="s">
        <v>188</v>
      </c>
      <c r="AJ196" s="5" t="s">
        <v>187</v>
      </c>
    </row>
    <row r="197" spans="1:38" x14ac:dyDescent="0.35">
      <c r="A197" s="2">
        <v>2</v>
      </c>
      <c r="B197" s="15">
        <v>0.20208333333333334</v>
      </c>
      <c r="C197" s="21" t="s">
        <v>130</v>
      </c>
      <c r="Y197" s="16" t="s">
        <v>184</v>
      </c>
      <c r="Z197" s="16" t="s">
        <v>225</v>
      </c>
      <c r="AA197" s="16" t="s">
        <v>183</v>
      </c>
      <c r="AB197" s="16" t="s">
        <v>183</v>
      </c>
      <c r="AC197" s="16" t="s">
        <v>184</v>
      </c>
      <c r="AD197" s="16" t="s">
        <v>183</v>
      </c>
      <c r="AE197" s="16" t="s">
        <v>183</v>
      </c>
    </row>
    <row r="198" spans="1:38" x14ac:dyDescent="0.35">
      <c r="A198" s="7">
        <v>2</v>
      </c>
      <c r="B198" s="15">
        <v>0.19583333333333333</v>
      </c>
      <c r="C198" s="21" t="s">
        <v>130</v>
      </c>
      <c r="D198" s="1" t="s">
        <v>131</v>
      </c>
      <c r="E198" s="1">
        <v>6</v>
      </c>
      <c r="F198" s="1" t="s">
        <v>138</v>
      </c>
      <c r="G198" s="1">
        <v>72</v>
      </c>
      <c r="H198" s="1">
        <v>81</v>
      </c>
      <c r="J198" s="1" t="s">
        <v>157</v>
      </c>
      <c r="K198" s="1" t="s">
        <v>163</v>
      </c>
      <c r="N198" s="1" t="s">
        <v>139</v>
      </c>
      <c r="O198" s="1" t="s">
        <v>139</v>
      </c>
      <c r="P198" s="1" t="s">
        <v>161</v>
      </c>
      <c r="Q198" s="1" t="s">
        <v>141</v>
      </c>
      <c r="T198" s="1" t="s">
        <v>139</v>
      </c>
      <c r="U198" s="1">
        <v>1</v>
      </c>
      <c r="V198" s="1">
        <v>31</v>
      </c>
      <c r="W198" s="1">
        <v>20003</v>
      </c>
      <c r="X198" s="1">
        <v>45573</v>
      </c>
      <c r="AK198" s="7"/>
      <c r="AL198" s="23"/>
    </row>
    <row r="199" spans="1:38" x14ac:dyDescent="0.35">
      <c r="A199" s="7">
        <v>2</v>
      </c>
      <c r="B199" s="15">
        <v>0.19027777777777777</v>
      </c>
      <c r="C199" s="21" t="s">
        <v>130</v>
      </c>
      <c r="Y199" s="16" t="s">
        <v>194</v>
      </c>
      <c r="Z199" s="16" t="s">
        <v>142</v>
      </c>
    </row>
    <row r="200" spans="1:38" x14ac:dyDescent="0.35">
      <c r="A200" s="2">
        <v>2</v>
      </c>
      <c r="B200" s="15">
        <v>0.18819444444444444</v>
      </c>
      <c r="C200" s="21" t="s">
        <v>130</v>
      </c>
      <c r="D200" s="1" t="s">
        <v>142</v>
      </c>
      <c r="E200" s="1">
        <v>41</v>
      </c>
      <c r="F200" s="1" t="s">
        <v>138</v>
      </c>
      <c r="G200" s="1">
        <v>95</v>
      </c>
      <c r="J200" s="1" t="s">
        <v>144</v>
      </c>
      <c r="N200" s="1" t="s">
        <v>139</v>
      </c>
      <c r="P200" s="1" t="s">
        <v>140</v>
      </c>
      <c r="Q200" s="1" t="s">
        <v>141</v>
      </c>
      <c r="U200" s="1">
        <v>0</v>
      </c>
      <c r="V200" s="1">
        <v>50</v>
      </c>
      <c r="W200" s="1">
        <v>20003</v>
      </c>
      <c r="X200" s="1">
        <v>45573</v>
      </c>
      <c r="AK200" s="7"/>
      <c r="AL200" s="23"/>
    </row>
    <row r="201" spans="1:38" x14ac:dyDescent="0.35">
      <c r="A201" s="2">
        <v>2</v>
      </c>
      <c r="B201" s="15">
        <v>0.18472222222222223</v>
      </c>
      <c r="C201" s="21" t="s">
        <v>130</v>
      </c>
      <c r="Y201" s="16" t="s">
        <v>184</v>
      </c>
      <c r="Z201" s="16" t="s">
        <v>195</v>
      </c>
      <c r="AA201" s="16" t="s">
        <v>218</v>
      </c>
      <c r="AB201" s="16" t="s">
        <v>134</v>
      </c>
      <c r="AC201" s="16" t="s">
        <v>184</v>
      </c>
      <c r="AD201" s="16" t="s">
        <v>183</v>
      </c>
      <c r="AE201" s="16" t="s">
        <v>134</v>
      </c>
    </row>
    <row r="202" spans="1:38" x14ac:dyDescent="0.35">
      <c r="A202" s="7">
        <v>2</v>
      </c>
      <c r="B202" s="14">
        <v>0.18194444444444444</v>
      </c>
      <c r="C202" s="21" t="s">
        <v>130</v>
      </c>
      <c r="D202" s="1" t="s">
        <v>131</v>
      </c>
      <c r="E202" s="1">
        <v>25</v>
      </c>
      <c r="F202" s="1" t="s">
        <v>132</v>
      </c>
      <c r="G202" s="1">
        <v>9</v>
      </c>
      <c r="J202" s="1" t="s">
        <v>178</v>
      </c>
      <c r="M202" s="1" t="s">
        <v>134</v>
      </c>
      <c r="N202" s="1" t="s">
        <v>134</v>
      </c>
      <c r="P202" s="1" t="s">
        <v>135</v>
      </c>
      <c r="Q202" s="1" t="s">
        <v>136</v>
      </c>
      <c r="R202" s="1" t="s">
        <v>170</v>
      </c>
      <c r="S202" s="1" t="s">
        <v>177</v>
      </c>
      <c r="T202" s="1" t="s">
        <v>139</v>
      </c>
      <c r="U202" s="1">
        <v>0</v>
      </c>
      <c r="V202" s="1">
        <v>31</v>
      </c>
      <c r="W202" s="1">
        <v>20003</v>
      </c>
      <c r="X202" s="1">
        <v>45573</v>
      </c>
      <c r="AK202" s="7"/>
      <c r="AL202" s="23"/>
    </row>
    <row r="203" spans="1:38" x14ac:dyDescent="0.35">
      <c r="A203" s="2">
        <v>2</v>
      </c>
      <c r="B203" s="15">
        <v>0.1763888888888889</v>
      </c>
      <c r="C203" s="21" t="s">
        <v>130</v>
      </c>
      <c r="AF203" s="5" t="s">
        <v>228</v>
      </c>
      <c r="AG203" s="5" t="s">
        <v>199</v>
      </c>
      <c r="AH203" s="5" t="s">
        <v>183</v>
      </c>
      <c r="AI203" s="5" t="s">
        <v>222</v>
      </c>
      <c r="AJ203" s="5" t="s">
        <v>209</v>
      </c>
    </row>
    <row r="204" spans="1:38" x14ac:dyDescent="0.35">
      <c r="A204" s="2">
        <v>2</v>
      </c>
      <c r="B204" s="15">
        <v>0.1673611111111111</v>
      </c>
      <c r="C204" s="21" t="s">
        <v>130</v>
      </c>
      <c r="Y204" s="16" t="s">
        <v>181</v>
      </c>
      <c r="Z204" s="16" t="s">
        <v>202</v>
      </c>
      <c r="AA204" s="16" t="s">
        <v>228</v>
      </c>
      <c r="AB204" s="16" t="s">
        <v>183</v>
      </c>
      <c r="AC204" s="16" t="s">
        <v>169</v>
      </c>
      <c r="AD204" s="16" t="s">
        <v>183</v>
      </c>
      <c r="AE204" s="16" t="s">
        <v>183</v>
      </c>
      <c r="AF204" s="5" t="s">
        <v>204</v>
      </c>
      <c r="AG204" s="5" t="s">
        <v>196</v>
      </c>
      <c r="AH204" s="5" t="s">
        <v>215</v>
      </c>
    </row>
    <row r="205" spans="1:38" x14ac:dyDescent="0.35">
      <c r="A205" s="7">
        <v>2</v>
      </c>
      <c r="B205" s="15">
        <v>0.1423611111111111</v>
      </c>
      <c r="C205" s="21" t="s">
        <v>130</v>
      </c>
      <c r="AF205" s="5" t="s">
        <v>222</v>
      </c>
      <c r="AG205" s="5" t="s">
        <v>198</v>
      </c>
    </row>
    <row r="206" spans="1:38" x14ac:dyDescent="0.35">
      <c r="A206" s="7">
        <v>2</v>
      </c>
      <c r="B206" s="15">
        <v>0.13194444444444445</v>
      </c>
      <c r="C206" s="21" t="s">
        <v>130</v>
      </c>
      <c r="Y206" s="16" t="s">
        <v>181</v>
      </c>
      <c r="Z206" s="16" t="s">
        <v>202</v>
      </c>
      <c r="AA206" s="16" t="s">
        <v>228</v>
      </c>
      <c r="AB206" s="16" t="s">
        <v>183</v>
      </c>
      <c r="AC206" s="16" t="s">
        <v>169</v>
      </c>
      <c r="AD206" s="16" t="s">
        <v>183</v>
      </c>
      <c r="AE206" s="16" t="s">
        <v>183</v>
      </c>
      <c r="AF206" s="5" t="s">
        <v>220</v>
      </c>
      <c r="AG206" s="5" t="s">
        <v>192</v>
      </c>
    </row>
    <row r="207" spans="1:38" x14ac:dyDescent="0.35">
      <c r="A207" s="2">
        <v>2</v>
      </c>
      <c r="B207" s="15">
        <v>0.12569444444444444</v>
      </c>
      <c r="C207" s="21" t="s">
        <v>130</v>
      </c>
      <c r="Y207" s="16" t="s">
        <v>181</v>
      </c>
      <c r="Z207" s="16" t="s">
        <v>228</v>
      </c>
      <c r="AA207" s="16" t="s">
        <v>183</v>
      </c>
      <c r="AB207" s="16" t="s">
        <v>183</v>
      </c>
      <c r="AC207" s="16" t="s">
        <v>206</v>
      </c>
      <c r="AD207" s="16" t="s">
        <v>183</v>
      </c>
      <c r="AE207" s="16" t="s">
        <v>183</v>
      </c>
      <c r="AF207" s="5" t="s">
        <v>207</v>
      </c>
      <c r="AG207" s="5" t="s">
        <v>198</v>
      </c>
    </row>
    <row r="208" spans="1:38" x14ac:dyDescent="0.35">
      <c r="A208" s="2">
        <v>2</v>
      </c>
      <c r="B208" s="15">
        <v>0.11388888888888889</v>
      </c>
      <c r="C208" s="21" t="s">
        <v>130</v>
      </c>
      <c r="AF208" s="5" t="s">
        <v>197</v>
      </c>
      <c r="AG208" s="5" t="s">
        <v>198</v>
      </c>
    </row>
    <row r="209" spans="1:38" x14ac:dyDescent="0.35">
      <c r="A209" s="7">
        <v>2</v>
      </c>
      <c r="B209" s="14">
        <v>0.1125</v>
      </c>
      <c r="C209" s="21" t="s">
        <v>130</v>
      </c>
      <c r="D209" s="1" t="s">
        <v>131</v>
      </c>
      <c r="E209" s="1">
        <v>19</v>
      </c>
      <c r="F209" s="1" t="s">
        <v>138</v>
      </c>
      <c r="N209" s="1" t="s">
        <v>139</v>
      </c>
      <c r="P209" s="1" t="s">
        <v>140</v>
      </c>
      <c r="Q209" s="1" t="s">
        <v>141</v>
      </c>
      <c r="U209" s="1">
        <v>-1</v>
      </c>
      <c r="V209" s="1">
        <v>31</v>
      </c>
      <c r="W209" s="1">
        <v>20003</v>
      </c>
      <c r="X209" s="1">
        <v>45573</v>
      </c>
      <c r="AK209" s="7"/>
      <c r="AL209" s="23"/>
    </row>
    <row r="210" spans="1:38" x14ac:dyDescent="0.35">
      <c r="A210" s="2">
        <v>2</v>
      </c>
      <c r="B210" s="15">
        <v>0.10902777777777778</v>
      </c>
      <c r="C210" s="21" t="s">
        <v>130</v>
      </c>
      <c r="AF210" s="5" t="s">
        <v>188</v>
      </c>
      <c r="AG210" s="5" t="s">
        <v>192</v>
      </c>
    </row>
    <row r="211" spans="1:38" x14ac:dyDescent="0.35">
      <c r="A211" s="7">
        <v>2</v>
      </c>
      <c r="B211" s="15">
        <v>0.1076388888888889</v>
      </c>
      <c r="C211" s="21" t="s">
        <v>130</v>
      </c>
      <c r="Y211" s="16" t="s">
        <v>184</v>
      </c>
      <c r="Z211" s="16" t="s">
        <v>186</v>
      </c>
      <c r="AA211" s="16" t="s">
        <v>211</v>
      </c>
      <c r="AB211" s="16" t="s">
        <v>183</v>
      </c>
      <c r="AC211" s="16" t="s">
        <v>206</v>
      </c>
      <c r="AD211" s="16" t="s">
        <v>183</v>
      </c>
      <c r="AE211" s="16" t="s">
        <v>183</v>
      </c>
    </row>
    <row r="212" spans="1:38" x14ac:dyDescent="0.35">
      <c r="A212" s="2">
        <v>2</v>
      </c>
      <c r="B212" s="15">
        <v>9.8611111111111108E-2</v>
      </c>
      <c r="C212" s="21" t="s">
        <v>130</v>
      </c>
      <c r="AF212" s="5" t="s">
        <v>185</v>
      </c>
      <c r="AG212" s="5" t="s">
        <v>192</v>
      </c>
    </row>
    <row r="213" spans="1:38" x14ac:dyDescent="0.35">
      <c r="A213" s="2">
        <v>2</v>
      </c>
      <c r="B213" s="15">
        <v>9.7916666666666666E-2</v>
      </c>
      <c r="C213" s="21" t="s">
        <v>130</v>
      </c>
      <c r="Y213" s="16" t="s">
        <v>184</v>
      </c>
      <c r="Z213" s="16" t="s">
        <v>220</v>
      </c>
      <c r="AA213" s="16" t="s">
        <v>188</v>
      </c>
      <c r="AB213" s="16" t="s">
        <v>183</v>
      </c>
      <c r="AC213" s="16" t="s">
        <v>206</v>
      </c>
      <c r="AD213" s="16" t="s">
        <v>183</v>
      </c>
      <c r="AE213" s="16" t="s">
        <v>183</v>
      </c>
    </row>
    <row r="214" spans="1:38" x14ac:dyDescent="0.35">
      <c r="A214" s="7">
        <v>2</v>
      </c>
      <c r="B214" s="15">
        <v>9.3055555555555558E-2</v>
      </c>
      <c r="C214" s="21" t="s">
        <v>130</v>
      </c>
      <c r="AF214" s="5" t="s">
        <v>225</v>
      </c>
      <c r="AG214" s="5" t="s">
        <v>192</v>
      </c>
    </row>
    <row r="215" spans="1:38" x14ac:dyDescent="0.35">
      <c r="A215" s="2">
        <v>2</v>
      </c>
      <c r="B215" s="15">
        <v>9.166666666666666E-2</v>
      </c>
      <c r="C215" s="21" t="s">
        <v>130</v>
      </c>
      <c r="Y215" s="16" t="s">
        <v>184</v>
      </c>
      <c r="Z215" s="16" t="s">
        <v>229</v>
      </c>
      <c r="AA215" s="16" t="s">
        <v>210</v>
      </c>
      <c r="AB215" s="16" t="s">
        <v>183</v>
      </c>
      <c r="AC215" s="16" t="s">
        <v>169</v>
      </c>
      <c r="AD215" s="16" t="s">
        <v>183</v>
      </c>
      <c r="AE215" s="16" t="s">
        <v>183</v>
      </c>
      <c r="AF215" s="5" t="s">
        <v>185</v>
      </c>
      <c r="AG215" s="5" t="s">
        <v>203</v>
      </c>
    </row>
    <row r="216" spans="1:38" x14ac:dyDescent="0.35">
      <c r="A216" s="7">
        <v>2</v>
      </c>
      <c r="B216" s="15">
        <v>8.611111111111111E-2</v>
      </c>
      <c r="C216" s="21" t="s">
        <v>130</v>
      </c>
      <c r="Y216" s="16" t="s">
        <v>181</v>
      </c>
      <c r="Z216" s="16" t="s">
        <v>182</v>
      </c>
      <c r="AA216" s="16" t="s">
        <v>224</v>
      </c>
      <c r="AB216" s="16" t="s">
        <v>183</v>
      </c>
      <c r="AC216" s="16" t="s">
        <v>206</v>
      </c>
      <c r="AD216" s="16" t="s">
        <v>183</v>
      </c>
      <c r="AE216" s="16" t="s">
        <v>183</v>
      </c>
      <c r="AF216" s="5" t="s">
        <v>221</v>
      </c>
      <c r="AG216" s="5" t="s">
        <v>199</v>
      </c>
      <c r="AH216" s="5" t="s">
        <v>183</v>
      </c>
      <c r="AI216" s="5" t="s">
        <v>229</v>
      </c>
      <c r="AJ216" s="5" t="s">
        <v>192</v>
      </c>
    </row>
    <row r="217" spans="1:38" x14ac:dyDescent="0.35">
      <c r="A217" s="7">
        <v>2</v>
      </c>
      <c r="B217" s="15">
        <v>7.8472222222222221E-2</v>
      </c>
      <c r="C217" s="21" t="s">
        <v>130</v>
      </c>
      <c r="Y217" s="16" t="s">
        <v>181</v>
      </c>
      <c r="Z217" s="16" t="s">
        <v>225</v>
      </c>
      <c r="AA217" s="16" t="s">
        <v>216</v>
      </c>
      <c r="AB217" s="16" t="s">
        <v>183</v>
      </c>
      <c r="AC217" s="16" t="s">
        <v>206</v>
      </c>
      <c r="AD217" s="16" t="s">
        <v>183</v>
      </c>
      <c r="AE217" s="16" t="s">
        <v>183</v>
      </c>
      <c r="AF217" s="5" t="s">
        <v>218</v>
      </c>
      <c r="AG217" s="5" t="s">
        <v>199</v>
      </c>
      <c r="AH217" s="5" t="s">
        <v>183</v>
      </c>
      <c r="AI217" s="5" t="s">
        <v>214</v>
      </c>
      <c r="AJ217" s="5" t="s">
        <v>187</v>
      </c>
    </row>
    <row r="218" spans="1:38" x14ac:dyDescent="0.35">
      <c r="A218" s="7">
        <v>2</v>
      </c>
      <c r="B218" s="14">
        <v>6.9444444444444448E-2</v>
      </c>
      <c r="C218" s="21" t="s">
        <v>130</v>
      </c>
      <c r="Y218" s="16" t="s">
        <v>181</v>
      </c>
      <c r="Z218" s="16" t="s">
        <v>205</v>
      </c>
      <c r="AA218" s="16" t="s">
        <v>224</v>
      </c>
      <c r="AB218" s="16" t="s">
        <v>183</v>
      </c>
      <c r="AC218" s="16" t="s">
        <v>206</v>
      </c>
      <c r="AD218" s="16" t="s">
        <v>183</v>
      </c>
      <c r="AE218" s="16" t="s">
        <v>183</v>
      </c>
      <c r="AF218" s="5" t="s">
        <v>221</v>
      </c>
      <c r="AG218" s="5" t="s">
        <v>199</v>
      </c>
      <c r="AH218" s="5" t="s">
        <v>183</v>
      </c>
      <c r="AI218" s="5" t="s">
        <v>219</v>
      </c>
      <c r="AJ218" s="5" t="s">
        <v>203</v>
      </c>
    </row>
    <row r="219" spans="1:38" x14ac:dyDescent="0.35">
      <c r="A219" s="7">
        <v>2</v>
      </c>
      <c r="B219" s="14">
        <v>6.25E-2</v>
      </c>
      <c r="C219" s="21" t="s">
        <v>130</v>
      </c>
      <c r="Y219" s="16" t="s">
        <v>181</v>
      </c>
      <c r="Z219" s="16" t="s">
        <v>219</v>
      </c>
      <c r="AA219" s="16" t="s">
        <v>216</v>
      </c>
      <c r="AB219" s="16" t="s">
        <v>183</v>
      </c>
      <c r="AC219" s="16" t="s">
        <v>206</v>
      </c>
      <c r="AD219" s="16" t="s">
        <v>183</v>
      </c>
      <c r="AE219" s="16" t="s">
        <v>183</v>
      </c>
      <c r="AF219" s="5" t="s">
        <v>218</v>
      </c>
      <c r="AG219" s="5" t="s">
        <v>198</v>
      </c>
      <c r="AH219" s="5" t="s">
        <v>223</v>
      </c>
    </row>
    <row r="220" spans="1:38" x14ac:dyDescent="0.35">
      <c r="A220" s="2">
        <v>2</v>
      </c>
      <c r="B220" s="15">
        <v>5.5555555555555552E-2</v>
      </c>
      <c r="C220" s="21" t="s">
        <v>130</v>
      </c>
      <c r="AF220" s="5" t="s">
        <v>216</v>
      </c>
      <c r="AG220" s="5" t="s">
        <v>209</v>
      </c>
      <c r="AH220" s="5" t="s">
        <v>231</v>
      </c>
    </row>
    <row r="221" spans="1:38" x14ac:dyDescent="0.35">
      <c r="A221" s="2">
        <v>2</v>
      </c>
      <c r="B221" s="15">
        <v>4.8611111111111112E-2</v>
      </c>
      <c r="C221" s="21" t="s">
        <v>130</v>
      </c>
      <c r="D221" s="1" t="s">
        <v>131</v>
      </c>
      <c r="E221" s="1">
        <v>89</v>
      </c>
      <c r="F221" s="1" t="s">
        <v>162</v>
      </c>
      <c r="G221" s="1">
        <v>4</v>
      </c>
      <c r="H221" s="1">
        <v>25</v>
      </c>
      <c r="I221" s="1">
        <v>4</v>
      </c>
      <c r="J221" s="1" t="s">
        <v>159</v>
      </c>
      <c r="K221" s="1" t="s">
        <v>159</v>
      </c>
      <c r="L221" s="1" t="s">
        <v>159</v>
      </c>
      <c r="M221" s="1" t="s">
        <v>139</v>
      </c>
      <c r="Q221" s="1" t="s">
        <v>141</v>
      </c>
      <c r="R221" s="1" t="s">
        <v>148</v>
      </c>
      <c r="U221" s="1">
        <v>-1</v>
      </c>
      <c r="V221" s="1">
        <v>31</v>
      </c>
      <c r="W221" s="1">
        <v>20003</v>
      </c>
      <c r="X221" s="1">
        <v>45573</v>
      </c>
      <c r="AK221" s="7"/>
      <c r="AL221" s="23"/>
    </row>
    <row r="222" spans="1:38" x14ac:dyDescent="0.35">
      <c r="A222" s="7">
        <v>2</v>
      </c>
      <c r="B222" s="15">
        <v>3.4722222222222224E-2</v>
      </c>
      <c r="C222" s="21" t="s">
        <v>130</v>
      </c>
      <c r="AF222" s="5" t="s">
        <v>189</v>
      </c>
      <c r="AG222" s="5" t="s">
        <v>198</v>
      </c>
    </row>
    <row r="223" spans="1:38" x14ac:dyDescent="0.35">
      <c r="A223" s="2">
        <v>2</v>
      </c>
      <c r="B223" s="15">
        <v>3.0555555555555555E-2</v>
      </c>
      <c r="C223" s="21" t="s">
        <v>130</v>
      </c>
      <c r="AF223" s="5" t="s">
        <v>193</v>
      </c>
      <c r="AG223" s="5" t="s">
        <v>203</v>
      </c>
    </row>
    <row r="224" spans="1:38" x14ac:dyDescent="0.35">
      <c r="A224" s="7">
        <v>2</v>
      </c>
      <c r="B224" s="15">
        <v>2.7777777777777776E-2</v>
      </c>
      <c r="C224" s="21" t="s">
        <v>130</v>
      </c>
      <c r="Y224" s="16" t="s">
        <v>184</v>
      </c>
      <c r="Z224" s="16" t="s">
        <v>191</v>
      </c>
      <c r="AA224" s="16" t="s">
        <v>208</v>
      </c>
      <c r="AB224" s="16" t="s">
        <v>183</v>
      </c>
      <c r="AC224" s="16" t="s">
        <v>184</v>
      </c>
      <c r="AD224" s="16" t="s">
        <v>183</v>
      </c>
      <c r="AE224" s="16" t="s">
        <v>183</v>
      </c>
    </row>
    <row r="225" spans="1:38" x14ac:dyDescent="0.35">
      <c r="A225" s="7">
        <v>2</v>
      </c>
      <c r="B225" s="15">
        <v>2.6388888888888889E-2</v>
      </c>
      <c r="C225" s="21" t="s">
        <v>130</v>
      </c>
      <c r="AF225" s="5" t="s">
        <v>190</v>
      </c>
      <c r="AG225" s="5" t="s">
        <v>199</v>
      </c>
      <c r="AH225" s="5" t="s">
        <v>183</v>
      </c>
      <c r="AI225" s="5" t="s">
        <v>195</v>
      </c>
      <c r="AJ225" s="5" t="s">
        <v>203</v>
      </c>
    </row>
    <row r="226" spans="1:38" x14ac:dyDescent="0.35">
      <c r="A226" s="7">
        <v>2</v>
      </c>
      <c r="B226" s="15">
        <v>2.0833333333333332E-2</v>
      </c>
      <c r="C226" s="21" t="s">
        <v>130</v>
      </c>
      <c r="D226" s="1" t="s">
        <v>131</v>
      </c>
      <c r="E226" s="1">
        <v>9</v>
      </c>
      <c r="F226" s="1" t="s">
        <v>138</v>
      </c>
      <c r="G226" s="1">
        <v>89</v>
      </c>
      <c r="J226" s="1" t="s">
        <v>133</v>
      </c>
      <c r="N226" s="1" t="s">
        <v>139</v>
      </c>
      <c r="P226" s="1" t="s">
        <v>135</v>
      </c>
      <c r="Q226" s="1" t="s">
        <v>136</v>
      </c>
      <c r="R226" s="1" t="s">
        <v>137</v>
      </c>
      <c r="U226" s="1">
        <v>-1</v>
      </c>
      <c r="V226" s="1">
        <v>31</v>
      </c>
      <c r="W226" s="1">
        <v>20003</v>
      </c>
      <c r="X226" s="1">
        <v>45573</v>
      </c>
      <c r="AK226" s="7"/>
      <c r="AL226" s="23"/>
    </row>
    <row r="227" spans="1:38" x14ac:dyDescent="0.35">
      <c r="A227" s="2">
        <v>2</v>
      </c>
      <c r="B227" s="15">
        <v>2.0833333333333332E-2</v>
      </c>
      <c r="C227" s="21" t="s">
        <v>130</v>
      </c>
      <c r="Y227" s="16" t="s">
        <v>184</v>
      </c>
      <c r="Z227" s="16" t="s">
        <v>195</v>
      </c>
      <c r="AA227" s="16" t="s">
        <v>211</v>
      </c>
      <c r="AB227" s="16" t="s">
        <v>183</v>
      </c>
      <c r="AC227" s="16" t="s">
        <v>206</v>
      </c>
      <c r="AD227" s="16" t="s">
        <v>183</v>
      </c>
      <c r="AE227" s="16" t="s">
        <v>183</v>
      </c>
    </row>
    <row r="228" spans="1:38" x14ac:dyDescent="0.35">
      <c r="A228" s="7">
        <v>3</v>
      </c>
      <c r="B228" s="15">
        <v>0.7944444444444444</v>
      </c>
      <c r="C228" s="21" t="s">
        <v>174</v>
      </c>
      <c r="Y228" s="16" t="s">
        <v>184</v>
      </c>
      <c r="Z228" s="16" t="s">
        <v>229</v>
      </c>
      <c r="AA228" s="16" t="s">
        <v>183</v>
      </c>
      <c r="AB228" s="16" t="s">
        <v>183</v>
      </c>
      <c r="AC228" s="16" t="s">
        <v>206</v>
      </c>
      <c r="AD228" s="16" t="s">
        <v>183</v>
      </c>
      <c r="AE228" s="16" t="s">
        <v>183</v>
      </c>
    </row>
    <row r="229" spans="1:38" x14ac:dyDescent="0.35">
      <c r="A229" s="7">
        <v>3</v>
      </c>
      <c r="B229" s="14">
        <v>0.78541666666666665</v>
      </c>
      <c r="C229" s="21" t="s">
        <v>174</v>
      </c>
      <c r="Y229" s="16" t="s">
        <v>181</v>
      </c>
      <c r="Z229" s="16" t="s">
        <v>197</v>
      </c>
      <c r="AA229" s="16" t="s">
        <v>183</v>
      </c>
      <c r="AB229" s="16" t="s">
        <v>134</v>
      </c>
      <c r="AC229" s="16" t="s">
        <v>169</v>
      </c>
      <c r="AD229" s="16" t="s">
        <v>183</v>
      </c>
      <c r="AE229" s="16" t="s">
        <v>134</v>
      </c>
    </row>
    <row r="230" spans="1:38" x14ac:dyDescent="0.35">
      <c r="A230" s="7">
        <v>3</v>
      </c>
      <c r="B230" s="15">
        <v>0.78333333333333333</v>
      </c>
      <c r="C230" s="21" t="s">
        <v>174</v>
      </c>
      <c r="D230" s="1" t="s">
        <v>131</v>
      </c>
      <c r="E230" s="1">
        <v>18</v>
      </c>
      <c r="F230" s="1" t="s">
        <v>146</v>
      </c>
      <c r="G230" s="1">
        <v>89</v>
      </c>
      <c r="J230" s="1" t="s">
        <v>159</v>
      </c>
      <c r="M230" s="1" t="s">
        <v>139</v>
      </c>
      <c r="N230" s="1" t="s">
        <v>139</v>
      </c>
      <c r="P230" s="1" t="s">
        <v>135</v>
      </c>
      <c r="Q230" s="1" t="s">
        <v>152</v>
      </c>
      <c r="R230" s="1" t="s">
        <v>179</v>
      </c>
      <c r="U230" s="1">
        <v>-1</v>
      </c>
      <c r="V230" s="1">
        <v>31</v>
      </c>
      <c r="W230" s="1">
        <v>20003</v>
      </c>
      <c r="X230" s="1">
        <v>45573</v>
      </c>
      <c r="AK230" s="7"/>
      <c r="AL230" s="23"/>
    </row>
    <row r="231" spans="1:38" x14ac:dyDescent="0.35">
      <c r="A231" s="7">
        <v>3</v>
      </c>
      <c r="B231" s="15">
        <v>0.77430555555555558</v>
      </c>
      <c r="C231" s="21" t="s">
        <v>180</v>
      </c>
      <c r="Y231" s="16" t="s">
        <v>184</v>
      </c>
      <c r="Z231" s="16" t="s">
        <v>220</v>
      </c>
      <c r="AA231" s="16" t="s">
        <v>183</v>
      </c>
      <c r="AB231" s="16" t="s">
        <v>183</v>
      </c>
      <c r="AC231" s="16" t="s">
        <v>169</v>
      </c>
      <c r="AD231" s="16" t="s">
        <v>183</v>
      </c>
      <c r="AE231" s="16" t="s">
        <v>183</v>
      </c>
    </row>
    <row r="232" spans="1:38" x14ac:dyDescent="0.35">
      <c r="A232" s="2">
        <v>3</v>
      </c>
      <c r="B232" s="15">
        <v>0.76527777777777772</v>
      </c>
      <c r="C232" s="21" t="s">
        <v>130</v>
      </c>
      <c r="Y232" s="16" t="s">
        <v>194</v>
      </c>
      <c r="Z232" s="16" t="s">
        <v>131</v>
      </c>
    </row>
    <row r="233" spans="1:38" x14ac:dyDescent="0.35">
      <c r="A233" s="7">
        <v>3</v>
      </c>
      <c r="B233" s="14">
        <v>0.76111111111111107</v>
      </c>
      <c r="C233" s="21" t="s">
        <v>130</v>
      </c>
      <c r="D233" s="1" t="s">
        <v>131</v>
      </c>
      <c r="E233" s="1">
        <v>4</v>
      </c>
      <c r="F233" s="1" t="s">
        <v>138</v>
      </c>
      <c r="G233" s="1">
        <v>71</v>
      </c>
      <c r="H233" s="1">
        <v>10</v>
      </c>
      <c r="J233" s="1" t="s">
        <v>144</v>
      </c>
      <c r="K233" s="1" t="s">
        <v>144</v>
      </c>
      <c r="M233" s="1" t="s">
        <v>139</v>
      </c>
      <c r="N233" s="1" t="s">
        <v>139</v>
      </c>
      <c r="P233" s="1" t="s">
        <v>140</v>
      </c>
      <c r="Q233" s="1" t="s">
        <v>141</v>
      </c>
      <c r="U233" s="1">
        <v>-1</v>
      </c>
      <c r="V233" s="1">
        <v>31</v>
      </c>
      <c r="W233" s="1">
        <v>20003</v>
      </c>
      <c r="X233" s="1">
        <v>45573</v>
      </c>
      <c r="AK233" s="7"/>
      <c r="AL233" s="23"/>
    </row>
    <row r="234" spans="1:38" x14ac:dyDescent="0.35">
      <c r="A234" s="7">
        <v>3</v>
      </c>
      <c r="B234" s="14">
        <v>0.7583333333333333</v>
      </c>
      <c r="C234" s="21" t="s">
        <v>130</v>
      </c>
      <c r="D234" s="1" t="s">
        <v>131</v>
      </c>
      <c r="E234" s="1">
        <v>55</v>
      </c>
      <c r="F234" s="1" t="s">
        <v>162</v>
      </c>
      <c r="G234" s="1">
        <v>71</v>
      </c>
      <c r="J234" s="1" t="s">
        <v>163</v>
      </c>
      <c r="N234" s="1" t="s">
        <v>139</v>
      </c>
      <c r="P234" s="1" t="s">
        <v>140</v>
      </c>
      <c r="Q234" s="1" t="s">
        <v>141</v>
      </c>
      <c r="U234" s="1">
        <v>-1</v>
      </c>
      <c r="V234" s="1">
        <v>31</v>
      </c>
      <c r="W234" s="1">
        <v>20003</v>
      </c>
      <c r="X234" s="1">
        <v>45573</v>
      </c>
      <c r="AK234" s="7"/>
      <c r="AL234" s="23"/>
    </row>
    <row r="235" spans="1:38" x14ac:dyDescent="0.35">
      <c r="A235" s="7">
        <v>3</v>
      </c>
      <c r="B235" s="15">
        <v>0.75208333333333333</v>
      </c>
      <c r="C235" s="21" t="s">
        <v>130</v>
      </c>
      <c r="AF235" s="5" t="s">
        <v>222</v>
      </c>
      <c r="AG235" s="5" t="s">
        <v>199</v>
      </c>
      <c r="AH235" s="5" t="s">
        <v>183</v>
      </c>
      <c r="AI235" s="5" t="s">
        <v>218</v>
      </c>
      <c r="AJ235" s="5" t="s">
        <v>209</v>
      </c>
    </row>
    <row r="236" spans="1:38" x14ac:dyDescent="0.35">
      <c r="A236" s="2">
        <v>3</v>
      </c>
      <c r="B236" s="15">
        <v>0.7416666666666667</v>
      </c>
      <c r="C236" s="21" t="s">
        <v>130</v>
      </c>
      <c r="Y236" s="16" t="s">
        <v>181</v>
      </c>
      <c r="Z236" s="16" t="s">
        <v>202</v>
      </c>
      <c r="AA236" s="16" t="s">
        <v>228</v>
      </c>
      <c r="AB236" s="16" t="s">
        <v>183</v>
      </c>
      <c r="AC236" s="16" t="s">
        <v>184</v>
      </c>
      <c r="AD236" s="16" t="s">
        <v>183</v>
      </c>
      <c r="AE236" s="16" t="s">
        <v>183</v>
      </c>
      <c r="AF236" s="5" t="s">
        <v>228</v>
      </c>
      <c r="AG236" s="5" t="s">
        <v>199</v>
      </c>
      <c r="AH236" s="5" t="s">
        <v>227</v>
      </c>
      <c r="AI236" s="5" t="s">
        <v>216</v>
      </c>
      <c r="AJ236" s="5" t="s">
        <v>209</v>
      </c>
    </row>
    <row r="237" spans="1:38" x14ac:dyDescent="0.35">
      <c r="A237" s="7">
        <v>3</v>
      </c>
      <c r="B237" s="15">
        <v>0.73263888888888884</v>
      </c>
      <c r="C237" s="21" t="s">
        <v>130</v>
      </c>
      <c r="Y237" s="16" t="s">
        <v>194</v>
      </c>
      <c r="Z237" s="16" t="s">
        <v>142</v>
      </c>
      <c r="AD237" s="16" t="s">
        <v>205</v>
      </c>
    </row>
    <row r="238" spans="1:38" x14ac:dyDescent="0.35">
      <c r="A238" s="2">
        <v>3</v>
      </c>
      <c r="B238" s="15">
        <v>0.72430555555555554</v>
      </c>
      <c r="C238" s="21" t="s">
        <v>130</v>
      </c>
      <c r="AF238" s="5" t="s">
        <v>197</v>
      </c>
      <c r="AG238" s="5" t="s">
        <v>199</v>
      </c>
      <c r="AH238" s="5" t="s">
        <v>183</v>
      </c>
      <c r="AI238" s="5" t="s">
        <v>223</v>
      </c>
      <c r="AJ238" s="5" t="s">
        <v>203</v>
      </c>
    </row>
    <row r="239" spans="1:38" x14ac:dyDescent="0.35">
      <c r="A239" s="7">
        <v>3</v>
      </c>
      <c r="B239" s="15">
        <v>0.72013888888888888</v>
      </c>
      <c r="C239" s="21" t="s">
        <v>130</v>
      </c>
      <c r="Y239" s="16" t="s">
        <v>181</v>
      </c>
      <c r="Z239" s="16" t="s">
        <v>223</v>
      </c>
      <c r="AA239" s="16" t="s">
        <v>228</v>
      </c>
      <c r="AB239" s="16" t="s">
        <v>183</v>
      </c>
      <c r="AC239" s="16" t="s">
        <v>169</v>
      </c>
      <c r="AD239" s="16" t="s">
        <v>183</v>
      </c>
      <c r="AE239" s="16" t="s">
        <v>183</v>
      </c>
      <c r="AF239" s="5" t="s">
        <v>228</v>
      </c>
      <c r="AG239" s="5" t="s">
        <v>199</v>
      </c>
      <c r="AH239" s="5" t="s">
        <v>183</v>
      </c>
      <c r="AI239" s="5" t="s">
        <v>216</v>
      </c>
      <c r="AJ239" s="5" t="s">
        <v>209</v>
      </c>
    </row>
    <row r="240" spans="1:38" x14ac:dyDescent="0.35">
      <c r="A240" s="2">
        <v>3</v>
      </c>
      <c r="B240" s="15">
        <v>0.70902777777777781</v>
      </c>
      <c r="C240" s="21" t="s">
        <v>130</v>
      </c>
      <c r="Y240" s="16" t="s">
        <v>184</v>
      </c>
      <c r="Z240" s="16" t="s">
        <v>219</v>
      </c>
      <c r="AA240" s="16" t="s">
        <v>211</v>
      </c>
      <c r="AB240" s="16" t="s">
        <v>183</v>
      </c>
      <c r="AC240" s="16" t="s">
        <v>206</v>
      </c>
      <c r="AD240" s="16" t="s">
        <v>183</v>
      </c>
      <c r="AE240" s="16" t="s">
        <v>183</v>
      </c>
      <c r="AF240" s="5" t="s">
        <v>228</v>
      </c>
      <c r="AG240" s="5" t="s">
        <v>199</v>
      </c>
      <c r="AH240" s="5" t="s">
        <v>183</v>
      </c>
      <c r="AI240" s="5" t="s">
        <v>220</v>
      </c>
      <c r="AJ240" s="5" t="s">
        <v>209</v>
      </c>
    </row>
    <row r="241" spans="1:38" x14ac:dyDescent="0.35">
      <c r="A241" s="7">
        <v>3</v>
      </c>
      <c r="B241" s="15">
        <v>0.69791666666666663</v>
      </c>
      <c r="C241" s="21" t="s">
        <v>130</v>
      </c>
      <c r="Y241" s="16" t="s">
        <v>181</v>
      </c>
      <c r="Z241" s="16" t="s">
        <v>231</v>
      </c>
      <c r="AA241" s="16" t="s">
        <v>200</v>
      </c>
      <c r="AB241" s="16" t="s">
        <v>183</v>
      </c>
      <c r="AC241" s="16" t="s">
        <v>206</v>
      </c>
      <c r="AD241" s="16" t="s">
        <v>183</v>
      </c>
      <c r="AE241" s="16" t="s">
        <v>183</v>
      </c>
      <c r="AF241" s="5" t="s">
        <v>200</v>
      </c>
      <c r="AG241" s="5" t="s">
        <v>192</v>
      </c>
    </row>
    <row r="242" spans="1:38" x14ac:dyDescent="0.35">
      <c r="A242" s="2">
        <v>3</v>
      </c>
      <c r="B242" s="15">
        <v>0.69097222222222221</v>
      </c>
      <c r="C242" s="21" t="s">
        <v>130</v>
      </c>
      <c r="Y242" s="16" t="s">
        <v>181</v>
      </c>
      <c r="Z242" s="16" t="s">
        <v>211</v>
      </c>
      <c r="AA242" s="16" t="s">
        <v>183</v>
      </c>
      <c r="AB242" s="16" t="s">
        <v>183</v>
      </c>
      <c r="AC242" s="16" t="s">
        <v>169</v>
      </c>
      <c r="AD242" s="16" t="s">
        <v>183</v>
      </c>
      <c r="AE242" s="16" t="s">
        <v>183</v>
      </c>
      <c r="AF242" s="5" t="s">
        <v>207</v>
      </c>
      <c r="AG242" s="5" t="s">
        <v>192</v>
      </c>
    </row>
    <row r="243" spans="1:38" x14ac:dyDescent="0.35">
      <c r="A243" s="2">
        <v>3</v>
      </c>
      <c r="B243" s="15">
        <v>0.68611111111111112</v>
      </c>
      <c r="C243" s="21" t="s">
        <v>130</v>
      </c>
      <c r="Y243" s="16" t="s">
        <v>184</v>
      </c>
      <c r="Z243" s="16" t="s">
        <v>229</v>
      </c>
      <c r="AA243" s="16" t="s">
        <v>210</v>
      </c>
      <c r="AB243" s="16" t="s">
        <v>183</v>
      </c>
      <c r="AC243" s="16" t="s">
        <v>169</v>
      </c>
      <c r="AD243" s="16" t="s">
        <v>183</v>
      </c>
      <c r="AE243" s="16" t="s">
        <v>183</v>
      </c>
    </row>
    <row r="244" spans="1:38" x14ac:dyDescent="0.35">
      <c r="A244" s="7">
        <v>3</v>
      </c>
      <c r="B244" s="15">
        <v>0.67708333333333337</v>
      </c>
      <c r="C244" s="21" t="s">
        <v>130</v>
      </c>
      <c r="AF244" s="5" t="s">
        <v>211</v>
      </c>
      <c r="AG244" s="5" t="s">
        <v>199</v>
      </c>
      <c r="AH244" s="5" t="s">
        <v>183</v>
      </c>
      <c r="AI244" s="5" t="s">
        <v>200</v>
      </c>
      <c r="AJ244" s="5" t="s">
        <v>203</v>
      </c>
    </row>
    <row r="245" spans="1:38" x14ac:dyDescent="0.35">
      <c r="A245" s="2">
        <v>3</v>
      </c>
      <c r="B245" s="15">
        <v>0.6743055555555556</v>
      </c>
      <c r="C245" s="21" t="s">
        <v>130</v>
      </c>
      <c r="Y245" s="16" t="s">
        <v>232</v>
      </c>
      <c r="Z245" s="16" t="s">
        <v>220</v>
      </c>
      <c r="AA245" s="16" t="s">
        <v>229</v>
      </c>
      <c r="AB245" s="16" t="s">
        <v>183</v>
      </c>
      <c r="AC245" s="16" t="s">
        <v>169</v>
      </c>
      <c r="AD245" s="16" t="s">
        <v>183</v>
      </c>
      <c r="AE245" s="16" t="s">
        <v>183</v>
      </c>
    </row>
    <row r="246" spans="1:38" x14ac:dyDescent="0.35">
      <c r="A246" s="7">
        <v>3</v>
      </c>
      <c r="B246" s="15">
        <v>0.65694444444444444</v>
      </c>
      <c r="C246" s="21" t="s">
        <v>130</v>
      </c>
      <c r="Y246" s="16" t="s">
        <v>184</v>
      </c>
      <c r="Z246" s="16" t="s">
        <v>193</v>
      </c>
      <c r="AA246" s="16" t="s">
        <v>208</v>
      </c>
      <c r="AB246" s="16" t="s">
        <v>183</v>
      </c>
      <c r="AC246" s="16" t="s">
        <v>206</v>
      </c>
      <c r="AD246" s="16" t="s">
        <v>183</v>
      </c>
      <c r="AE246" s="16" t="s">
        <v>139</v>
      </c>
    </row>
    <row r="247" spans="1:38" x14ac:dyDescent="0.35">
      <c r="A247" s="7">
        <v>3</v>
      </c>
      <c r="B247" s="14">
        <v>0.65277777777777779</v>
      </c>
      <c r="C247" s="21" t="s">
        <v>130</v>
      </c>
      <c r="AF247" s="5" t="s">
        <v>212</v>
      </c>
      <c r="AG247" s="5" t="s">
        <v>198</v>
      </c>
      <c r="AH247" s="5" t="s">
        <v>216</v>
      </c>
    </row>
    <row r="248" spans="1:38" x14ac:dyDescent="0.35">
      <c r="A248" s="2">
        <v>3</v>
      </c>
      <c r="B248" s="15">
        <v>0.64652777777777781</v>
      </c>
      <c r="C248" s="21" t="s">
        <v>130</v>
      </c>
      <c r="D248" s="1" t="s">
        <v>142</v>
      </c>
      <c r="E248" s="1">
        <v>62</v>
      </c>
      <c r="F248" s="1" t="s">
        <v>138</v>
      </c>
      <c r="G248" s="1">
        <v>9</v>
      </c>
      <c r="H248" s="1">
        <v>17</v>
      </c>
      <c r="I248" s="1">
        <v>24</v>
      </c>
      <c r="J248" s="1" t="s">
        <v>157</v>
      </c>
      <c r="K248" s="1" t="s">
        <v>159</v>
      </c>
      <c r="L248" s="1" t="s">
        <v>151</v>
      </c>
      <c r="N248" s="1" t="s">
        <v>139</v>
      </c>
      <c r="P248" s="1" t="s">
        <v>135</v>
      </c>
      <c r="Q248" s="1" t="s">
        <v>152</v>
      </c>
      <c r="R248" s="1" t="s">
        <v>155</v>
      </c>
      <c r="U248" s="1">
        <v>-1</v>
      </c>
      <c r="V248" s="1">
        <v>50</v>
      </c>
      <c r="W248" s="1">
        <v>20003</v>
      </c>
      <c r="X248" s="1">
        <v>45573</v>
      </c>
      <c r="AK248" s="7"/>
      <c r="AL248" s="23"/>
    </row>
    <row r="249" spans="1:38" x14ac:dyDescent="0.35">
      <c r="A249" s="7">
        <v>3</v>
      </c>
      <c r="B249" s="15">
        <v>0.64652777777777781</v>
      </c>
      <c r="C249" s="21" t="s">
        <v>130</v>
      </c>
      <c r="D249" s="1" t="s">
        <v>142</v>
      </c>
      <c r="E249" s="1">
        <v>62</v>
      </c>
      <c r="F249" s="1" t="s">
        <v>138</v>
      </c>
      <c r="G249" s="1">
        <v>95</v>
      </c>
      <c r="H249" s="1">
        <v>62</v>
      </c>
      <c r="J249" s="1" t="s">
        <v>163</v>
      </c>
      <c r="K249" s="1" t="s">
        <v>144</v>
      </c>
      <c r="N249" s="1" t="s">
        <v>139</v>
      </c>
      <c r="O249" s="1" t="s">
        <v>139</v>
      </c>
      <c r="P249" s="1" t="s">
        <v>161</v>
      </c>
      <c r="Q249" s="1" t="s">
        <v>141</v>
      </c>
      <c r="U249" s="1">
        <v>-1</v>
      </c>
      <c r="V249" s="1">
        <v>50</v>
      </c>
      <c r="W249" s="1">
        <v>20003</v>
      </c>
      <c r="X249" s="1">
        <v>45573</v>
      </c>
      <c r="AK249" s="7"/>
      <c r="AL249" s="23"/>
    </row>
    <row r="250" spans="1:38" x14ac:dyDescent="0.35">
      <c r="A250" s="2">
        <v>3</v>
      </c>
      <c r="B250" s="15">
        <v>0.64583333333333337</v>
      </c>
      <c r="C250" s="21" t="s">
        <v>130</v>
      </c>
      <c r="D250" s="1" t="s">
        <v>142</v>
      </c>
      <c r="E250" s="1">
        <v>95</v>
      </c>
      <c r="F250" s="1" t="s">
        <v>135</v>
      </c>
      <c r="M250" s="1" t="s">
        <v>139</v>
      </c>
      <c r="N250" s="1" t="s">
        <v>139</v>
      </c>
      <c r="P250" s="1" t="s">
        <v>161</v>
      </c>
      <c r="Q250" s="1" t="s">
        <v>141</v>
      </c>
      <c r="U250" s="1">
        <v>-1</v>
      </c>
      <c r="V250" s="1">
        <v>50</v>
      </c>
      <c r="W250" s="1">
        <v>20003</v>
      </c>
      <c r="X250" s="1">
        <v>45573</v>
      </c>
      <c r="AK250" s="7"/>
      <c r="AL250" s="23"/>
    </row>
    <row r="251" spans="1:38" x14ac:dyDescent="0.35">
      <c r="A251" s="2">
        <v>3</v>
      </c>
      <c r="B251" s="15">
        <v>0.63402777777777775</v>
      </c>
      <c r="C251" s="21" t="s">
        <v>130</v>
      </c>
      <c r="Y251" s="16" t="s">
        <v>184</v>
      </c>
      <c r="Z251" s="16" t="s">
        <v>212</v>
      </c>
      <c r="AA251" s="16" t="s">
        <v>193</v>
      </c>
      <c r="AB251" s="16" t="s">
        <v>134</v>
      </c>
      <c r="AC251" s="16" t="s">
        <v>169</v>
      </c>
      <c r="AD251" s="16" t="s">
        <v>183</v>
      </c>
      <c r="AE251" s="16" t="s">
        <v>134</v>
      </c>
    </row>
    <row r="252" spans="1:38" x14ac:dyDescent="0.35">
      <c r="A252" s="2">
        <v>3</v>
      </c>
      <c r="B252" s="15">
        <v>0.61736111111111114</v>
      </c>
      <c r="C252" s="21" t="s">
        <v>130</v>
      </c>
      <c r="D252" s="1" t="s">
        <v>131</v>
      </c>
      <c r="E252" s="1">
        <v>72</v>
      </c>
      <c r="F252" s="1" t="s">
        <v>138</v>
      </c>
      <c r="G252" s="1">
        <v>42</v>
      </c>
      <c r="J252" s="1" t="s">
        <v>145</v>
      </c>
      <c r="P252" s="1" t="s">
        <v>161</v>
      </c>
      <c r="Q252" s="1" t="s">
        <v>141</v>
      </c>
      <c r="U252" s="1">
        <v>-1</v>
      </c>
      <c r="V252" s="1">
        <v>31</v>
      </c>
      <c r="W252" s="1">
        <v>20003</v>
      </c>
      <c r="X252" s="1">
        <v>45573</v>
      </c>
      <c r="AK252" s="7"/>
      <c r="AL252" s="23"/>
    </row>
    <row r="253" spans="1:38" x14ac:dyDescent="0.35">
      <c r="A253" s="7">
        <v>3</v>
      </c>
      <c r="B253" s="14">
        <v>0.61527777777777781</v>
      </c>
      <c r="C253" s="21" t="s">
        <v>130</v>
      </c>
      <c r="D253" s="1" t="s">
        <v>131</v>
      </c>
      <c r="E253" s="1">
        <v>71</v>
      </c>
      <c r="F253" s="1" t="s">
        <v>175</v>
      </c>
      <c r="G253" s="1">
        <v>10</v>
      </c>
      <c r="J253" s="1" t="s">
        <v>143</v>
      </c>
      <c r="M253" s="1" t="s">
        <v>139</v>
      </c>
      <c r="N253" s="1" t="s">
        <v>139</v>
      </c>
      <c r="P253" s="1" t="s">
        <v>161</v>
      </c>
      <c r="Q253" s="1" t="s">
        <v>141</v>
      </c>
      <c r="U253" s="1">
        <v>-1</v>
      </c>
      <c r="V253" s="1">
        <v>31</v>
      </c>
      <c r="W253" s="1">
        <v>20003</v>
      </c>
      <c r="X253" s="1">
        <v>45573</v>
      </c>
      <c r="AK253" s="7"/>
      <c r="AL253" s="23"/>
    </row>
    <row r="254" spans="1:38" x14ac:dyDescent="0.35">
      <c r="A254" s="7">
        <v>3</v>
      </c>
      <c r="B254" s="15">
        <v>0.60902777777777772</v>
      </c>
      <c r="C254" s="21" t="s">
        <v>130</v>
      </c>
      <c r="AF254" s="5" t="s">
        <v>193</v>
      </c>
      <c r="AG254" s="5" t="s">
        <v>187</v>
      </c>
    </row>
    <row r="255" spans="1:38" x14ac:dyDescent="0.35">
      <c r="A255" s="2">
        <v>3</v>
      </c>
      <c r="B255" s="15">
        <v>0.60277777777777775</v>
      </c>
      <c r="C255" s="21" t="s">
        <v>130</v>
      </c>
      <c r="Y255" s="16" t="s">
        <v>181</v>
      </c>
      <c r="Z255" s="16" t="s">
        <v>217</v>
      </c>
      <c r="AA255" s="16" t="s">
        <v>188</v>
      </c>
      <c r="AB255" s="16" t="s">
        <v>183</v>
      </c>
      <c r="AC255" s="16" t="s">
        <v>169</v>
      </c>
      <c r="AD255" s="16" t="s">
        <v>183</v>
      </c>
      <c r="AE255" s="16" t="s">
        <v>183</v>
      </c>
    </row>
    <row r="256" spans="1:38" x14ac:dyDescent="0.35">
      <c r="A256" s="2">
        <v>3</v>
      </c>
      <c r="B256" s="15">
        <v>0.59027777777777779</v>
      </c>
      <c r="C256" s="21" t="s">
        <v>130</v>
      </c>
      <c r="AF256" s="5" t="s">
        <v>188</v>
      </c>
      <c r="AG256" s="5" t="s">
        <v>199</v>
      </c>
      <c r="AH256" s="5" t="s">
        <v>183</v>
      </c>
      <c r="AI256" s="5" t="s">
        <v>202</v>
      </c>
      <c r="AJ256" s="5" t="s">
        <v>187</v>
      </c>
    </row>
    <row r="257" spans="1:38" x14ac:dyDescent="0.35">
      <c r="A257" s="7">
        <v>3</v>
      </c>
      <c r="B257" s="14">
        <v>0.58194444444444449</v>
      </c>
      <c r="C257" s="21" t="s">
        <v>130</v>
      </c>
      <c r="Y257" s="16" t="s">
        <v>184</v>
      </c>
      <c r="Z257" s="16" t="s">
        <v>217</v>
      </c>
      <c r="AA257" s="16" t="s">
        <v>197</v>
      </c>
      <c r="AB257" s="16" t="s">
        <v>183</v>
      </c>
      <c r="AC257" s="16" t="s">
        <v>206</v>
      </c>
      <c r="AD257" s="16" t="s">
        <v>183</v>
      </c>
      <c r="AE257" s="16" t="s">
        <v>183</v>
      </c>
    </row>
    <row r="258" spans="1:38" x14ac:dyDescent="0.35">
      <c r="A258" s="7">
        <v>3</v>
      </c>
      <c r="B258" s="14">
        <v>0.56111111111111112</v>
      </c>
      <c r="C258" s="21" t="s">
        <v>174</v>
      </c>
      <c r="Y258" s="16" t="s">
        <v>181</v>
      </c>
      <c r="Z258" s="16" t="s">
        <v>216</v>
      </c>
      <c r="AA258" s="16" t="s">
        <v>183</v>
      </c>
      <c r="AB258" s="16" t="s">
        <v>183</v>
      </c>
      <c r="AC258" s="16" t="s">
        <v>169</v>
      </c>
      <c r="AD258" s="16" t="s">
        <v>183</v>
      </c>
      <c r="AE258" s="16" t="s">
        <v>183</v>
      </c>
    </row>
    <row r="259" spans="1:38" x14ac:dyDescent="0.35">
      <c r="A259" s="2">
        <v>3</v>
      </c>
      <c r="B259" s="15">
        <v>0.54722222222222228</v>
      </c>
      <c r="C259" s="21" t="s">
        <v>174</v>
      </c>
      <c r="Y259" s="16" t="s">
        <v>184</v>
      </c>
      <c r="Z259" s="16" t="s">
        <v>191</v>
      </c>
      <c r="AA259" s="16" t="s">
        <v>183</v>
      </c>
      <c r="AB259" s="16" t="s">
        <v>139</v>
      </c>
      <c r="AC259" s="16" t="s">
        <v>169</v>
      </c>
      <c r="AD259" s="16" t="s">
        <v>183</v>
      </c>
      <c r="AE259" s="16" t="s">
        <v>139</v>
      </c>
    </row>
    <row r="260" spans="1:38" x14ac:dyDescent="0.35">
      <c r="A260" s="7">
        <v>3</v>
      </c>
      <c r="B260" s="15">
        <v>0.53055555555555556</v>
      </c>
      <c r="C260" s="21" t="s">
        <v>174</v>
      </c>
      <c r="D260" s="1" t="s">
        <v>142</v>
      </c>
      <c r="E260" s="1">
        <v>62</v>
      </c>
      <c r="F260" s="1" t="s">
        <v>138</v>
      </c>
      <c r="M260" s="1" t="s">
        <v>139</v>
      </c>
      <c r="N260" s="1" t="s">
        <v>139</v>
      </c>
      <c r="U260" s="1">
        <v>-1</v>
      </c>
      <c r="V260" s="1">
        <v>50</v>
      </c>
      <c r="W260" s="1">
        <v>20003</v>
      </c>
      <c r="X260" s="1">
        <v>45573</v>
      </c>
      <c r="AK260" s="7"/>
      <c r="AL260" s="23"/>
    </row>
    <row r="261" spans="1:38" x14ac:dyDescent="0.35">
      <c r="A261" s="7">
        <v>3</v>
      </c>
      <c r="B261" s="15">
        <v>0.51527777777777772</v>
      </c>
      <c r="C261" s="21" t="s">
        <v>174</v>
      </c>
      <c r="Y261" s="16" t="s">
        <v>181</v>
      </c>
      <c r="Z261" s="16" t="s">
        <v>189</v>
      </c>
      <c r="AA261" s="16" t="s">
        <v>186</v>
      </c>
      <c r="AB261" s="16" t="s">
        <v>183</v>
      </c>
      <c r="AC261" s="16" t="s">
        <v>206</v>
      </c>
      <c r="AD261" s="16" t="s">
        <v>183</v>
      </c>
      <c r="AE261" s="16" t="s">
        <v>183</v>
      </c>
    </row>
    <row r="262" spans="1:38" x14ac:dyDescent="0.35">
      <c r="A262" s="2">
        <v>3</v>
      </c>
      <c r="B262" s="15">
        <v>0.5</v>
      </c>
      <c r="C262" s="21" t="s">
        <v>174</v>
      </c>
      <c r="D262" s="1" t="s">
        <v>142</v>
      </c>
      <c r="E262" s="1">
        <v>95</v>
      </c>
      <c r="F262" s="1" t="s">
        <v>138</v>
      </c>
      <c r="G262" s="1">
        <v>29</v>
      </c>
      <c r="J262" s="1" t="s">
        <v>159</v>
      </c>
      <c r="U262" s="1">
        <v>-1</v>
      </c>
      <c r="V262" s="1">
        <v>50</v>
      </c>
      <c r="W262" s="1">
        <v>20003</v>
      </c>
      <c r="X262" s="1">
        <v>45573</v>
      </c>
      <c r="AK262" s="7"/>
      <c r="AL262" s="23"/>
    </row>
    <row r="263" spans="1:38" x14ac:dyDescent="0.35">
      <c r="A263" s="7">
        <v>3</v>
      </c>
      <c r="B263" s="15">
        <v>0.49513888888888891</v>
      </c>
      <c r="C263" s="21" t="s">
        <v>174</v>
      </c>
      <c r="D263" s="1" t="s">
        <v>142</v>
      </c>
      <c r="E263" s="1">
        <v>10</v>
      </c>
      <c r="F263" s="1" t="s">
        <v>138</v>
      </c>
      <c r="G263" s="1">
        <v>29</v>
      </c>
      <c r="H263" s="1">
        <v>19</v>
      </c>
      <c r="J263" s="1" t="s">
        <v>159</v>
      </c>
      <c r="K263" s="1" t="s">
        <v>160</v>
      </c>
      <c r="N263" s="1" t="s">
        <v>139</v>
      </c>
      <c r="U263" s="1">
        <v>-1</v>
      </c>
      <c r="V263" s="1">
        <v>50</v>
      </c>
      <c r="W263" s="1">
        <v>20003</v>
      </c>
      <c r="X263" s="1">
        <v>45573</v>
      </c>
      <c r="AK263" s="7"/>
      <c r="AL263" s="23"/>
    </row>
    <row r="264" spans="1:38" x14ac:dyDescent="0.35">
      <c r="A264" s="7">
        <v>3</v>
      </c>
      <c r="B264" s="15">
        <v>0.49305555555555558</v>
      </c>
      <c r="C264" s="21" t="s">
        <v>174</v>
      </c>
      <c r="D264" s="1" t="s">
        <v>142</v>
      </c>
      <c r="E264" s="1">
        <v>29</v>
      </c>
      <c r="F264" s="1" t="s">
        <v>162</v>
      </c>
      <c r="G264" s="1">
        <v>19</v>
      </c>
      <c r="J264" s="1" t="s">
        <v>160</v>
      </c>
      <c r="N264" s="1" t="s">
        <v>139</v>
      </c>
      <c r="O264" s="1" t="s">
        <v>139</v>
      </c>
      <c r="U264" s="1">
        <v>-1</v>
      </c>
      <c r="V264" s="1">
        <v>50</v>
      </c>
      <c r="W264" s="1">
        <v>20003</v>
      </c>
      <c r="X264" s="1">
        <v>45573</v>
      </c>
      <c r="AK264" s="7"/>
      <c r="AL264" s="23"/>
    </row>
    <row r="265" spans="1:38" x14ac:dyDescent="0.35">
      <c r="A265" s="7">
        <v>3</v>
      </c>
      <c r="B265" s="15">
        <v>0.48472222222222222</v>
      </c>
      <c r="C265" s="21" t="s">
        <v>130</v>
      </c>
      <c r="Y265" s="16" t="s">
        <v>184</v>
      </c>
      <c r="Z265" s="16" t="s">
        <v>220</v>
      </c>
      <c r="AA265" s="16" t="s">
        <v>201</v>
      </c>
      <c r="AB265" s="16" t="s">
        <v>183</v>
      </c>
      <c r="AC265" s="16" t="s">
        <v>169</v>
      </c>
      <c r="AD265" s="16" t="s">
        <v>183</v>
      </c>
      <c r="AE265" s="16" t="s">
        <v>183</v>
      </c>
      <c r="AF265" s="5" t="s">
        <v>201</v>
      </c>
      <c r="AG265" s="5" t="s">
        <v>192</v>
      </c>
    </row>
    <row r="266" spans="1:38" x14ac:dyDescent="0.35">
      <c r="A266" s="7">
        <v>3</v>
      </c>
      <c r="B266" s="15">
        <v>0.46388888888888891</v>
      </c>
      <c r="C266" s="21" t="s">
        <v>130</v>
      </c>
      <c r="Y266" s="16" t="s">
        <v>184</v>
      </c>
      <c r="Z266" s="16" t="s">
        <v>222</v>
      </c>
      <c r="AA266" s="16" t="s">
        <v>201</v>
      </c>
      <c r="AB266" s="16" t="s">
        <v>183</v>
      </c>
      <c r="AC266" s="16" t="s">
        <v>169</v>
      </c>
      <c r="AD266" s="16" t="s">
        <v>183</v>
      </c>
      <c r="AE266" s="16" t="s">
        <v>183</v>
      </c>
    </row>
    <row r="267" spans="1:38" x14ac:dyDescent="0.35">
      <c r="A267" s="2">
        <v>3</v>
      </c>
      <c r="B267" s="15">
        <v>0.45416666666666666</v>
      </c>
      <c r="C267" s="21" t="s">
        <v>130</v>
      </c>
      <c r="D267" s="1" t="s">
        <v>142</v>
      </c>
      <c r="E267" s="1">
        <v>6</v>
      </c>
      <c r="F267" s="1" t="s">
        <v>138</v>
      </c>
      <c r="G267" s="1">
        <v>37</v>
      </c>
      <c r="H267" s="1">
        <v>29</v>
      </c>
      <c r="J267" s="1" t="s">
        <v>157</v>
      </c>
      <c r="K267" s="1" t="s">
        <v>159</v>
      </c>
      <c r="Q267" s="1" t="s">
        <v>141</v>
      </c>
      <c r="R267" s="1" t="s">
        <v>148</v>
      </c>
      <c r="U267" s="1">
        <v>-1</v>
      </c>
      <c r="V267" s="1">
        <v>50</v>
      </c>
      <c r="W267" s="1">
        <v>20003</v>
      </c>
      <c r="X267" s="1">
        <v>45573</v>
      </c>
      <c r="AK267" s="7"/>
      <c r="AL267" s="23"/>
    </row>
    <row r="268" spans="1:38" x14ac:dyDescent="0.35">
      <c r="A268" s="2">
        <v>3</v>
      </c>
      <c r="B268" s="15">
        <v>0.4375</v>
      </c>
      <c r="C268" s="21" t="s">
        <v>130</v>
      </c>
      <c r="Y268" s="16" t="s">
        <v>181</v>
      </c>
      <c r="Z268" s="16" t="s">
        <v>211</v>
      </c>
      <c r="AA268" s="16" t="s">
        <v>183</v>
      </c>
      <c r="AB268" s="16" t="s">
        <v>183</v>
      </c>
      <c r="AC268" s="16" t="s">
        <v>169</v>
      </c>
      <c r="AD268" s="16" t="s">
        <v>183</v>
      </c>
      <c r="AE268" s="16" t="s">
        <v>183</v>
      </c>
    </row>
    <row r="269" spans="1:38" x14ac:dyDescent="0.35">
      <c r="A269" s="7">
        <v>3</v>
      </c>
      <c r="B269" s="15">
        <v>0.43333333333333335</v>
      </c>
      <c r="C269" s="21" t="s">
        <v>130</v>
      </c>
      <c r="AF269" s="5" t="s">
        <v>207</v>
      </c>
      <c r="AG269" s="5" t="s">
        <v>199</v>
      </c>
      <c r="AH269" s="5" t="s">
        <v>193</v>
      </c>
      <c r="AI269" s="5" t="s">
        <v>188</v>
      </c>
      <c r="AJ269" s="5" t="s">
        <v>192</v>
      </c>
    </row>
    <row r="270" spans="1:38" x14ac:dyDescent="0.35">
      <c r="A270" s="2">
        <v>3</v>
      </c>
      <c r="B270" s="15">
        <v>0.42986111111111114</v>
      </c>
      <c r="C270" s="21" t="s">
        <v>130</v>
      </c>
      <c r="Y270" s="16" t="s">
        <v>181</v>
      </c>
      <c r="Z270" s="16" t="s">
        <v>223</v>
      </c>
      <c r="AA270" s="16" t="s">
        <v>183</v>
      </c>
      <c r="AB270" s="16" t="s">
        <v>183</v>
      </c>
      <c r="AC270" s="16" t="s">
        <v>206</v>
      </c>
      <c r="AD270" s="16" t="s">
        <v>183</v>
      </c>
      <c r="AE270" s="16" t="s">
        <v>183</v>
      </c>
      <c r="AF270" s="5" t="s">
        <v>228</v>
      </c>
      <c r="AG270" s="5" t="s">
        <v>199</v>
      </c>
      <c r="AH270" s="5" t="s">
        <v>231</v>
      </c>
      <c r="AI270" s="5" t="s">
        <v>191</v>
      </c>
      <c r="AJ270" s="5" t="s">
        <v>198</v>
      </c>
    </row>
    <row r="271" spans="1:38" x14ac:dyDescent="0.35">
      <c r="A271" s="7">
        <v>3</v>
      </c>
      <c r="B271" s="14">
        <v>0.42152777777777778</v>
      </c>
      <c r="C271" s="21" t="s">
        <v>130</v>
      </c>
      <c r="D271" s="1" t="s">
        <v>131</v>
      </c>
      <c r="E271" s="1">
        <v>71</v>
      </c>
      <c r="F271" s="1" t="s">
        <v>132</v>
      </c>
      <c r="N271" s="1" t="s">
        <v>139</v>
      </c>
      <c r="P271" s="1" t="s">
        <v>140</v>
      </c>
      <c r="Q271" s="1" t="s">
        <v>141</v>
      </c>
      <c r="U271" s="1">
        <v>-1</v>
      </c>
      <c r="V271" s="1">
        <v>31</v>
      </c>
      <c r="W271" s="1">
        <v>20003</v>
      </c>
      <c r="X271" s="1">
        <v>45573</v>
      </c>
      <c r="AK271" s="7"/>
      <c r="AL271" s="23"/>
    </row>
    <row r="272" spans="1:38" x14ac:dyDescent="0.35">
      <c r="A272" s="7">
        <v>3</v>
      </c>
      <c r="B272" s="15">
        <v>0.41736111111111113</v>
      </c>
      <c r="C272" s="21" t="s">
        <v>130</v>
      </c>
      <c r="AF272" s="5" t="s">
        <v>185</v>
      </c>
      <c r="AG272" s="5" t="s">
        <v>187</v>
      </c>
    </row>
    <row r="273" spans="1:38" x14ac:dyDescent="0.35">
      <c r="A273" s="2">
        <v>3</v>
      </c>
      <c r="B273" s="15">
        <v>0.41458333333333336</v>
      </c>
      <c r="C273" s="21" t="s">
        <v>130</v>
      </c>
      <c r="Y273" s="16" t="s">
        <v>181</v>
      </c>
      <c r="Z273" s="16" t="s">
        <v>182</v>
      </c>
      <c r="AA273" s="16" t="s">
        <v>221</v>
      </c>
      <c r="AB273" s="16" t="s">
        <v>183</v>
      </c>
      <c r="AC273" s="16" t="s">
        <v>169</v>
      </c>
      <c r="AD273" s="16" t="s">
        <v>185</v>
      </c>
      <c r="AE273" s="16" t="s">
        <v>183</v>
      </c>
    </row>
    <row r="274" spans="1:38" x14ac:dyDescent="0.35">
      <c r="A274" s="7">
        <v>3</v>
      </c>
      <c r="B274" s="15">
        <v>0.40555555555555556</v>
      </c>
      <c r="C274" s="21" t="s">
        <v>130</v>
      </c>
      <c r="AF274" s="5" t="s">
        <v>215</v>
      </c>
      <c r="AG274" s="5" t="s">
        <v>187</v>
      </c>
    </row>
    <row r="275" spans="1:38" x14ac:dyDescent="0.35">
      <c r="A275" s="2">
        <v>3</v>
      </c>
      <c r="B275" s="15">
        <v>0.40069444444444446</v>
      </c>
      <c r="C275" s="21" t="s">
        <v>130</v>
      </c>
      <c r="Y275" s="16" t="s">
        <v>181</v>
      </c>
      <c r="Z275" s="16" t="s">
        <v>182</v>
      </c>
      <c r="AA275" s="16" t="s">
        <v>183</v>
      </c>
      <c r="AB275" s="16" t="s">
        <v>183</v>
      </c>
      <c r="AC275" s="16" t="s">
        <v>169</v>
      </c>
      <c r="AD275" s="16" t="s">
        <v>183</v>
      </c>
      <c r="AE275" s="16" t="s">
        <v>183</v>
      </c>
    </row>
    <row r="276" spans="1:38" x14ac:dyDescent="0.35">
      <c r="A276" s="7">
        <v>3</v>
      </c>
      <c r="B276" s="14">
        <v>0.39791666666666664</v>
      </c>
      <c r="C276" s="21" t="s">
        <v>130</v>
      </c>
      <c r="AF276" s="5" t="s">
        <v>221</v>
      </c>
      <c r="AG276" s="5" t="s">
        <v>199</v>
      </c>
      <c r="AH276" s="5" t="s">
        <v>213</v>
      </c>
      <c r="AI276" s="5" t="s">
        <v>205</v>
      </c>
      <c r="AJ276" s="5" t="s">
        <v>192</v>
      </c>
    </row>
    <row r="277" spans="1:38" x14ac:dyDescent="0.35">
      <c r="A277" s="2">
        <v>3</v>
      </c>
      <c r="B277" s="15">
        <v>0.39097222222222222</v>
      </c>
      <c r="C277" s="21" t="s">
        <v>130</v>
      </c>
      <c r="Y277" s="16" t="s">
        <v>181</v>
      </c>
      <c r="Z277" s="16" t="s">
        <v>221</v>
      </c>
      <c r="AA277" s="16" t="s">
        <v>183</v>
      </c>
      <c r="AB277" s="16" t="s">
        <v>183</v>
      </c>
      <c r="AC277" s="16" t="s">
        <v>206</v>
      </c>
      <c r="AD277" s="16" t="s">
        <v>183</v>
      </c>
      <c r="AE277" s="16" t="s">
        <v>183</v>
      </c>
      <c r="AF277" s="5" t="s">
        <v>218</v>
      </c>
      <c r="AG277" s="5" t="s">
        <v>199</v>
      </c>
      <c r="AH277" s="5" t="s">
        <v>186</v>
      </c>
      <c r="AI277" s="5" t="s">
        <v>213</v>
      </c>
      <c r="AJ277" s="5" t="s">
        <v>209</v>
      </c>
    </row>
    <row r="278" spans="1:38" x14ac:dyDescent="0.35">
      <c r="A278" s="7">
        <v>3</v>
      </c>
      <c r="B278" s="15">
        <v>0.38194444444444442</v>
      </c>
      <c r="C278" s="21" t="s">
        <v>130</v>
      </c>
      <c r="Y278" s="16" t="s">
        <v>181</v>
      </c>
      <c r="Z278" s="16" t="s">
        <v>229</v>
      </c>
      <c r="AA278" s="16" t="s">
        <v>183</v>
      </c>
      <c r="AB278" s="16" t="s">
        <v>183</v>
      </c>
      <c r="AC278" s="16" t="s">
        <v>206</v>
      </c>
      <c r="AD278" s="16" t="s">
        <v>183</v>
      </c>
      <c r="AE278" s="16" t="s">
        <v>183</v>
      </c>
      <c r="AF278" s="5" t="s">
        <v>213</v>
      </c>
      <c r="AG278" s="5" t="s">
        <v>199</v>
      </c>
      <c r="AH278" s="5" t="s">
        <v>183</v>
      </c>
      <c r="AI278" s="5" t="s">
        <v>216</v>
      </c>
      <c r="AJ278" s="5" t="s">
        <v>203</v>
      </c>
    </row>
    <row r="279" spans="1:38" x14ac:dyDescent="0.35">
      <c r="A279" s="7">
        <v>3</v>
      </c>
      <c r="B279" s="15">
        <v>0.37569444444444444</v>
      </c>
      <c r="C279" s="21" t="s">
        <v>130</v>
      </c>
      <c r="Y279" s="16" t="s">
        <v>181</v>
      </c>
      <c r="Z279" s="16" t="s">
        <v>214</v>
      </c>
      <c r="AA279" s="16" t="s">
        <v>201</v>
      </c>
      <c r="AB279" s="16" t="s">
        <v>183</v>
      </c>
      <c r="AC279" s="16" t="s">
        <v>169</v>
      </c>
      <c r="AD279" s="16" t="s">
        <v>183</v>
      </c>
      <c r="AE279" s="16" t="s">
        <v>183</v>
      </c>
    </row>
    <row r="280" spans="1:38" x14ac:dyDescent="0.35">
      <c r="A280" s="2">
        <v>3</v>
      </c>
      <c r="B280" s="15">
        <v>0.37152777777777779</v>
      </c>
      <c r="C280" s="21" t="s">
        <v>130</v>
      </c>
      <c r="AF280" s="5" t="s">
        <v>208</v>
      </c>
      <c r="AG280" s="5" t="s">
        <v>198</v>
      </c>
    </row>
    <row r="281" spans="1:38" x14ac:dyDescent="0.35">
      <c r="A281" s="7">
        <v>3</v>
      </c>
      <c r="B281" s="15">
        <v>0.36944444444444446</v>
      </c>
      <c r="C281" s="21" t="s">
        <v>130</v>
      </c>
      <c r="AF281" s="5" t="s">
        <v>208</v>
      </c>
      <c r="AG281" s="5" t="s">
        <v>199</v>
      </c>
      <c r="AH281" s="5" t="s">
        <v>213</v>
      </c>
      <c r="AI281" s="5" t="s">
        <v>229</v>
      </c>
      <c r="AJ281" s="5" t="s">
        <v>187</v>
      </c>
    </row>
    <row r="282" spans="1:38" x14ac:dyDescent="0.35">
      <c r="A282" s="2">
        <v>3</v>
      </c>
      <c r="B282" s="15">
        <v>0.3576388888888889</v>
      </c>
      <c r="C282" s="21" t="s">
        <v>130</v>
      </c>
      <c r="Y282" s="16" t="s">
        <v>184</v>
      </c>
      <c r="Z282" s="16" t="s">
        <v>225</v>
      </c>
      <c r="AA282" s="16" t="s">
        <v>210</v>
      </c>
      <c r="AB282" s="16" t="s">
        <v>134</v>
      </c>
      <c r="AC282" s="16" t="s">
        <v>206</v>
      </c>
      <c r="AD282" s="16" t="s">
        <v>183</v>
      </c>
      <c r="AE282" s="16" t="s">
        <v>134</v>
      </c>
    </row>
    <row r="283" spans="1:38" x14ac:dyDescent="0.35">
      <c r="A283" s="7">
        <v>3</v>
      </c>
      <c r="B283" s="14">
        <v>0.35625000000000001</v>
      </c>
      <c r="C283" s="21" t="s">
        <v>130</v>
      </c>
      <c r="D283" s="1" t="s">
        <v>131</v>
      </c>
      <c r="E283" s="1">
        <v>18</v>
      </c>
      <c r="F283" s="1" t="s">
        <v>138</v>
      </c>
      <c r="G283" s="1">
        <v>63</v>
      </c>
      <c r="J283" s="1" t="s">
        <v>159</v>
      </c>
      <c r="M283" s="1" t="s">
        <v>139</v>
      </c>
      <c r="N283" s="1" t="s">
        <v>139</v>
      </c>
      <c r="P283" s="1" t="s">
        <v>135</v>
      </c>
      <c r="Q283" s="1" t="s">
        <v>136</v>
      </c>
      <c r="R283" s="1" t="s">
        <v>137</v>
      </c>
      <c r="U283" s="1">
        <v>-1</v>
      </c>
      <c r="V283" s="1">
        <v>31</v>
      </c>
      <c r="W283" s="1">
        <v>20003</v>
      </c>
      <c r="X283" s="1">
        <v>45573</v>
      </c>
      <c r="AK283" s="7"/>
      <c r="AL283" s="23"/>
    </row>
    <row r="284" spans="1:38" x14ac:dyDescent="0.35">
      <c r="A284" s="2">
        <v>3</v>
      </c>
      <c r="B284" s="15">
        <v>0.34236111111111112</v>
      </c>
      <c r="C284" s="21" t="s">
        <v>130</v>
      </c>
      <c r="Y284" s="16" t="s">
        <v>181</v>
      </c>
      <c r="Z284" s="16" t="s">
        <v>190</v>
      </c>
      <c r="AA284" s="16" t="s">
        <v>183</v>
      </c>
      <c r="AC284" s="16" t="s">
        <v>206</v>
      </c>
      <c r="AD284" s="16" t="s">
        <v>195</v>
      </c>
      <c r="AE284" s="16" t="s">
        <v>183</v>
      </c>
    </row>
    <row r="285" spans="1:38" x14ac:dyDescent="0.35">
      <c r="A285" s="7">
        <v>3</v>
      </c>
      <c r="B285" s="15">
        <v>0.33541666666666664</v>
      </c>
      <c r="C285" s="21" t="s">
        <v>130</v>
      </c>
      <c r="AF285" s="5" t="s">
        <v>210</v>
      </c>
      <c r="AG285" s="5" t="s">
        <v>209</v>
      </c>
    </row>
    <row r="286" spans="1:38" x14ac:dyDescent="0.35">
      <c r="A286" s="2">
        <v>3</v>
      </c>
      <c r="B286" s="15">
        <v>0.33124999999999999</v>
      </c>
      <c r="C286" s="21" t="s">
        <v>130</v>
      </c>
      <c r="AF286" s="5" t="s">
        <v>217</v>
      </c>
      <c r="AG286" s="5" t="s">
        <v>203</v>
      </c>
    </row>
    <row r="287" spans="1:38" x14ac:dyDescent="0.35">
      <c r="A287" s="2">
        <v>3</v>
      </c>
      <c r="B287" s="15">
        <v>0.32430555555555557</v>
      </c>
      <c r="C287" s="21" t="s">
        <v>130</v>
      </c>
      <c r="Y287" s="16" t="s">
        <v>181</v>
      </c>
      <c r="Z287" s="16" t="s">
        <v>217</v>
      </c>
      <c r="AA287" s="16" t="s">
        <v>224</v>
      </c>
      <c r="AB287" s="16" t="s">
        <v>183</v>
      </c>
      <c r="AC287" s="16" t="s">
        <v>206</v>
      </c>
      <c r="AD287" s="16" t="s">
        <v>183</v>
      </c>
      <c r="AE287" s="16" t="s">
        <v>183</v>
      </c>
      <c r="AF287" s="5" t="s">
        <v>190</v>
      </c>
      <c r="AG287" s="5" t="s">
        <v>198</v>
      </c>
      <c r="AH287" s="5" t="s">
        <v>200</v>
      </c>
    </row>
    <row r="288" spans="1:38" x14ac:dyDescent="0.35">
      <c r="A288" s="7">
        <v>3</v>
      </c>
      <c r="B288" s="15">
        <v>0.31874999999999998</v>
      </c>
      <c r="C288" s="21" t="s">
        <v>130</v>
      </c>
      <c r="AF288" s="5" t="s">
        <v>224</v>
      </c>
      <c r="AG288" s="5" t="s">
        <v>199</v>
      </c>
      <c r="AH288" s="5" t="s">
        <v>183</v>
      </c>
      <c r="AI288" s="5" t="s">
        <v>195</v>
      </c>
      <c r="AJ288" s="5" t="s">
        <v>209</v>
      </c>
    </row>
    <row r="289" spans="1:38" x14ac:dyDescent="0.35">
      <c r="A289" s="7">
        <v>3</v>
      </c>
      <c r="B289" s="15">
        <v>0.30833333333333335</v>
      </c>
      <c r="C289" s="21" t="s">
        <v>130</v>
      </c>
      <c r="Y289" s="16" t="s">
        <v>232</v>
      </c>
      <c r="Z289" s="16" t="s">
        <v>228</v>
      </c>
      <c r="AA289" s="16" t="s">
        <v>202</v>
      </c>
      <c r="AB289" s="16" t="s">
        <v>183</v>
      </c>
      <c r="AC289" s="16" t="s">
        <v>206</v>
      </c>
      <c r="AD289" s="16" t="s">
        <v>183</v>
      </c>
      <c r="AE289" s="16" t="s">
        <v>183</v>
      </c>
    </row>
    <row r="290" spans="1:38" x14ac:dyDescent="0.35">
      <c r="A290" s="2">
        <v>3</v>
      </c>
      <c r="B290" s="15">
        <v>0.3034722222222222</v>
      </c>
      <c r="C290" s="21" t="s">
        <v>130</v>
      </c>
      <c r="Y290" s="16" t="s">
        <v>181</v>
      </c>
      <c r="Z290" s="16" t="s">
        <v>228</v>
      </c>
      <c r="AA290" s="16" t="s">
        <v>183</v>
      </c>
      <c r="AB290" s="16" t="s">
        <v>183</v>
      </c>
      <c r="AC290" s="16" t="s">
        <v>206</v>
      </c>
      <c r="AD290" s="16" t="s">
        <v>183</v>
      </c>
      <c r="AE290" s="16" t="s">
        <v>183</v>
      </c>
      <c r="AF290" s="5" t="s">
        <v>197</v>
      </c>
      <c r="AG290" s="5" t="s">
        <v>199</v>
      </c>
      <c r="AH290" s="5" t="s">
        <v>183</v>
      </c>
      <c r="AI290" s="5" t="s">
        <v>202</v>
      </c>
      <c r="AJ290" s="5" t="s">
        <v>187</v>
      </c>
    </row>
    <row r="291" spans="1:38" x14ac:dyDescent="0.35">
      <c r="A291" s="7">
        <v>3</v>
      </c>
      <c r="B291" s="14">
        <v>0.3</v>
      </c>
      <c r="C291" s="21" t="s">
        <v>130</v>
      </c>
      <c r="AF291" s="5" t="s">
        <v>224</v>
      </c>
      <c r="AG291" s="5" t="s">
        <v>192</v>
      </c>
    </row>
    <row r="292" spans="1:38" x14ac:dyDescent="0.35">
      <c r="A292" s="7">
        <v>3</v>
      </c>
      <c r="B292" s="15">
        <v>0.29444444444444445</v>
      </c>
      <c r="C292" s="21" t="s">
        <v>130</v>
      </c>
      <c r="Y292" s="16" t="s">
        <v>181</v>
      </c>
      <c r="Z292" s="16" t="s">
        <v>202</v>
      </c>
      <c r="AA292" s="16" t="s">
        <v>183</v>
      </c>
      <c r="AB292" s="16" t="s">
        <v>183</v>
      </c>
      <c r="AC292" s="16" t="s">
        <v>169</v>
      </c>
      <c r="AD292" s="16" t="s">
        <v>183</v>
      </c>
      <c r="AE292" s="16" t="s">
        <v>183</v>
      </c>
    </row>
    <row r="293" spans="1:38" x14ac:dyDescent="0.35">
      <c r="A293" s="2">
        <v>3</v>
      </c>
      <c r="B293" s="15">
        <v>0.29444444444444445</v>
      </c>
      <c r="C293" s="21" t="s">
        <v>130</v>
      </c>
      <c r="AF293" s="5" t="s">
        <v>204</v>
      </c>
      <c r="AG293" s="5" t="s">
        <v>209</v>
      </c>
    </row>
    <row r="294" spans="1:38" x14ac:dyDescent="0.35">
      <c r="A294" s="7">
        <v>3</v>
      </c>
      <c r="B294" s="15">
        <v>0.28958333333333336</v>
      </c>
      <c r="C294" s="21" t="s">
        <v>130</v>
      </c>
      <c r="AF294" s="5" t="s">
        <v>204</v>
      </c>
      <c r="AG294" s="5" t="s">
        <v>199</v>
      </c>
      <c r="AH294" s="5" t="s">
        <v>227</v>
      </c>
      <c r="AI294" s="5" t="s">
        <v>228</v>
      </c>
      <c r="AJ294" s="5" t="s">
        <v>198</v>
      </c>
    </row>
    <row r="295" spans="1:38" x14ac:dyDescent="0.35">
      <c r="A295" s="7">
        <v>3</v>
      </c>
      <c r="B295" s="15">
        <v>0.28333333333333333</v>
      </c>
      <c r="C295" s="21" t="s">
        <v>130</v>
      </c>
      <c r="AF295" s="5" t="s">
        <v>204</v>
      </c>
      <c r="AG295" s="5" t="s">
        <v>198</v>
      </c>
      <c r="AH295" s="5" t="s">
        <v>215</v>
      </c>
    </row>
    <row r="296" spans="1:38" x14ac:dyDescent="0.35">
      <c r="A296" s="2">
        <v>3</v>
      </c>
      <c r="B296" s="15">
        <v>0.28194444444444444</v>
      </c>
      <c r="C296" s="21" t="s">
        <v>130</v>
      </c>
      <c r="D296" s="1" t="s">
        <v>131</v>
      </c>
      <c r="E296" s="1">
        <v>10</v>
      </c>
      <c r="F296" s="1" t="s">
        <v>132</v>
      </c>
      <c r="G296" s="1">
        <v>71</v>
      </c>
      <c r="J296" s="1" t="s">
        <v>157</v>
      </c>
      <c r="N296" s="1" t="s">
        <v>134</v>
      </c>
      <c r="P296" s="1" t="s">
        <v>140</v>
      </c>
      <c r="Q296" s="1" t="s">
        <v>141</v>
      </c>
      <c r="U296" s="1">
        <v>-1</v>
      </c>
      <c r="V296" s="1">
        <v>31</v>
      </c>
      <c r="W296" s="1">
        <v>20003</v>
      </c>
      <c r="X296" s="1">
        <v>45573</v>
      </c>
      <c r="AK296" s="7"/>
      <c r="AL296" s="23"/>
    </row>
    <row r="297" spans="1:38" x14ac:dyDescent="0.35">
      <c r="A297" s="2">
        <v>3</v>
      </c>
      <c r="B297" s="15">
        <v>0.27777777777777779</v>
      </c>
      <c r="C297" s="21" t="s">
        <v>130</v>
      </c>
      <c r="AF297" s="5" t="s">
        <v>210</v>
      </c>
      <c r="AG297" s="5" t="s">
        <v>187</v>
      </c>
      <c r="AH297" s="5" t="s">
        <v>231</v>
      </c>
    </row>
    <row r="298" spans="1:38" x14ac:dyDescent="0.35">
      <c r="A298" s="7">
        <v>3</v>
      </c>
      <c r="B298" s="14">
        <v>0.26250000000000001</v>
      </c>
      <c r="C298" s="21" t="s">
        <v>130</v>
      </c>
      <c r="Y298" s="16" t="s">
        <v>181</v>
      </c>
      <c r="Z298" s="16" t="s">
        <v>185</v>
      </c>
      <c r="AA298" s="16" t="s">
        <v>183</v>
      </c>
      <c r="AB298" s="16" t="s">
        <v>183</v>
      </c>
      <c r="AC298" s="16" t="s">
        <v>169</v>
      </c>
      <c r="AD298" s="16" t="s">
        <v>183</v>
      </c>
      <c r="AE298" s="16" t="s">
        <v>183</v>
      </c>
    </row>
    <row r="299" spans="1:38" x14ac:dyDescent="0.35">
      <c r="A299" s="2">
        <v>3</v>
      </c>
      <c r="B299" s="15">
        <v>0.25555555555555554</v>
      </c>
      <c r="C299" s="21" t="s">
        <v>130</v>
      </c>
      <c r="Y299" s="16" t="s">
        <v>181</v>
      </c>
      <c r="Z299" s="16" t="s">
        <v>223</v>
      </c>
      <c r="AA299" s="16" t="s">
        <v>216</v>
      </c>
      <c r="AB299" s="16" t="s">
        <v>183</v>
      </c>
      <c r="AC299" s="16" t="s">
        <v>206</v>
      </c>
      <c r="AD299" s="16" t="s">
        <v>183</v>
      </c>
      <c r="AE299" s="16" t="s">
        <v>183</v>
      </c>
      <c r="AF299" s="5" t="s">
        <v>216</v>
      </c>
      <c r="AG299" s="5" t="s">
        <v>196</v>
      </c>
      <c r="AH299" s="5" t="s">
        <v>217</v>
      </c>
    </row>
    <row r="300" spans="1:38" x14ac:dyDescent="0.35">
      <c r="A300" s="2">
        <v>3</v>
      </c>
      <c r="B300" s="15">
        <v>0.24791666666666667</v>
      </c>
      <c r="C300" s="21" t="s">
        <v>130</v>
      </c>
      <c r="D300" s="1" t="s">
        <v>131</v>
      </c>
      <c r="E300" s="1">
        <v>26</v>
      </c>
      <c r="F300" s="1" t="s">
        <v>138</v>
      </c>
      <c r="N300" s="1" t="s">
        <v>139</v>
      </c>
      <c r="P300" s="1" t="s">
        <v>140</v>
      </c>
      <c r="Q300" s="1" t="s">
        <v>141</v>
      </c>
      <c r="U300" s="1">
        <v>-1</v>
      </c>
      <c r="V300" s="1">
        <v>31</v>
      </c>
      <c r="W300" s="1">
        <v>20003</v>
      </c>
      <c r="X300" s="1">
        <v>45573</v>
      </c>
      <c r="AK300" s="7"/>
      <c r="AL300" s="23"/>
    </row>
    <row r="301" spans="1:38" x14ac:dyDescent="0.35">
      <c r="A301" s="2">
        <v>3</v>
      </c>
      <c r="B301" s="15">
        <v>0.24513888888888888</v>
      </c>
      <c r="C301" s="21" t="s">
        <v>130</v>
      </c>
      <c r="AF301" s="5" t="s">
        <v>210</v>
      </c>
      <c r="AG301" s="5" t="s">
        <v>203</v>
      </c>
    </row>
    <row r="302" spans="1:38" x14ac:dyDescent="0.35">
      <c r="A302" s="7">
        <v>3</v>
      </c>
      <c r="B302" s="14">
        <v>0.24166666666666667</v>
      </c>
      <c r="C302" s="21" t="s">
        <v>130</v>
      </c>
      <c r="Y302" s="16" t="s">
        <v>181</v>
      </c>
      <c r="Z302" s="16" t="s">
        <v>185</v>
      </c>
      <c r="AA302" s="16" t="s">
        <v>224</v>
      </c>
      <c r="AB302" s="16" t="s">
        <v>183</v>
      </c>
      <c r="AC302" s="16" t="s">
        <v>206</v>
      </c>
      <c r="AD302" s="16" t="s">
        <v>183</v>
      </c>
      <c r="AE302" s="16" t="s">
        <v>183</v>
      </c>
      <c r="AF302" s="5" t="s">
        <v>221</v>
      </c>
      <c r="AG302" s="5" t="s">
        <v>199</v>
      </c>
      <c r="AH302" s="5" t="s">
        <v>183</v>
      </c>
      <c r="AI302" s="5" t="s">
        <v>224</v>
      </c>
      <c r="AJ302" s="5" t="s">
        <v>192</v>
      </c>
    </row>
    <row r="303" spans="1:38" x14ac:dyDescent="0.35">
      <c r="A303" s="2">
        <v>3</v>
      </c>
      <c r="B303" s="15">
        <v>0.22708333333333333</v>
      </c>
      <c r="C303" s="21" t="s">
        <v>130</v>
      </c>
      <c r="Y303" s="16" t="s">
        <v>184</v>
      </c>
      <c r="Z303" s="16" t="s">
        <v>205</v>
      </c>
      <c r="AA303" s="16" t="s">
        <v>197</v>
      </c>
      <c r="AB303" s="16" t="s">
        <v>183</v>
      </c>
      <c r="AC303" s="16" t="s">
        <v>206</v>
      </c>
      <c r="AD303" s="16" t="s">
        <v>183</v>
      </c>
      <c r="AE303" s="16" t="s">
        <v>183</v>
      </c>
    </row>
    <row r="304" spans="1:38" x14ac:dyDescent="0.35">
      <c r="A304" s="7">
        <v>3</v>
      </c>
      <c r="B304" s="15">
        <v>0.22361111111111112</v>
      </c>
      <c r="C304" s="21" t="s">
        <v>130</v>
      </c>
      <c r="AF304" s="5" t="s">
        <v>229</v>
      </c>
      <c r="AG304" s="5" t="s">
        <v>199</v>
      </c>
      <c r="AH304" s="5" t="s">
        <v>183</v>
      </c>
      <c r="AI304" s="5" t="s">
        <v>197</v>
      </c>
      <c r="AJ304" s="5" t="s">
        <v>187</v>
      </c>
    </row>
    <row r="305" spans="1:38" x14ac:dyDescent="0.35">
      <c r="A305" s="2">
        <v>3</v>
      </c>
      <c r="B305" s="15">
        <v>0.21875</v>
      </c>
      <c r="C305" s="21" t="s">
        <v>130</v>
      </c>
      <c r="AF305" s="5" t="s">
        <v>211</v>
      </c>
      <c r="AG305" s="5" t="s">
        <v>192</v>
      </c>
    </row>
    <row r="306" spans="1:38" x14ac:dyDescent="0.35">
      <c r="A306" s="7">
        <v>3</v>
      </c>
      <c r="B306" s="15">
        <v>0.21388888888888888</v>
      </c>
      <c r="C306" s="21" t="s">
        <v>130</v>
      </c>
      <c r="Y306" s="16" t="s">
        <v>232</v>
      </c>
      <c r="Z306" s="16" t="s">
        <v>205</v>
      </c>
      <c r="AA306" s="16" t="s">
        <v>188</v>
      </c>
      <c r="AB306" s="16" t="s">
        <v>183</v>
      </c>
      <c r="AC306" s="16" t="s">
        <v>169</v>
      </c>
      <c r="AD306" s="16" t="s">
        <v>183</v>
      </c>
      <c r="AE306" s="16" t="s">
        <v>183</v>
      </c>
    </row>
    <row r="307" spans="1:38" x14ac:dyDescent="0.35">
      <c r="A307" s="7">
        <v>3</v>
      </c>
      <c r="B307" s="14">
        <v>0.20624999999999999</v>
      </c>
      <c r="C307" s="21" t="s">
        <v>130</v>
      </c>
      <c r="Y307" s="16" t="s">
        <v>181</v>
      </c>
      <c r="Z307" s="16" t="s">
        <v>216</v>
      </c>
      <c r="AA307" s="16" t="s">
        <v>183</v>
      </c>
      <c r="AB307" s="16" t="s">
        <v>183</v>
      </c>
      <c r="AC307" s="16" t="s">
        <v>169</v>
      </c>
      <c r="AD307" s="16" t="s">
        <v>183</v>
      </c>
      <c r="AE307" s="16" t="s">
        <v>183</v>
      </c>
      <c r="AF307" s="5" t="s">
        <v>188</v>
      </c>
      <c r="AG307" s="5" t="s">
        <v>192</v>
      </c>
      <c r="AH307" s="5" t="s">
        <v>193</v>
      </c>
    </row>
    <row r="308" spans="1:38" x14ac:dyDescent="0.35">
      <c r="A308" s="7">
        <v>3</v>
      </c>
      <c r="B308" s="15">
        <v>0.19930555555555557</v>
      </c>
      <c r="C308" s="21" t="s">
        <v>130</v>
      </c>
      <c r="Y308" s="16" t="s">
        <v>184</v>
      </c>
      <c r="Z308" s="16" t="s">
        <v>212</v>
      </c>
      <c r="AA308" s="16" t="s">
        <v>210</v>
      </c>
      <c r="AB308" s="16" t="s">
        <v>183</v>
      </c>
      <c r="AC308" s="16" t="s">
        <v>169</v>
      </c>
      <c r="AD308" s="16" t="s">
        <v>183</v>
      </c>
      <c r="AE308" s="16" t="s">
        <v>183</v>
      </c>
    </row>
    <row r="309" spans="1:38" x14ac:dyDescent="0.35">
      <c r="A309" s="2">
        <v>3</v>
      </c>
      <c r="B309" s="15">
        <v>0.19444444444444445</v>
      </c>
      <c r="C309" s="21" t="s">
        <v>130</v>
      </c>
      <c r="Y309" s="16" t="s">
        <v>184</v>
      </c>
      <c r="Z309" s="16" t="s">
        <v>191</v>
      </c>
      <c r="AA309" s="16" t="s">
        <v>188</v>
      </c>
      <c r="AB309" s="16" t="s">
        <v>183</v>
      </c>
      <c r="AC309" s="16" t="s">
        <v>169</v>
      </c>
      <c r="AD309" s="16" t="s">
        <v>183</v>
      </c>
      <c r="AE309" s="16" t="s">
        <v>183</v>
      </c>
    </row>
    <row r="310" spans="1:38" x14ac:dyDescent="0.35">
      <c r="A310" s="7">
        <v>3</v>
      </c>
      <c r="B310" s="15">
        <v>0.19097222222222221</v>
      </c>
      <c r="C310" s="21" t="s">
        <v>130</v>
      </c>
      <c r="AF310" s="5" t="s">
        <v>197</v>
      </c>
      <c r="AG310" s="5" t="s">
        <v>199</v>
      </c>
      <c r="AH310" s="5" t="s">
        <v>183</v>
      </c>
      <c r="AI310" s="5" t="s">
        <v>190</v>
      </c>
      <c r="AJ310" s="5" t="s">
        <v>192</v>
      </c>
    </row>
    <row r="311" spans="1:38" x14ac:dyDescent="0.35">
      <c r="A311" s="7">
        <v>3</v>
      </c>
      <c r="B311" s="15">
        <v>0.18333333333333332</v>
      </c>
      <c r="C311" s="21" t="s">
        <v>130</v>
      </c>
      <c r="AF311" s="5" t="s">
        <v>216</v>
      </c>
      <c r="AG311" s="5" t="s">
        <v>199</v>
      </c>
      <c r="AH311" s="5" t="s">
        <v>183</v>
      </c>
      <c r="AI311" s="5" t="s">
        <v>210</v>
      </c>
      <c r="AJ311" s="5" t="s">
        <v>209</v>
      </c>
    </row>
    <row r="312" spans="1:38" x14ac:dyDescent="0.35">
      <c r="A312" s="2">
        <v>3</v>
      </c>
      <c r="B312" s="15">
        <v>0.17708333333333334</v>
      </c>
      <c r="C312" s="21" t="s">
        <v>130</v>
      </c>
      <c r="Y312" s="16" t="s">
        <v>181</v>
      </c>
      <c r="Z312" s="16" t="s">
        <v>201</v>
      </c>
      <c r="AA312" s="16" t="s">
        <v>183</v>
      </c>
      <c r="AB312" s="16" t="s">
        <v>183</v>
      </c>
      <c r="AC312" s="16" t="s">
        <v>206</v>
      </c>
      <c r="AD312" s="16" t="s">
        <v>183</v>
      </c>
      <c r="AE312" s="16" t="s">
        <v>183</v>
      </c>
      <c r="AF312" s="5" t="s">
        <v>210</v>
      </c>
      <c r="AG312" s="5" t="s">
        <v>199</v>
      </c>
      <c r="AH312" s="5" t="s">
        <v>183</v>
      </c>
      <c r="AI312" s="5" t="s">
        <v>222</v>
      </c>
      <c r="AJ312" s="5" t="s">
        <v>187</v>
      </c>
    </row>
    <row r="313" spans="1:38" x14ac:dyDescent="0.35">
      <c r="A313" s="2">
        <v>3</v>
      </c>
      <c r="B313" s="15">
        <v>0.16944444444444445</v>
      </c>
      <c r="C313" s="21" t="s">
        <v>130</v>
      </c>
      <c r="Y313" s="16" t="s">
        <v>181</v>
      </c>
      <c r="Z313" s="16" t="s">
        <v>222</v>
      </c>
      <c r="AA313" s="16" t="s">
        <v>183</v>
      </c>
      <c r="AB313" s="16" t="s">
        <v>183</v>
      </c>
      <c r="AC313" s="16" t="s">
        <v>206</v>
      </c>
      <c r="AD313" s="16" t="s">
        <v>200</v>
      </c>
      <c r="AE313" s="16" t="s">
        <v>183</v>
      </c>
    </row>
    <row r="314" spans="1:38" x14ac:dyDescent="0.35">
      <c r="A314" s="7">
        <v>3</v>
      </c>
      <c r="B314" s="15">
        <v>0.16458333333333333</v>
      </c>
      <c r="C314" s="21" t="s">
        <v>130</v>
      </c>
      <c r="D314" s="1" t="s">
        <v>142</v>
      </c>
      <c r="E314" s="1">
        <v>12</v>
      </c>
      <c r="F314" s="1" t="s">
        <v>138</v>
      </c>
      <c r="P314" s="1" t="s">
        <v>140</v>
      </c>
      <c r="Q314" s="1" t="s">
        <v>141</v>
      </c>
      <c r="U314" s="1">
        <v>-1</v>
      </c>
      <c r="V314" s="1">
        <v>50</v>
      </c>
      <c r="W314" s="1">
        <v>20003</v>
      </c>
      <c r="X314" s="1">
        <v>45573</v>
      </c>
      <c r="AK314" s="7"/>
      <c r="AL314" s="23"/>
    </row>
    <row r="315" spans="1:38" x14ac:dyDescent="0.35">
      <c r="A315" s="7">
        <v>3</v>
      </c>
      <c r="B315" s="15">
        <v>0.15555555555555556</v>
      </c>
      <c r="C315" s="21" t="s">
        <v>130</v>
      </c>
      <c r="Y315" s="16" t="s">
        <v>181</v>
      </c>
      <c r="Z315" s="16" t="s">
        <v>228</v>
      </c>
      <c r="AA315" s="16" t="s">
        <v>183</v>
      </c>
      <c r="AB315" s="16" t="s">
        <v>183</v>
      </c>
      <c r="AC315" s="16" t="s">
        <v>206</v>
      </c>
      <c r="AD315" s="16" t="s">
        <v>183</v>
      </c>
      <c r="AE315" s="16" t="s">
        <v>183</v>
      </c>
      <c r="AF315" s="5" t="s">
        <v>224</v>
      </c>
      <c r="AG315" s="5" t="s">
        <v>199</v>
      </c>
      <c r="AH315" s="5" t="s">
        <v>222</v>
      </c>
      <c r="AI315" s="5" t="s">
        <v>231</v>
      </c>
      <c r="AJ315" s="5" t="s">
        <v>198</v>
      </c>
    </row>
    <row r="316" spans="1:38" x14ac:dyDescent="0.35">
      <c r="A316" s="2">
        <v>3</v>
      </c>
      <c r="B316" s="15">
        <v>0.14027777777777778</v>
      </c>
      <c r="C316" s="21" t="s">
        <v>130</v>
      </c>
      <c r="Y316" s="16" t="s">
        <v>184</v>
      </c>
      <c r="Z316" s="16" t="s">
        <v>219</v>
      </c>
      <c r="AA316" s="16" t="s">
        <v>204</v>
      </c>
      <c r="AB316" s="16" t="s">
        <v>183</v>
      </c>
      <c r="AC316" s="16" t="s">
        <v>206</v>
      </c>
      <c r="AD316" s="16" t="s">
        <v>183</v>
      </c>
      <c r="AE316" s="16" t="s">
        <v>183</v>
      </c>
    </row>
    <row r="317" spans="1:38" x14ac:dyDescent="0.35">
      <c r="A317" s="7">
        <v>3</v>
      </c>
      <c r="B317" s="15">
        <v>0.13472222222222222</v>
      </c>
      <c r="C317" s="21" t="s">
        <v>130</v>
      </c>
      <c r="AF317" s="5" t="s">
        <v>228</v>
      </c>
      <c r="AG317" s="5" t="s">
        <v>199</v>
      </c>
      <c r="AH317" s="5" t="s">
        <v>183</v>
      </c>
      <c r="AI317" s="5" t="s">
        <v>182</v>
      </c>
      <c r="AJ317" s="5" t="s">
        <v>209</v>
      </c>
    </row>
    <row r="318" spans="1:38" x14ac:dyDescent="0.35">
      <c r="A318" s="2">
        <v>3</v>
      </c>
      <c r="B318" s="15">
        <v>0.11874999999999999</v>
      </c>
      <c r="C318" s="21" t="s">
        <v>130</v>
      </c>
      <c r="Y318" s="16" t="s">
        <v>184</v>
      </c>
      <c r="Z318" s="16" t="s">
        <v>182</v>
      </c>
      <c r="AA318" s="16" t="s">
        <v>188</v>
      </c>
      <c r="AB318" s="16" t="s">
        <v>183</v>
      </c>
      <c r="AC318" s="16" t="s">
        <v>169</v>
      </c>
      <c r="AD318" s="16" t="s">
        <v>183</v>
      </c>
      <c r="AE318" s="16" t="s">
        <v>183</v>
      </c>
    </row>
    <row r="319" spans="1:38" x14ac:dyDescent="0.35">
      <c r="A319" s="7">
        <v>3</v>
      </c>
      <c r="B319" s="15">
        <v>0.11388888888888889</v>
      </c>
      <c r="C319" s="21" t="s">
        <v>130</v>
      </c>
      <c r="AF319" s="5" t="s">
        <v>186</v>
      </c>
      <c r="AG319" s="5" t="s">
        <v>187</v>
      </c>
    </row>
    <row r="320" spans="1:38" x14ac:dyDescent="0.35">
      <c r="A320" s="7">
        <v>3</v>
      </c>
      <c r="B320" s="15">
        <v>0.1076388888888889</v>
      </c>
      <c r="C320" s="21" t="s">
        <v>130</v>
      </c>
      <c r="Y320" s="16" t="s">
        <v>181</v>
      </c>
      <c r="Z320" s="16" t="s">
        <v>216</v>
      </c>
      <c r="AA320" s="16" t="s">
        <v>183</v>
      </c>
      <c r="AB320" s="16" t="s">
        <v>183</v>
      </c>
      <c r="AC320" s="16" t="s">
        <v>169</v>
      </c>
      <c r="AD320" s="16" t="s">
        <v>183</v>
      </c>
      <c r="AE320" s="16" t="s">
        <v>183</v>
      </c>
    </row>
    <row r="321" spans="1:38" x14ac:dyDescent="0.35">
      <c r="A321" s="7">
        <v>3</v>
      </c>
      <c r="B321" s="15">
        <v>0.10416666666666667</v>
      </c>
      <c r="C321" s="21" t="s">
        <v>130</v>
      </c>
      <c r="Y321" s="16" t="s">
        <v>194</v>
      </c>
      <c r="Z321" s="16" t="s">
        <v>131</v>
      </c>
      <c r="AD321" s="16" t="s">
        <v>186</v>
      </c>
    </row>
    <row r="322" spans="1:38" x14ac:dyDescent="0.35">
      <c r="A322" s="2">
        <v>3</v>
      </c>
      <c r="B322" s="15">
        <v>0.1</v>
      </c>
      <c r="C322" s="21" t="s">
        <v>130</v>
      </c>
      <c r="D322" s="1" t="s">
        <v>131</v>
      </c>
      <c r="E322" s="1">
        <v>4</v>
      </c>
      <c r="F322" s="1" t="s">
        <v>171</v>
      </c>
      <c r="G322" s="1">
        <v>63</v>
      </c>
      <c r="H322" s="1">
        <v>81</v>
      </c>
      <c r="J322" s="1" t="s">
        <v>144</v>
      </c>
      <c r="K322" s="1" t="s">
        <v>144</v>
      </c>
      <c r="M322" s="1" t="s">
        <v>134</v>
      </c>
      <c r="N322" s="1" t="s">
        <v>134</v>
      </c>
      <c r="P322" s="1" t="s">
        <v>140</v>
      </c>
      <c r="Q322" s="1" t="s">
        <v>141</v>
      </c>
      <c r="U322" s="1">
        <v>-1</v>
      </c>
      <c r="V322" s="1">
        <v>31</v>
      </c>
      <c r="W322" s="1">
        <v>20003</v>
      </c>
      <c r="X322" s="1">
        <v>45573</v>
      </c>
      <c r="AK322" s="7"/>
      <c r="AL322" s="23"/>
    </row>
    <row r="323" spans="1:38" x14ac:dyDescent="0.35">
      <c r="A323" s="2">
        <v>3</v>
      </c>
      <c r="B323" s="15">
        <v>9.6527777777777782E-2</v>
      </c>
      <c r="C323" s="21" t="s">
        <v>130</v>
      </c>
      <c r="AF323" s="5" t="s">
        <v>213</v>
      </c>
      <c r="AG323" s="5" t="s">
        <v>192</v>
      </c>
    </row>
    <row r="324" spans="1:38" x14ac:dyDescent="0.35">
      <c r="A324" s="7">
        <v>3</v>
      </c>
      <c r="B324" s="14">
        <v>9.3055555555555558E-2</v>
      </c>
      <c r="C324" s="21" t="s">
        <v>130</v>
      </c>
      <c r="Y324" s="16" t="s">
        <v>181</v>
      </c>
      <c r="Z324" s="16" t="s">
        <v>220</v>
      </c>
      <c r="AA324" s="16" t="s">
        <v>201</v>
      </c>
      <c r="AB324" s="16" t="s">
        <v>183</v>
      </c>
      <c r="AC324" s="16" t="s">
        <v>184</v>
      </c>
      <c r="AD324" s="16" t="s">
        <v>183</v>
      </c>
      <c r="AE324" s="16" t="s">
        <v>183</v>
      </c>
      <c r="AF324" s="5" t="s">
        <v>208</v>
      </c>
      <c r="AG324" s="5" t="s">
        <v>199</v>
      </c>
      <c r="AH324" s="5" t="s">
        <v>183</v>
      </c>
      <c r="AI324" s="5" t="s">
        <v>212</v>
      </c>
      <c r="AJ324" s="5" t="s">
        <v>187</v>
      </c>
    </row>
    <row r="325" spans="1:38" x14ac:dyDescent="0.35">
      <c r="A325" s="2">
        <v>3</v>
      </c>
      <c r="B325" s="15">
        <v>7.9861111111111105E-2</v>
      </c>
      <c r="C325" s="21" t="s">
        <v>130</v>
      </c>
      <c r="Y325" s="16" t="s">
        <v>181</v>
      </c>
      <c r="Z325" s="16" t="s">
        <v>213</v>
      </c>
      <c r="AA325" s="16" t="s">
        <v>183</v>
      </c>
      <c r="AB325" s="16" t="s">
        <v>183</v>
      </c>
      <c r="AC325" s="16" t="s">
        <v>206</v>
      </c>
      <c r="AD325" s="16" t="s">
        <v>213</v>
      </c>
      <c r="AE325" s="16" t="s">
        <v>183</v>
      </c>
    </row>
    <row r="326" spans="1:38" x14ac:dyDescent="0.35">
      <c r="B326" s="15"/>
    </row>
    <row r="327" spans="1:38" x14ac:dyDescent="0.35">
      <c r="A327" s="7"/>
      <c r="B327" s="15"/>
    </row>
    <row r="328" spans="1:38" x14ac:dyDescent="0.35">
      <c r="B328" s="15"/>
    </row>
    <row r="329" spans="1:38" x14ac:dyDescent="0.35">
      <c r="B329" s="15"/>
    </row>
    <row r="330" spans="1:38" x14ac:dyDescent="0.35">
      <c r="B330" s="15"/>
    </row>
    <row r="331" spans="1:38" x14ac:dyDescent="0.35">
      <c r="A331" s="7"/>
      <c r="B331" s="15"/>
    </row>
    <row r="332" spans="1:38" x14ac:dyDescent="0.35">
      <c r="A332" s="7"/>
      <c r="B332" s="15"/>
    </row>
    <row r="333" spans="1:38" x14ac:dyDescent="0.35">
      <c r="B333" s="15"/>
    </row>
    <row r="334" spans="1:38" x14ac:dyDescent="0.35">
      <c r="A334" s="7"/>
      <c r="B334" s="15"/>
    </row>
    <row r="335" spans="1:38" x14ac:dyDescent="0.35">
      <c r="A335" s="7"/>
      <c r="B335" s="15"/>
    </row>
    <row r="336" spans="1:38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L325">
    <sortCondition ref="A2:A325"/>
    <sortCondition descending="1" ref="B2:B325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K2" activePane="bottomRight" state="frozen"/>
      <selection pane="topRight" activeCell="G1" sqref="G1"/>
      <selection pane="bottomLeft" activeCell="A2" sqref="A2"/>
      <selection pane="bottomRight" activeCell="AL17" sqref="AL17:AN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234</v>
      </c>
      <c r="C2" s="8" t="s">
        <v>142</v>
      </c>
      <c r="D2" s="8" t="s">
        <v>181</v>
      </c>
      <c r="E2" s="8">
        <v>17.583333333333002</v>
      </c>
      <c r="F2" s="8" t="s">
        <v>233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8</v>
      </c>
      <c r="AZ2" s="1">
        <f>COUNTIFS(Tracking!AA:AA,A2&amp;C2,Tracking!C:C,"5v5",Tracking!Y:Y,"C")</f>
        <v>6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2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0.9750000000000002</v>
      </c>
      <c r="CK2" s="2">
        <f>(0.075*H2)+(0.07*L2)+(0.055*M2)+(0.055*N2)+(0.095*J2)+(0.09*O2)+(0.05*P2)+(0.05*R2)+(0.05*S2)+(0.05*AB2)</f>
        <v>0.56000000000000005</v>
      </c>
      <c r="CL2" s="2">
        <f t="shared" ref="CL2:CL37" si="2">(0.045*AD2)-(0.045*AE2)+(0.055*AH2)+(0.035*AI2)</f>
        <v>0</v>
      </c>
      <c r="CM2" s="2">
        <f>(0.025*(AY2-AZ2))+(0.035*BA2)-(0.035*BB2)-(0.035*BC2)+(0.035*(AY2-(BD2+BC2)))</f>
        <v>0.33</v>
      </c>
      <c r="CN2" s="2">
        <f t="shared" ref="CN2:CN37" si="3">(0.035*AN2)+(0.025*AS2)-(0.035*AT2)-(0.035*AV2)</f>
        <v>4.0000000000000008E-2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0.9750000000000002</v>
      </c>
    </row>
    <row r="3" spans="1:126" x14ac:dyDescent="0.35">
      <c r="A3" s="8">
        <v>95</v>
      </c>
      <c r="B3" s="8" t="s">
        <v>235</v>
      </c>
      <c r="C3" s="8" t="s">
        <v>142</v>
      </c>
      <c r="D3" s="8" t="s">
        <v>206</v>
      </c>
      <c r="E3" s="8">
        <v>13.833333333333</v>
      </c>
      <c r="F3" s="8" t="s">
        <v>233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4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2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0.95000000000000007</v>
      </c>
      <c r="CK3" s="2">
        <f t="shared" ref="CK3:CK37" si="7">(0.075*H3)+(0.07*L3)+(0.055*M3)+(0.055*N3)+(0.095*J3)+(0.09*O3)+(0.05*P3)+(0.05*R3)+(0.05*S3)+(0.05*AB3)</f>
        <v>0.64500000000000002</v>
      </c>
      <c r="CL3" s="2">
        <f t="shared" si="2"/>
        <v>0.23499999999999999</v>
      </c>
      <c r="CM3" s="2">
        <f>(0.025*(AY3-AZ3))+(0.035*BA3)-(0.035*BB3)-(0.035*BC3)+(0.035*(AY3-(BD3+BC3)))</f>
        <v>0</v>
      </c>
      <c r="CN3" s="2">
        <f t="shared" si="3"/>
        <v>2.4999999999999994E-2</v>
      </c>
      <c r="CO3" s="2">
        <f t="shared" si="4"/>
        <v>4.4999999999999998E-2</v>
      </c>
      <c r="CP3" s="2">
        <f t="shared" si="5"/>
        <v>0</v>
      </c>
      <c r="CQ3" s="2">
        <f t="shared" si="6"/>
        <v>0.95000000000000007</v>
      </c>
    </row>
    <row r="4" spans="1:126" x14ac:dyDescent="0.35">
      <c r="A4" s="8">
        <v>62</v>
      </c>
      <c r="B4" s="8" t="s">
        <v>236</v>
      </c>
      <c r="C4" s="8" t="s">
        <v>142</v>
      </c>
      <c r="D4" s="8" t="s">
        <v>181</v>
      </c>
      <c r="E4" s="8">
        <v>21.416666666666998</v>
      </c>
      <c r="F4" s="8" t="s">
        <v>233</v>
      </c>
      <c r="G4" s="19" t="s">
        <v>273</v>
      </c>
      <c r="H4" s="9">
        <f>COUNTIFS(Tracking!E:E,A4,Tracking!D:D,C4,Tracking!C:C,"5v5")</f>
        <v>5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12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8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1.1599999999999999</v>
      </c>
      <c r="CK4" s="2">
        <f t="shared" si="7"/>
        <v>0.5</v>
      </c>
      <c r="CL4" s="2">
        <f t="shared" si="2"/>
        <v>4.4999999999999998E-2</v>
      </c>
      <c r="CM4" s="2">
        <f t="shared" ref="CM4:CM37" si="8">(0.025*(AY4-AZ4))+(0.035*BA4)-(0.035*BB4)-(0.035*BC4)+(0.035*(AY4-(BD4+BC4)))</f>
        <v>0.45500000000000007</v>
      </c>
      <c r="CN4" s="2">
        <f t="shared" si="3"/>
        <v>7.5000000000000011E-2</v>
      </c>
      <c r="CO4" s="2">
        <f t="shared" si="4"/>
        <v>0.03</v>
      </c>
      <c r="CP4" s="2">
        <f t="shared" si="5"/>
        <v>5.5E-2</v>
      </c>
      <c r="CQ4" s="2">
        <f t="shared" si="6"/>
        <v>1.105</v>
      </c>
    </row>
    <row r="5" spans="1:126" x14ac:dyDescent="0.35">
      <c r="A5" s="8">
        <v>13</v>
      </c>
      <c r="B5" s="8" t="s">
        <v>237</v>
      </c>
      <c r="C5" s="8" t="s">
        <v>142</v>
      </c>
      <c r="D5" s="8" t="s">
        <v>206</v>
      </c>
      <c r="E5" s="8">
        <v>12.766666666667</v>
      </c>
      <c r="F5" s="8" t="s">
        <v>233</v>
      </c>
      <c r="G5" s="19" t="s">
        <v>273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</v>
      </c>
      <c r="CK5" s="2">
        <f t="shared" si="7"/>
        <v>0.42</v>
      </c>
      <c r="CL5" s="2">
        <f t="shared" si="2"/>
        <v>0.09</v>
      </c>
      <c r="CM5" s="2">
        <f t="shared" si="8"/>
        <v>0</v>
      </c>
      <c r="CN5" s="2">
        <f t="shared" si="3"/>
        <v>0.13</v>
      </c>
      <c r="CO5" s="2">
        <f t="shared" si="4"/>
        <v>0.06</v>
      </c>
      <c r="CP5" s="2">
        <f t="shared" si="5"/>
        <v>0</v>
      </c>
      <c r="CQ5" s="2">
        <f t="shared" si="6"/>
        <v>0.7</v>
      </c>
    </row>
    <row r="6" spans="1:126" x14ac:dyDescent="0.35">
      <c r="A6" s="8">
        <v>20</v>
      </c>
      <c r="B6" s="8" t="s">
        <v>238</v>
      </c>
      <c r="C6" s="8" t="s">
        <v>142</v>
      </c>
      <c r="D6" s="8" t="s">
        <v>184</v>
      </c>
      <c r="E6" s="8">
        <v>15.716666666667001</v>
      </c>
      <c r="F6" s="8" t="s">
        <v>233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3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2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0.69</v>
      </c>
      <c r="CK6" s="2">
        <f t="shared" si="7"/>
        <v>0.44500000000000001</v>
      </c>
      <c r="CL6" s="2">
        <f t="shared" si="2"/>
        <v>3.5000000000000003E-2</v>
      </c>
      <c r="CM6" s="2">
        <f t="shared" si="8"/>
        <v>0</v>
      </c>
      <c r="CN6" s="2">
        <f t="shared" si="3"/>
        <v>0.12000000000000001</v>
      </c>
      <c r="CO6" s="2">
        <f t="shared" si="4"/>
        <v>0.09</v>
      </c>
      <c r="CP6" s="2">
        <f t="shared" si="5"/>
        <v>0</v>
      </c>
      <c r="CQ6" s="2">
        <f t="shared" si="6"/>
        <v>0.69</v>
      </c>
    </row>
    <row r="7" spans="1:126" x14ac:dyDescent="0.35">
      <c r="A7" s="8">
        <v>20</v>
      </c>
      <c r="B7" s="8" t="s">
        <v>239</v>
      </c>
      <c r="C7" s="8" t="s">
        <v>142</v>
      </c>
      <c r="D7" s="8" t="s">
        <v>169</v>
      </c>
      <c r="E7" s="8">
        <v>13.116666666666999</v>
      </c>
      <c r="F7" s="8" t="s">
        <v>233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3</v>
      </c>
      <c r="AK7" s="5">
        <f>COUNTIFS(Tracking!AI:AI,A7&amp;C7,Tracking!C:C,"5v5")+AL7</f>
        <v>5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2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0.69</v>
      </c>
      <c r="CK7" s="2">
        <f t="shared" si="7"/>
        <v>0.44500000000000001</v>
      </c>
      <c r="CL7" s="2">
        <f t="shared" si="2"/>
        <v>3.5000000000000003E-2</v>
      </c>
      <c r="CM7" s="2">
        <f t="shared" si="8"/>
        <v>0</v>
      </c>
      <c r="CN7" s="2">
        <f t="shared" si="3"/>
        <v>0.12000000000000001</v>
      </c>
      <c r="CO7" s="2">
        <f t="shared" si="4"/>
        <v>0.09</v>
      </c>
      <c r="CP7" s="2">
        <f t="shared" si="5"/>
        <v>0</v>
      </c>
      <c r="CQ7" s="2">
        <f t="shared" si="6"/>
        <v>0.69</v>
      </c>
    </row>
    <row r="8" spans="1:126" x14ac:dyDescent="0.35">
      <c r="A8" s="8">
        <v>17</v>
      </c>
      <c r="B8" s="8" t="s">
        <v>240</v>
      </c>
      <c r="C8" s="8" t="s">
        <v>142</v>
      </c>
      <c r="D8" s="8" t="s">
        <v>184</v>
      </c>
      <c r="E8" s="8">
        <v>13.733333333333</v>
      </c>
      <c r="F8" s="8" t="s">
        <v>233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5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0.57499999999999996</v>
      </c>
      <c r="CK8" s="2">
        <f t="shared" si="7"/>
        <v>0.22500000000000001</v>
      </c>
      <c r="CL8" s="2">
        <f t="shared" si="2"/>
        <v>0.23499999999999999</v>
      </c>
      <c r="CM8" s="2">
        <f t="shared" si="8"/>
        <v>-7.0000000000000007E-2</v>
      </c>
      <c r="CN8" s="2">
        <f t="shared" si="3"/>
        <v>0.11000000000000001</v>
      </c>
      <c r="CO8" s="2">
        <f t="shared" si="4"/>
        <v>7.4999999999999997E-2</v>
      </c>
      <c r="CP8" s="2">
        <f t="shared" si="5"/>
        <v>0</v>
      </c>
      <c r="CQ8" s="2">
        <f t="shared" si="6"/>
        <v>0.57499999999999996</v>
      </c>
    </row>
    <row r="9" spans="1:126" x14ac:dyDescent="0.35">
      <c r="A9" s="8">
        <v>24</v>
      </c>
      <c r="B9" s="8" t="s">
        <v>241</v>
      </c>
      <c r="C9" s="8" t="s">
        <v>142</v>
      </c>
      <c r="D9" s="8" t="s">
        <v>181</v>
      </c>
      <c r="E9" s="8">
        <v>17.933333333333</v>
      </c>
      <c r="F9" s="8" t="s">
        <v>233</v>
      </c>
      <c r="G9" s="19" t="s">
        <v>273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0.35499999999999998</v>
      </c>
      <c r="CK9" s="2">
        <f t="shared" si="7"/>
        <v>0.20499999999999999</v>
      </c>
      <c r="CL9" s="2">
        <f t="shared" si="2"/>
        <v>0.1</v>
      </c>
      <c r="CM9" s="2">
        <f t="shared" si="8"/>
        <v>0</v>
      </c>
      <c r="CN9" s="2">
        <f t="shared" si="3"/>
        <v>0.05</v>
      </c>
      <c r="CO9" s="2">
        <f t="shared" si="4"/>
        <v>0</v>
      </c>
      <c r="CP9" s="2">
        <f t="shared" si="5"/>
        <v>0</v>
      </c>
      <c r="CQ9" s="2">
        <f t="shared" si="6"/>
        <v>0.35499999999999998</v>
      </c>
    </row>
    <row r="10" spans="1:126" x14ac:dyDescent="0.35">
      <c r="A10" s="8">
        <v>19</v>
      </c>
      <c r="B10" s="8" t="s">
        <v>242</v>
      </c>
      <c r="C10" s="8" t="s">
        <v>142</v>
      </c>
      <c r="D10" s="8" t="s">
        <v>206</v>
      </c>
      <c r="E10" s="8">
        <v>12.9</v>
      </c>
      <c r="F10" s="8" t="s">
        <v>233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3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0.64</v>
      </c>
      <c r="CK10" s="2">
        <f t="shared" si="7"/>
        <v>0.315</v>
      </c>
      <c r="CL10" s="2">
        <f t="shared" si="2"/>
        <v>3.5000000000000003E-2</v>
      </c>
      <c r="CM10" s="2">
        <f t="shared" si="8"/>
        <v>0</v>
      </c>
      <c r="CN10" s="2">
        <f t="shared" si="3"/>
        <v>0.15500000000000003</v>
      </c>
      <c r="CO10" s="2">
        <f t="shared" si="4"/>
        <v>0.13500000000000001</v>
      </c>
      <c r="CP10" s="2">
        <f t="shared" si="5"/>
        <v>0</v>
      </c>
      <c r="CQ10" s="2">
        <f t="shared" si="6"/>
        <v>0.64</v>
      </c>
    </row>
    <row r="11" spans="1:126" x14ac:dyDescent="0.35">
      <c r="A11" s="8">
        <v>7</v>
      </c>
      <c r="B11" s="8" t="s">
        <v>243</v>
      </c>
      <c r="C11" s="8" t="s">
        <v>142</v>
      </c>
      <c r="D11" s="8" t="s">
        <v>169</v>
      </c>
      <c r="E11" s="8">
        <v>15.083333333333</v>
      </c>
      <c r="F11" s="8" t="s">
        <v>233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1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9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0.94000000000000017</v>
      </c>
      <c r="CK11" s="2">
        <f t="shared" si="7"/>
        <v>0.70000000000000018</v>
      </c>
      <c r="CL11" s="2">
        <f t="shared" si="2"/>
        <v>4.4999999999999998E-2</v>
      </c>
      <c r="CM11" s="2">
        <f t="shared" si="8"/>
        <v>0</v>
      </c>
      <c r="CN11" s="2">
        <f t="shared" si="3"/>
        <v>0.12000000000000001</v>
      </c>
      <c r="CO11" s="2">
        <f t="shared" si="4"/>
        <v>7.4999999999999997E-2</v>
      </c>
      <c r="CP11" s="2">
        <f t="shared" si="5"/>
        <v>0</v>
      </c>
      <c r="CQ11" s="2">
        <f t="shared" si="6"/>
        <v>0.94000000000000017</v>
      </c>
    </row>
    <row r="12" spans="1:126" x14ac:dyDescent="0.35">
      <c r="A12" s="8">
        <v>10</v>
      </c>
      <c r="B12" s="8" t="s">
        <v>244</v>
      </c>
      <c r="C12" s="8" t="s">
        <v>142</v>
      </c>
      <c r="D12" s="8" t="s">
        <v>184</v>
      </c>
      <c r="E12" s="8">
        <v>15.833333333333</v>
      </c>
      <c r="F12" s="8" t="s">
        <v>233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0.56000000000000005</v>
      </c>
      <c r="CK12" s="2">
        <f t="shared" si="7"/>
        <v>0.21999999999999997</v>
      </c>
      <c r="CL12" s="2">
        <f t="shared" si="2"/>
        <v>0.14500000000000002</v>
      </c>
      <c r="CM12" s="2">
        <f t="shared" si="8"/>
        <v>0</v>
      </c>
      <c r="CN12" s="2">
        <f t="shared" si="3"/>
        <v>9.5000000000000001E-2</v>
      </c>
      <c r="CO12" s="2">
        <f t="shared" si="4"/>
        <v>4.4999999999999998E-2</v>
      </c>
      <c r="CP12" s="2">
        <f t="shared" si="5"/>
        <v>5.5E-2</v>
      </c>
      <c r="CQ12" s="2">
        <f t="shared" si="6"/>
        <v>0.505</v>
      </c>
    </row>
    <row r="13" spans="1:126" x14ac:dyDescent="0.35">
      <c r="A13" s="8">
        <v>22</v>
      </c>
      <c r="B13" s="8" t="s">
        <v>245</v>
      </c>
      <c r="C13" s="8" t="s">
        <v>142</v>
      </c>
      <c r="D13" s="8" t="s">
        <v>169</v>
      </c>
      <c r="E13" s="8">
        <v>11.266666666667</v>
      </c>
      <c r="F13" s="8" t="s">
        <v>233</v>
      </c>
      <c r="G13" s="19" t="s">
        <v>273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0.7350000000000001</v>
      </c>
      <c r="CK13" s="2">
        <f t="shared" si="7"/>
        <v>0.505</v>
      </c>
      <c r="CL13" s="2">
        <f t="shared" si="2"/>
        <v>0.14499999999999999</v>
      </c>
      <c r="CM13" s="2">
        <f t="shared" si="8"/>
        <v>0</v>
      </c>
      <c r="CN13" s="2">
        <f t="shared" si="3"/>
        <v>2.5000000000000001E-2</v>
      </c>
      <c r="CO13" s="2">
        <f t="shared" si="4"/>
        <v>0.06</v>
      </c>
      <c r="CP13" s="2">
        <f t="shared" si="5"/>
        <v>0</v>
      </c>
      <c r="CQ13" s="2">
        <f t="shared" si="6"/>
        <v>0.7350000000000001</v>
      </c>
    </row>
    <row r="14" spans="1:126" x14ac:dyDescent="0.35">
      <c r="A14" s="8">
        <v>41</v>
      </c>
      <c r="B14" s="8" t="s">
        <v>246</v>
      </c>
      <c r="C14" s="8" t="s">
        <v>142</v>
      </c>
      <c r="D14" s="8" t="s">
        <v>181</v>
      </c>
      <c r="E14" s="8">
        <v>16.350000000000001</v>
      </c>
      <c r="F14" s="8" t="s">
        <v>233</v>
      </c>
      <c r="G14" s="19" t="s">
        <v>273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7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0.91500000000000015</v>
      </c>
      <c r="CK14" s="2">
        <f t="shared" si="7"/>
        <v>0.54</v>
      </c>
      <c r="CL14" s="2">
        <f t="shared" si="2"/>
        <v>-4.4999999999999998E-2</v>
      </c>
      <c r="CM14" s="2">
        <f t="shared" si="8"/>
        <v>0.39500000000000002</v>
      </c>
      <c r="CN14" s="2">
        <f t="shared" si="3"/>
        <v>2.5000000000000001E-2</v>
      </c>
      <c r="CO14" s="2">
        <f t="shared" si="4"/>
        <v>0</v>
      </c>
      <c r="CP14" s="2">
        <f t="shared" si="5"/>
        <v>0</v>
      </c>
      <c r="CQ14" s="2">
        <f t="shared" si="6"/>
        <v>0.91500000000000015</v>
      </c>
    </row>
    <row r="15" spans="1:126" x14ac:dyDescent="0.35">
      <c r="A15" s="8">
        <v>51</v>
      </c>
      <c r="B15" s="8" t="s">
        <v>247</v>
      </c>
      <c r="C15" s="8" t="s">
        <v>142</v>
      </c>
      <c r="D15" s="8" t="s">
        <v>184</v>
      </c>
      <c r="E15" s="8">
        <v>12.1</v>
      </c>
      <c r="F15" s="8" t="s">
        <v>233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8</v>
      </c>
      <c r="L15" s="9">
        <f>COUNTIFS(Tracking!G:G,A15,Tracking!D:D,C15,Tracking!C:C,"5v5")</f>
        <v>5</v>
      </c>
      <c r="M15" s="9">
        <f>COUNTIFS(Tracking!H:H,A15,Tracking!D:D,C15,Tracking!C:C,"5v5")</f>
        <v>1</v>
      </c>
      <c r="N15" s="9">
        <f>COUNTIFS(Tracking!I:I,A15,Tracking!D:D,C15,Tracking!C:C,"5v5")</f>
        <v>2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6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1.145</v>
      </c>
      <c r="CK15" s="2">
        <f t="shared" si="7"/>
        <v>0.86499999999999999</v>
      </c>
      <c r="CL15" s="2">
        <f t="shared" si="2"/>
        <v>4.4999999999999998E-2</v>
      </c>
      <c r="CM15" s="2">
        <f t="shared" si="8"/>
        <v>3.5000000000000003E-2</v>
      </c>
      <c r="CN15" s="2">
        <f t="shared" si="3"/>
        <v>9.5000000000000001E-2</v>
      </c>
      <c r="CO15" s="2">
        <f t="shared" si="4"/>
        <v>0.105</v>
      </c>
      <c r="CP15" s="2">
        <f t="shared" si="5"/>
        <v>0</v>
      </c>
      <c r="CQ15" s="2">
        <f t="shared" si="6"/>
        <v>1.145</v>
      </c>
    </row>
    <row r="16" spans="1:126" x14ac:dyDescent="0.35">
      <c r="A16" s="8">
        <v>12</v>
      </c>
      <c r="B16" s="8" t="s">
        <v>248</v>
      </c>
      <c r="C16" s="8" t="s">
        <v>142</v>
      </c>
      <c r="D16" s="8" t="s">
        <v>206</v>
      </c>
      <c r="E16" s="8">
        <v>11.866666666666999</v>
      </c>
      <c r="F16" s="8" t="s">
        <v>233</v>
      </c>
      <c r="G16" s="19" t="s">
        <v>273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4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1.0050000000000001</v>
      </c>
      <c r="CK16" s="2">
        <f t="shared" si="7"/>
        <v>0.63000000000000012</v>
      </c>
      <c r="CL16" s="2">
        <f t="shared" si="2"/>
        <v>0.08</v>
      </c>
      <c r="CM16" s="2">
        <f t="shared" si="8"/>
        <v>6.0000000000000005E-2</v>
      </c>
      <c r="CN16" s="2">
        <f t="shared" si="3"/>
        <v>0.13</v>
      </c>
      <c r="CO16" s="2">
        <f t="shared" si="4"/>
        <v>0.105</v>
      </c>
      <c r="CP16" s="2">
        <f t="shared" si="5"/>
        <v>0</v>
      </c>
      <c r="CQ16" s="2">
        <f t="shared" si="6"/>
        <v>1.0050000000000001</v>
      </c>
    </row>
    <row r="17" spans="1:95" x14ac:dyDescent="0.35">
      <c r="A17" s="8">
        <v>29</v>
      </c>
      <c r="B17" s="8" t="s">
        <v>249</v>
      </c>
      <c r="C17" s="8" t="s">
        <v>142</v>
      </c>
      <c r="D17" s="8" t="s">
        <v>181</v>
      </c>
      <c r="E17" s="8">
        <v>19.866666666667001</v>
      </c>
      <c r="F17" s="8" t="s">
        <v>233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13</v>
      </c>
      <c r="AL17" s="5">
        <f>COUNTIFS(Tracking!AF:AF,A17&amp;C17,Tracking!C:C,"5v5")-AT17</f>
        <v>11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2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0.91</v>
      </c>
      <c r="CK17" s="2">
        <f t="shared" si="7"/>
        <v>0.45</v>
      </c>
      <c r="CL17" s="2">
        <f t="shared" si="2"/>
        <v>0.14499999999999999</v>
      </c>
      <c r="CM17" s="2">
        <f t="shared" si="8"/>
        <v>0.16500000000000001</v>
      </c>
      <c r="CN17" s="2">
        <f t="shared" si="3"/>
        <v>0.15000000000000002</v>
      </c>
      <c r="CO17" s="2">
        <f t="shared" si="4"/>
        <v>0</v>
      </c>
      <c r="CP17" s="2">
        <f t="shared" si="5"/>
        <v>0</v>
      </c>
      <c r="CQ17" s="2">
        <f t="shared" si="6"/>
        <v>0.91</v>
      </c>
    </row>
    <row r="18" spans="1:95" x14ac:dyDescent="0.35">
      <c r="A18" s="8">
        <v>3</v>
      </c>
      <c r="B18" s="8" t="s">
        <v>250</v>
      </c>
      <c r="C18" s="8" t="s">
        <v>142</v>
      </c>
      <c r="D18" s="8" t="s">
        <v>181</v>
      </c>
      <c r="E18" s="8">
        <v>14.766666666667</v>
      </c>
      <c r="F18" s="8" t="s">
        <v>233</v>
      </c>
      <c r="G18" s="19" t="s">
        <v>273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4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3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0.38500000000000001</v>
      </c>
      <c r="CK18" s="2">
        <f t="shared" si="7"/>
        <v>0.40499999999999997</v>
      </c>
      <c r="CL18" s="2">
        <f t="shared" si="2"/>
        <v>0</v>
      </c>
      <c r="CM18" s="2">
        <f t="shared" si="8"/>
        <v>0.10500000000000001</v>
      </c>
      <c r="CN18" s="2">
        <f t="shared" si="3"/>
        <v>-0.125</v>
      </c>
      <c r="CO18" s="2">
        <f t="shared" si="4"/>
        <v>0</v>
      </c>
      <c r="CP18" s="2">
        <f t="shared" si="5"/>
        <v>0</v>
      </c>
      <c r="CQ18" s="2">
        <f t="shared" si="6"/>
        <v>0.38500000000000001</v>
      </c>
    </row>
    <row r="19" spans="1:95" x14ac:dyDescent="0.35">
      <c r="A19" s="8">
        <v>37</v>
      </c>
      <c r="B19" s="8" t="s">
        <v>251</v>
      </c>
      <c r="C19" s="8" t="s">
        <v>142</v>
      </c>
      <c r="D19" s="8" t="s">
        <v>184</v>
      </c>
      <c r="E19" s="8">
        <v>13.533333333332999</v>
      </c>
      <c r="F19" s="8" t="s">
        <v>233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7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0.51999999999999991</v>
      </c>
      <c r="CK19" s="2">
        <f t="shared" si="7"/>
        <v>0.45499999999999996</v>
      </c>
      <c r="CL19" s="2">
        <f t="shared" si="2"/>
        <v>4.4999999999999998E-2</v>
      </c>
      <c r="CM19" s="2">
        <f t="shared" si="8"/>
        <v>0</v>
      </c>
      <c r="CN19" s="2">
        <f t="shared" si="3"/>
        <v>-7.0000000000000007E-2</v>
      </c>
      <c r="CO19" s="2">
        <f t="shared" si="4"/>
        <v>0.09</v>
      </c>
      <c r="CP19" s="2">
        <f t="shared" si="5"/>
        <v>0</v>
      </c>
      <c r="CQ19" s="2">
        <f t="shared" si="6"/>
        <v>0.51999999999999991</v>
      </c>
    </row>
    <row r="20" spans="1:95" x14ac:dyDescent="0.35">
      <c r="A20" s="8">
        <v>9</v>
      </c>
      <c r="B20" s="8" t="s">
        <v>252</v>
      </c>
      <c r="C20" s="8" t="s">
        <v>131</v>
      </c>
      <c r="D20" s="8" t="s">
        <v>184</v>
      </c>
      <c r="E20" s="8">
        <v>13.05</v>
      </c>
      <c r="F20" s="8" t="s">
        <v>233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0.59000000000000008</v>
      </c>
      <c r="CK20" s="2">
        <f t="shared" si="7"/>
        <v>0.30500000000000005</v>
      </c>
      <c r="CL20" s="2">
        <f t="shared" si="2"/>
        <v>0.19</v>
      </c>
      <c r="CM20" s="2">
        <f t="shared" si="8"/>
        <v>0</v>
      </c>
      <c r="CN20" s="2">
        <f t="shared" si="3"/>
        <v>-1.0000000000000002E-2</v>
      </c>
      <c r="CO20" s="2">
        <f t="shared" si="4"/>
        <v>0.105</v>
      </c>
      <c r="CP20" s="2">
        <f t="shared" si="5"/>
        <v>0</v>
      </c>
      <c r="CQ20" s="2">
        <f t="shared" si="6"/>
        <v>0.59000000000000008</v>
      </c>
    </row>
    <row r="21" spans="1:95" x14ac:dyDescent="0.35">
      <c r="A21" s="8">
        <v>13</v>
      </c>
      <c r="B21" s="8" t="s">
        <v>253</v>
      </c>
      <c r="C21" s="8" t="s">
        <v>131</v>
      </c>
      <c r="D21" s="8" t="s">
        <v>169</v>
      </c>
      <c r="E21" s="8">
        <v>9.1166666666666991</v>
      </c>
      <c r="F21" s="8" t="s">
        <v>233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</v>
      </c>
      <c r="CK21" s="2">
        <f t="shared" si="7"/>
        <v>0</v>
      </c>
      <c r="CL21" s="2">
        <f t="shared" si="2"/>
        <v>0</v>
      </c>
      <c r="CM21" s="2">
        <f t="shared" si="8"/>
        <v>0</v>
      </c>
      <c r="CN21" s="2">
        <f t="shared" si="3"/>
        <v>7.0000000000000007E-2</v>
      </c>
      <c r="CO21" s="2">
        <f t="shared" si="4"/>
        <v>0.03</v>
      </c>
      <c r="CP21" s="2">
        <f t="shared" si="5"/>
        <v>0</v>
      </c>
      <c r="CQ21" s="2">
        <f t="shared" si="6"/>
        <v>0.1</v>
      </c>
    </row>
    <row r="22" spans="1:95" x14ac:dyDescent="0.35">
      <c r="A22" s="8">
        <v>10</v>
      </c>
      <c r="B22" s="8" t="s">
        <v>254</v>
      </c>
      <c r="C22" s="8" t="s">
        <v>131</v>
      </c>
      <c r="D22" s="8" t="s">
        <v>184</v>
      </c>
      <c r="E22" s="8">
        <v>17.466666666666999</v>
      </c>
      <c r="F22" s="8" t="s">
        <v>233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0.79500000000000004</v>
      </c>
      <c r="CK22" s="2">
        <f t="shared" si="7"/>
        <v>0.63500000000000001</v>
      </c>
      <c r="CL22" s="2">
        <f t="shared" si="2"/>
        <v>4.4999999999999998E-2</v>
      </c>
      <c r="CM22" s="2">
        <f t="shared" si="8"/>
        <v>0</v>
      </c>
      <c r="CN22" s="2">
        <f t="shared" si="3"/>
        <v>8.5000000000000006E-2</v>
      </c>
      <c r="CO22" s="2">
        <f t="shared" si="4"/>
        <v>0.03</v>
      </c>
      <c r="CP22" s="2">
        <f t="shared" si="5"/>
        <v>0</v>
      </c>
      <c r="CQ22" s="2">
        <f t="shared" si="6"/>
        <v>0.79500000000000004</v>
      </c>
    </row>
    <row r="23" spans="1:95" x14ac:dyDescent="0.35">
      <c r="A23" s="8">
        <v>55</v>
      </c>
      <c r="B23" s="8" t="s">
        <v>255</v>
      </c>
      <c r="C23" s="8" t="s">
        <v>131</v>
      </c>
      <c r="D23" s="8" t="s">
        <v>181</v>
      </c>
      <c r="E23" s="8">
        <v>20.3</v>
      </c>
      <c r="F23" s="8" t="s">
        <v>233</v>
      </c>
      <c r="G23" s="19" t="s">
        <v>273</v>
      </c>
      <c r="H23" s="9">
        <f>COUNTIFS(Tracking!E:E,A23,Tracking!D:D,C23,Tracking!C:C,"5v5")</f>
        <v>5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15</v>
      </c>
      <c r="AL23" s="5">
        <f>COUNTIFS(Tracking!AF:AF,A23&amp;C23,Tracking!C:C,"5v5")-AT23</f>
        <v>10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7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4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0.54499999999999993</v>
      </c>
      <c r="CK23" s="2">
        <f t="shared" si="7"/>
        <v>0.44500000000000001</v>
      </c>
      <c r="CL23" s="2">
        <f t="shared" si="2"/>
        <v>4.4999999999999998E-2</v>
      </c>
      <c r="CM23" s="2">
        <f t="shared" si="8"/>
        <v>-8.0000000000000016E-2</v>
      </c>
      <c r="CN23" s="2">
        <f t="shared" si="3"/>
        <v>0.13500000000000001</v>
      </c>
      <c r="CO23" s="2">
        <f t="shared" si="4"/>
        <v>0</v>
      </c>
      <c r="CP23" s="2">
        <f t="shared" si="5"/>
        <v>0</v>
      </c>
      <c r="CQ23" s="2">
        <f t="shared" si="6"/>
        <v>0.54499999999999993</v>
      </c>
    </row>
    <row r="24" spans="1:95" x14ac:dyDescent="0.35">
      <c r="A24" s="8">
        <v>81</v>
      </c>
      <c r="B24" s="8" t="s">
        <v>256</v>
      </c>
      <c r="C24" s="8" t="s">
        <v>131</v>
      </c>
      <c r="D24" s="8" t="s">
        <v>206</v>
      </c>
      <c r="E24" s="8">
        <v>14.716666666667001</v>
      </c>
      <c r="F24" s="8" t="s">
        <v>233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5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0.47000000000000008</v>
      </c>
      <c r="CK24" s="2">
        <f t="shared" si="7"/>
        <v>0.28000000000000003</v>
      </c>
      <c r="CL24" s="2">
        <f t="shared" si="2"/>
        <v>0</v>
      </c>
      <c r="CM24" s="2">
        <f t="shared" si="8"/>
        <v>0</v>
      </c>
      <c r="CN24" s="2">
        <f t="shared" si="3"/>
        <v>3.5000000000000003E-2</v>
      </c>
      <c r="CO24" s="2">
        <f t="shared" si="4"/>
        <v>0.12</v>
      </c>
      <c r="CP24" s="2">
        <f t="shared" si="5"/>
        <v>3.5000000000000003E-2</v>
      </c>
      <c r="CQ24" s="2">
        <f t="shared" si="6"/>
        <v>0.43500000000000005</v>
      </c>
    </row>
    <row r="25" spans="1:95" x14ac:dyDescent="0.35">
      <c r="A25" s="8">
        <v>63</v>
      </c>
      <c r="B25" s="8" t="s">
        <v>257</v>
      </c>
      <c r="C25" s="8" t="s">
        <v>131</v>
      </c>
      <c r="D25" s="8" t="s">
        <v>206</v>
      </c>
      <c r="E25" s="8">
        <v>12.483333333333</v>
      </c>
      <c r="F25" s="8" t="s">
        <v>233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0.85499999999999998</v>
      </c>
      <c r="CK25" s="2">
        <f t="shared" si="7"/>
        <v>0.56499999999999995</v>
      </c>
      <c r="CL25" s="2">
        <f t="shared" si="2"/>
        <v>0.14499999999999999</v>
      </c>
      <c r="CM25" s="2">
        <f t="shared" si="8"/>
        <v>6.0000000000000005E-2</v>
      </c>
      <c r="CN25" s="2">
        <f t="shared" si="3"/>
        <v>8.5000000000000006E-2</v>
      </c>
      <c r="CO25" s="2">
        <f t="shared" si="4"/>
        <v>0</v>
      </c>
      <c r="CP25" s="2">
        <f t="shared" si="5"/>
        <v>0</v>
      </c>
      <c r="CQ25" s="2">
        <f t="shared" si="6"/>
        <v>0.85499999999999998</v>
      </c>
    </row>
    <row r="26" spans="1:95" x14ac:dyDescent="0.35">
      <c r="A26" s="8">
        <v>25</v>
      </c>
      <c r="B26" s="8" t="s">
        <v>258</v>
      </c>
      <c r="C26" s="8" t="s">
        <v>131</v>
      </c>
      <c r="D26" s="8" t="s">
        <v>184</v>
      </c>
      <c r="E26" s="8">
        <v>14.416666666667</v>
      </c>
      <c r="F26" s="8" t="s">
        <v>233</v>
      </c>
      <c r="G26" s="19" t="s">
        <v>273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0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0.96500000000000019</v>
      </c>
      <c r="CK26" s="2">
        <f t="shared" si="7"/>
        <v>0.58000000000000007</v>
      </c>
      <c r="CL26" s="2">
        <f t="shared" si="2"/>
        <v>0.23499999999999999</v>
      </c>
      <c r="CM26" s="2">
        <f t="shared" si="8"/>
        <v>3.5000000000000003E-2</v>
      </c>
      <c r="CN26" s="2">
        <f t="shared" si="3"/>
        <v>1.4999999999999999E-2</v>
      </c>
      <c r="CO26" s="2">
        <f t="shared" si="4"/>
        <v>4.4999999999999998E-2</v>
      </c>
      <c r="CP26" s="2">
        <f t="shared" si="5"/>
        <v>5.5E-2</v>
      </c>
      <c r="CQ26" s="2">
        <f t="shared" si="6"/>
        <v>0.91000000000000014</v>
      </c>
    </row>
    <row r="27" spans="1:95" x14ac:dyDescent="0.35">
      <c r="A27" s="8">
        <v>72</v>
      </c>
      <c r="B27" s="8" t="s">
        <v>259</v>
      </c>
      <c r="C27" s="8" t="s">
        <v>131</v>
      </c>
      <c r="D27" s="8" t="s">
        <v>181</v>
      </c>
      <c r="E27" s="8">
        <v>19.383333333332999</v>
      </c>
      <c r="F27" s="8" t="s">
        <v>233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7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7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4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0.34500000000000008</v>
      </c>
      <c r="CK27" s="2">
        <f t="shared" si="7"/>
        <v>0.19500000000000001</v>
      </c>
      <c r="CL27" s="2">
        <f t="shared" si="2"/>
        <v>4.4999999999999998E-2</v>
      </c>
      <c r="CM27" s="2">
        <f t="shared" si="8"/>
        <v>3.5000000000000003E-2</v>
      </c>
      <c r="CN27" s="2">
        <f t="shared" si="3"/>
        <v>3.5000000000000003E-2</v>
      </c>
      <c r="CO27" s="2">
        <f t="shared" si="4"/>
        <v>0</v>
      </c>
      <c r="CP27" s="2">
        <f t="shared" si="5"/>
        <v>3.5000000000000003E-2</v>
      </c>
      <c r="CQ27" s="2">
        <f t="shared" si="6"/>
        <v>0.31000000000000005</v>
      </c>
    </row>
    <row r="28" spans="1:95" x14ac:dyDescent="0.35">
      <c r="A28" s="8">
        <v>42</v>
      </c>
      <c r="B28" s="8" t="s">
        <v>260</v>
      </c>
      <c r="C28" s="8" t="s">
        <v>131</v>
      </c>
      <c r="D28" s="8" t="s">
        <v>169</v>
      </c>
      <c r="E28" s="8">
        <v>17.616666666667001</v>
      </c>
      <c r="F28" s="8" t="s">
        <v>233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8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4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6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0.47500000000000009</v>
      </c>
      <c r="CK28" s="2">
        <f t="shared" si="7"/>
        <v>0.21500000000000002</v>
      </c>
      <c r="CL28" s="2">
        <f t="shared" si="2"/>
        <v>0</v>
      </c>
      <c r="CM28" s="2">
        <f t="shared" si="8"/>
        <v>9.5000000000000001E-2</v>
      </c>
      <c r="CN28" s="2">
        <f t="shared" si="3"/>
        <v>0.16500000000000001</v>
      </c>
      <c r="CO28" s="2">
        <f t="shared" si="4"/>
        <v>0</v>
      </c>
      <c r="CP28" s="2">
        <f t="shared" si="5"/>
        <v>0</v>
      </c>
      <c r="CQ28" s="2">
        <f t="shared" si="6"/>
        <v>0.47500000000000009</v>
      </c>
    </row>
    <row r="29" spans="1:95" x14ac:dyDescent="0.35">
      <c r="A29" s="8">
        <v>71</v>
      </c>
      <c r="B29" s="8" t="s">
        <v>261</v>
      </c>
      <c r="C29" s="8" t="s">
        <v>131</v>
      </c>
      <c r="D29" s="8" t="s">
        <v>169</v>
      </c>
      <c r="E29" s="8">
        <v>14.416666666667</v>
      </c>
      <c r="F29" s="8" t="s">
        <v>233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4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4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3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0.94500000000000028</v>
      </c>
      <c r="CK29" s="2">
        <f t="shared" si="7"/>
        <v>0.80500000000000016</v>
      </c>
      <c r="CL29" s="2">
        <f t="shared" si="2"/>
        <v>3.5000000000000003E-2</v>
      </c>
      <c r="CM29" s="2">
        <f t="shared" si="8"/>
        <v>0</v>
      </c>
      <c r="CN29" s="2">
        <f t="shared" si="3"/>
        <v>6.0000000000000005E-2</v>
      </c>
      <c r="CO29" s="2">
        <f t="shared" si="4"/>
        <v>4.4999999999999998E-2</v>
      </c>
      <c r="CP29" s="2">
        <f t="shared" si="5"/>
        <v>0</v>
      </c>
      <c r="CQ29" s="2">
        <f t="shared" si="6"/>
        <v>0.94500000000000028</v>
      </c>
    </row>
    <row r="30" spans="1:95" x14ac:dyDescent="0.35">
      <c r="A30" s="8">
        <v>51</v>
      </c>
      <c r="B30" s="8" t="s">
        <v>262</v>
      </c>
      <c r="C30" s="8" t="s">
        <v>131</v>
      </c>
      <c r="D30" s="8" t="s">
        <v>181</v>
      </c>
      <c r="E30" s="8">
        <v>12.683333333333</v>
      </c>
      <c r="F30" s="8" t="s">
        <v>233</v>
      </c>
      <c r="G30" s="19" t="s">
        <v>273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9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0.55000000000000004</v>
      </c>
      <c r="CK30" s="2">
        <f t="shared" si="7"/>
        <v>0</v>
      </c>
      <c r="CL30" s="2">
        <f t="shared" si="2"/>
        <v>0</v>
      </c>
      <c r="CM30" s="2">
        <f t="shared" si="8"/>
        <v>0.46500000000000008</v>
      </c>
      <c r="CN30" s="2">
        <f t="shared" si="3"/>
        <v>8.500000000000002E-2</v>
      </c>
      <c r="CO30" s="2">
        <f t="shared" si="4"/>
        <v>0</v>
      </c>
      <c r="CP30" s="2">
        <f t="shared" si="5"/>
        <v>0</v>
      </c>
      <c r="CQ30" s="2">
        <f t="shared" si="6"/>
        <v>0.55000000000000004</v>
      </c>
    </row>
    <row r="31" spans="1:95" x14ac:dyDescent="0.35">
      <c r="A31" s="8">
        <v>26</v>
      </c>
      <c r="B31" s="8" t="s">
        <v>263</v>
      </c>
      <c r="C31" s="8" t="s">
        <v>131</v>
      </c>
      <c r="D31" s="8" t="s">
        <v>206</v>
      </c>
      <c r="E31" s="8">
        <v>9.5500000000000007</v>
      </c>
      <c r="F31" s="8" t="s">
        <v>233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0.35499999999999993</v>
      </c>
      <c r="CK31" s="2">
        <f t="shared" si="7"/>
        <v>0.245</v>
      </c>
      <c r="CL31" s="2">
        <f t="shared" si="2"/>
        <v>0.1</v>
      </c>
      <c r="CM31" s="2">
        <f t="shared" si="8"/>
        <v>0</v>
      </c>
      <c r="CN31" s="2">
        <f t="shared" si="3"/>
        <v>-3.5000000000000003E-2</v>
      </c>
      <c r="CO31" s="2">
        <f t="shared" si="4"/>
        <v>4.4999999999999998E-2</v>
      </c>
      <c r="CP31" s="2">
        <f t="shared" si="5"/>
        <v>0</v>
      </c>
      <c r="CQ31" s="2">
        <f t="shared" si="6"/>
        <v>0.35499999999999993</v>
      </c>
    </row>
    <row r="32" spans="1:95" x14ac:dyDescent="0.35">
      <c r="A32" s="8">
        <v>4</v>
      </c>
      <c r="B32" s="8" t="s">
        <v>264</v>
      </c>
      <c r="C32" s="8" t="s">
        <v>131</v>
      </c>
      <c r="D32" s="8" t="s">
        <v>181</v>
      </c>
      <c r="E32" s="8">
        <v>21.95</v>
      </c>
      <c r="F32" s="8" t="s">
        <v>233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9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8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0.90500000000000014</v>
      </c>
      <c r="CK32" s="2">
        <f t="shared" si="7"/>
        <v>0.55500000000000005</v>
      </c>
      <c r="CL32" s="2">
        <f t="shared" si="2"/>
        <v>4.4999999999999998E-2</v>
      </c>
      <c r="CM32" s="2">
        <f t="shared" si="8"/>
        <v>0.24000000000000002</v>
      </c>
      <c r="CN32" s="2">
        <f t="shared" si="3"/>
        <v>0.05</v>
      </c>
      <c r="CO32" s="2">
        <f t="shared" si="4"/>
        <v>1.4999999999999999E-2</v>
      </c>
      <c r="CP32" s="2">
        <f t="shared" si="5"/>
        <v>0</v>
      </c>
      <c r="CQ32" s="2">
        <f t="shared" si="6"/>
        <v>0.90500000000000014</v>
      </c>
    </row>
    <row r="33" spans="1:95" x14ac:dyDescent="0.35">
      <c r="A33" s="8">
        <v>89</v>
      </c>
      <c r="B33" s="8" t="s">
        <v>265</v>
      </c>
      <c r="C33" s="8" t="s">
        <v>131</v>
      </c>
      <c r="D33" s="8" t="s">
        <v>206</v>
      </c>
      <c r="E33" s="8">
        <v>14.95</v>
      </c>
      <c r="F33" s="8" t="s">
        <v>233</v>
      </c>
      <c r="G33" s="19" t="s">
        <v>273</v>
      </c>
      <c r="H33" s="9">
        <f>COUNTIFS(Tracking!E:E,A33,Tracking!D:D,C33,Tracking!C:C,"5v5")</f>
        <v>3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0.71000000000000008</v>
      </c>
      <c r="CK33" s="2">
        <f t="shared" si="7"/>
        <v>0.54</v>
      </c>
      <c r="CL33" s="2">
        <f t="shared" si="2"/>
        <v>0.1</v>
      </c>
      <c r="CM33" s="2">
        <f t="shared" si="8"/>
        <v>0</v>
      </c>
      <c r="CN33" s="2">
        <f t="shared" si="3"/>
        <v>-4.5000000000000005E-2</v>
      </c>
      <c r="CO33" s="2">
        <f t="shared" si="4"/>
        <v>0.06</v>
      </c>
      <c r="CP33" s="2">
        <f t="shared" si="5"/>
        <v>5.5E-2</v>
      </c>
      <c r="CQ33" s="2">
        <f t="shared" si="6"/>
        <v>0.65500000000000003</v>
      </c>
    </row>
    <row r="34" spans="1:95" x14ac:dyDescent="0.35">
      <c r="A34" s="8">
        <v>6</v>
      </c>
      <c r="B34" s="8" t="s">
        <v>266</v>
      </c>
      <c r="C34" s="8" t="s">
        <v>131</v>
      </c>
      <c r="D34" s="8" t="s">
        <v>181</v>
      </c>
      <c r="E34" s="8">
        <v>19.649999999999999</v>
      </c>
      <c r="F34" s="8" t="s">
        <v>233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10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7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4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5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14</v>
      </c>
      <c r="AZ34" s="1">
        <f>COUNTIFS(Tracking!AA:AA,A34&amp;C34,Tracking!C:C,"5v5",Tracking!Y:Y,"C")</f>
        <v>10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4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1.1100000000000001</v>
      </c>
      <c r="CK34" s="2">
        <f t="shared" si="7"/>
        <v>0.30500000000000005</v>
      </c>
      <c r="CL34" s="2">
        <f t="shared" si="2"/>
        <v>0.09</v>
      </c>
      <c r="CM34" s="2">
        <f t="shared" si="8"/>
        <v>0.48500000000000004</v>
      </c>
      <c r="CN34" s="2">
        <f t="shared" si="3"/>
        <v>0.23</v>
      </c>
      <c r="CO34" s="2">
        <f t="shared" si="4"/>
        <v>0</v>
      </c>
      <c r="CP34" s="2">
        <f t="shared" si="5"/>
        <v>0</v>
      </c>
      <c r="CQ34" s="2">
        <f t="shared" si="6"/>
        <v>1.1100000000000001</v>
      </c>
    </row>
    <row r="35" spans="1:95" x14ac:dyDescent="0.35">
      <c r="A35" s="8">
        <v>12</v>
      </c>
      <c r="B35" s="8" t="s">
        <v>267</v>
      </c>
      <c r="C35" s="8" t="s">
        <v>131</v>
      </c>
      <c r="D35" s="8" t="s">
        <v>184</v>
      </c>
      <c r="E35" s="8">
        <v>9.1999999999999993</v>
      </c>
      <c r="F35" s="8" t="s">
        <v>233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0.125</v>
      </c>
      <c r="CK35" s="2">
        <f t="shared" si="7"/>
        <v>0</v>
      </c>
      <c r="CL35" s="2">
        <f t="shared" si="2"/>
        <v>0.09</v>
      </c>
      <c r="CM35" s="2">
        <f t="shared" si="8"/>
        <v>0</v>
      </c>
      <c r="CN35" s="2">
        <f t="shared" si="3"/>
        <v>3.5000000000000003E-2</v>
      </c>
      <c r="CO35" s="2">
        <f t="shared" si="4"/>
        <v>0</v>
      </c>
      <c r="CP35" s="2">
        <f t="shared" si="5"/>
        <v>0</v>
      </c>
      <c r="CQ35" s="2">
        <f t="shared" si="6"/>
        <v>0.125</v>
      </c>
    </row>
    <row r="36" spans="1:95" x14ac:dyDescent="0.35">
      <c r="A36" s="8">
        <v>18</v>
      </c>
      <c r="B36" s="8" t="s">
        <v>268</v>
      </c>
      <c r="C36" s="8" t="s">
        <v>131</v>
      </c>
      <c r="D36" s="8" t="s">
        <v>184</v>
      </c>
      <c r="E36" s="8">
        <v>14.7</v>
      </c>
      <c r="F36" s="8" t="s">
        <v>233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0.97000000000000008</v>
      </c>
      <c r="CK36" s="2">
        <f t="shared" si="7"/>
        <v>0.59000000000000008</v>
      </c>
      <c r="CL36" s="2">
        <f t="shared" si="2"/>
        <v>0.13500000000000001</v>
      </c>
      <c r="CM36" s="2">
        <f t="shared" si="8"/>
        <v>9.5000000000000001E-2</v>
      </c>
      <c r="CN36" s="2">
        <f t="shared" si="3"/>
        <v>2.5000000000000001E-2</v>
      </c>
      <c r="CO36" s="2">
        <f t="shared" si="4"/>
        <v>1.4999999999999999E-2</v>
      </c>
      <c r="CP36" s="2">
        <f t="shared" si="5"/>
        <v>0.11</v>
      </c>
      <c r="CQ36" s="2">
        <f t="shared" si="6"/>
        <v>0.8600000000000001</v>
      </c>
    </row>
    <row r="37" spans="1:95" x14ac:dyDescent="0.35">
      <c r="A37" s="8">
        <v>22</v>
      </c>
      <c r="B37" s="8" t="s">
        <v>269</v>
      </c>
      <c r="C37" s="8" t="s">
        <v>131</v>
      </c>
      <c r="D37" s="8" t="s">
        <v>181</v>
      </c>
      <c r="E37" s="8">
        <v>14.016666666667</v>
      </c>
      <c r="F37" s="8" t="s">
        <v>233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3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0.36</v>
      </c>
      <c r="CK37" s="2">
        <f t="shared" si="7"/>
        <v>0.15</v>
      </c>
      <c r="CL37" s="2">
        <f t="shared" si="2"/>
        <v>0</v>
      </c>
      <c r="CM37" s="2">
        <f t="shared" si="8"/>
        <v>0.18000000000000002</v>
      </c>
      <c r="CN37" s="2">
        <f t="shared" si="3"/>
        <v>0.03</v>
      </c>
      <c r="CO37" s="2">
        <f t="shared" si="4"/>
        <v>0</v>
      </c>
      <c r="CP37" s="2">
        <f t="shared" si="5"/>
        <v>0</v>
      </c>
      <c r="CQ37" s="2">
        <f t="shared" si="6"/>
        <v>0.36</v>
      </c>
    </row>
    <row r="38" spans="1:95" x14ac:dyDescent="0.35">
      <c r="A38" s="8">
        <v>50</v>
      </c>
      <c r="B38" s="8" t="s">
        <v>270</v>
      </c>
      <c r="C38" s="8" t="s">
        <v>131</v>
      </c>
      <c r="D38" s="8" t="s">
        <v>272</v>
      </c>
      <c r="E38" s="8">
        <v>53.933300000000003</v>
      </c>
      <c r="F38" s="8" t="s">
        <v>233</v>
      </c>
      <c r="G38" s="19" t="s">
        <v>273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271</v>
      </c>
      <c r="C39" s="8" t="s">
        <v>142</v>
      </c>
      <c r="D39" s="8" t="s">
        <v>272</v>
      </c>
      <c r="E39" s="8">
        <v>53.933300000000003</v>
      </c>
      <c r="F39" s="8" t="s">
        <v>233</v>
      </c>
      <c r="G39" s="19" t="s">
        <v>273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2024-10-09T16:41:44Z</dcterms:modified>
</cp:coreProperties>
</file>