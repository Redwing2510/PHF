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4-25 Season\Game Sheets\"/>
    </mc:Choice>
  </mc:AlternateContent>
  <xr:revisionPtr revIDLastSave="0" documentId="8_{1FA94496-8F20-4995-802D-FF52E3B46807}" xr6:coauthVersionLast="47" xr6:coauthVersionMax="47" xr10:uidLastSave="{00000000-0000-0000-0000-000000000000}"/>
  <bookViews>
    <workbookView xWindow="33750" yWindow="0" windowWidth="14580" windowHeight="1557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T3" i="2" l="1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M16" i="2" l="1"/>
  <c r="CM27" i="2"/>
  <c r="CM21" i="2"/>
  <c r="CM24" i="2"/>
  <c r="CM36" i="2"/>
  <c r="CM4" i="2"/>
  <c r="CM12" i="2"/>
  <c r="CM9" i="2"/>
  <c r="CM15" i="2"/>
  <c r="CM26" i="2"/>
  <c r="CM29" i="2"/>
  <c r="CM20" i="2"/>
  <c r="CM6" i="2"/>
  <c r="CM25" i="2"/>
  <c r="CM22" i="2"/>
  <c r="CM30" i="2"/>
  <c r="CM5" i="2"/>
  <c r="CM18" i="2"/>
  <c r="CM8" i="2"/>
  <c r="CM35" i="2"/>
  <c r="CM32" i="2"/>
  <c r="CM34" i="2"/>
  <c r="CM31" i="2"/>
  <c r="CM28" i="2"/>
  <c r="CM23" i="2"/>
  <c r="CM11" i="2"/>
  <c r="CM17" i="2"/>
  <c r="CM2" i="2"/>
  <c r="CM19" i="2"/>
  <c r="CM33" i="2"/>
  <c r="CM14" i="2"/>
  <c r="CM7" i="2"/>
  <c r="CM3" i="2"/>
  <c r="CM37" i="2"/>
  <c r="CM13" i="2"/>
  <c r="CM10" i="2"/>
  <c r="CP21" i="2"/>
  <c r="CP11" i="2"/>
  <c r="CK28" i="2"/>
  <c r="CK25" i="2"/>
  <c r="CK22" i="2"/>
  <c r="CK7" i="2"/>
  <c r="CK37" i="2"/>
  <c r="CK34" i="2"/>
  <c r="CK31" i="2"/>
  <c r="CP17" i="2"/>
  <c r="CP31" i="2"/>
  <c r="CP3" i="2"/>
  <c r="CP14" i="2"/>
  <c r="CK13" i="2"/>
  <c r="CK10" i="2"/>
  <c r="CK16" i="2"/>
  <c r="CP13" i="2"/>
  <c r="CP10" i="2"/>
  <c r="CK6" i="2"/>
  <c r="CK27" i="2"/>
  <c r="CK24" i="2"/>
  <c r="CK21" i="2"/>
  <c r="CP28" i="2"/>
  <c r="CK33" i="2"/>
  <c r="CK30" i="2"/>
  <c r="CP24" i="2"/>
  <c r="CP19" i="2"/>
  <c r="CP6" i="2"/>
  <c r="CP36" i="2"/>
  <c r="CP33" i="2"/>
  <c r="CP30" i="2"/>
  <c r="CP4" i="2"/>
  <c r="CP25" i="2"/>
  <c r="CP22" i="2"/>
  <c r="CK19" i="2"/>
  <c r="CP16" i="2"/>
  <c r="CK12" i="2"/>
  <c r="CK9" i="2"/>
  <c r="CP8" i="2"/>
  <c r="CP27" i="2"/>
  <c r="CP12" i="2"/>
  <c r="CP9" i="2"/>
  <c r="CK5" i="2"/>
  <c r="CK26" i="2"/>
  <c r="CK18" i="2"/>
  <c r="CP15" i="2"/>
  <c r="CK8" i="2"/>
  <c r="CP5" i="2"/>
  <c r="CK35" i="2"/>
  <c r="CK32" i="2"/>
  <c r="CK29" i="2"/>
  <c r="CP26" i="2"/>
  <c r="CP23" i="2"/>
  <c r="CP37" i="2"/>
  <c r="CK36" i="2"/>
  <c r="CK15" i="2"/>
  <c r="CK23" i="2"/>
  <c r="CP18" i="2"/>
  <c r="CK4" i="2"/>
  <c r="CP35" i="2"/>
  <c r="CP32" i="2"/>
  <c r="CP29" i="2"/>
  <c r="CP7" i="2"/>
  <c r="CP34" i="2"/>
  <c r="CK20" i="2"/>
  <c r="CK14" i="2"/>
  <c r="CK11" i="2"/>
  <c r="CK3" i="2"/>
  <c r="CP20" i="2"/>
  <c r="CK17" i="2"/>
  <c r="CK2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<sst xmlns="http://schemas.openxmlformats.org/spreadsheetml/2006/main" count="2570" uniqueCount="276">
  <si>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</si>
  <si>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</si>
  <si>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</si>
  <si>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</si>
  <si>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</si>
  <si>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</si>
  <si>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</si>
  <si>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</si>
  <si>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</si>
  <si>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</si>
  <si>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</si>
  <si>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</si>
  <si>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</si>
  <si>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</si>
  <si>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</si>
  <si>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</si>
  <si>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</si>
  <si>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</si>
  <si>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</si>
  <si>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</si>
  <si>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</si>
  <si>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</si>
  <si>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</si>
  <si>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</si>
  <si>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</si>
  <si>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</si>
  <si>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</si>
  <si>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</si>
  <si>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</si>
  <si>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</si>
  <si>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</si>
  <si>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</si>
  <si>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</si>
  <si>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</si>
  <si>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</si>
  <si>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</si>
  <si>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</si>
  <si>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</si>
  <si>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</si>
  <si>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</si>
  <si>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</si>
  <si>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</si>
  <si>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</si>
  <si>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</si>
  <si>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</si>
  <si>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</si>
  <si>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</si>
  <si>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</si>
  <si>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</si>
  <si>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</si>
  <si>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</si>
  <si>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</si>
  <si>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</si>
  <si>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</si>
  <si>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</si>
  <si>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</si>
  <si>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</si>
  <si>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</si>
  <si>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</si>
  <si>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</si>
  <si>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</si>
  <si>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</si>
  <si>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</si>
  <si>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</si>
  <si>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</si>
  <si>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</si>
  <si>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</si>
  <si>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</si>
  <si>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</si>
  <si>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</si>
  <si>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</si>
  <si>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</si>
  <si>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</si>
  <si>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</si>
  <si>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</si>
  <si>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</si>
  <si>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</si>
  <si>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</si>
  <si>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</si>
  <si>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</si>
  <si>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</si>
  <si>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</si>
  <si>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</si>
  <si>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</si>
  <si>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</si>
  <si>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</si>
  <si>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</si>
  <si>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</si>
  <si>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</si>
  <si>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</si>
  <si>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</si>
  <si>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</si>
  <si>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</si>
  <si>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</si>
  <si>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</si>
  <si>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</si>
  <si>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</si>
  <si>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</si>
  <si>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</si>
  <si>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</si>
  <si>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</si>
  <si>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</si>
  <si>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</si>
  <si>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</si>
  <si>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</si>
  <si>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</si>
  <si>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</si>
  <si>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</si>
  <si>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</si>
  <si>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</si>
  <si>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</si>
  <si>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</si>
  <si>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</si>
  <si>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</si>
  <si>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</si>
  <si>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</si>
  <si>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</si>
  <si>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</si>
  <si>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</si>
  <si>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</si>
  <si>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</si>
  <si>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</si>
  <si>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</si>
  <si>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</si>
  <si>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</si>
  <si>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</si>
  <si>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</si>
  <si>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</si>
  <si>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</si>
  <si>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</si>
  <si>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2024-25</t>
  </si>
  <si>
    <t>5v5</t>
  </si>
  <si>
    <t>S.J</t>
  </si>
  <si>
    <t>w</t>
  </si>
  <si>
    <t>y</t>
  </si>
  <si>
    <t>f</t>
  </si>
  <si>
    <t>oz</t>
  </si>
  <si>
    <t>s</t>
  </si>
  <si>
    <t>opl</t>
  </si>
  <si>
    <t>oell</t>
  </si>
  <si>
    <t>c</t>
  </si>
  <si>
    <t>opr</t>
  </si>
  <si>
    <t>nr</t>
  </si>
  <si>
    <t>r</t>
  </si>
  <si>
    <t>nz</t>
  </si>
  <si>
    <t>nz reload</t>
  </si>
  <si>
    <t>T</t>
  </si>
  <si>
    <t>t</t>
  </si>
  <si>
    <t>NYI</t>
  </si>
  <si>
    <t>W</t>
  </si>
  <si>
    <t>oc</t>
  </si>
  <si>
    <t>dr</t>
  </si>
  <si>
    <t>Y</t>
  </si>
  <si>
    <t>dz</t>
  </si>
  <si>
    <t>dz exit</t>
  </si>
  <si>
    <t>or</t>
  </si>
  <si>
    <t>5v4</t>
  </si>
  <si>
    <t>o</t>
  </si>
  <si>
    <t>ol</t>
  </si>
  <si>
    <t>oelr</t>
  </si>
  <si>
    <t>oz faceoff</t>
  </si>
  <si>
    <t>dl</t>
  </si>
  <si>
    <t>oelpl</t>
  </si>
  <si>
    <t>oelc</t>
  </si>
  <si>
    <t>O</t>
  </si>
  <si>
    <t>ofp</t>
  </si>
  <si>
    <t>nsr</t>
  </si>
  <si>
    <t>orrl</t>
  </si>
  <si>
    <t>nl</t>
  </si>
  <si>
    <t>controlled breakout</t>
  </si>
  <si>
    <t>nsc</t>
  </si>
  <si>
    <t>nz regroup</t>
  </si>
  <si>
    <t>b</t>
  </si>
  <si>
    <t>nc</t>
  </si>
  <si>
    <t>dz counter</t>
  </si>
  <si>
    <t>orrr</t>
  </si>
  <si>
    <t>dc</t>
  </si>
  <si>
    <t>B</t>
  </si>
  <si>
    <t>S</t>
  </si>
  <si>
    <t>R</t>
  </si>
  <si>
    <t>dsc</t>
  </si>
  <si>
    <t>4v5</t>
  </si>
  <si>
    <t>X</t>
  </si>
  <si>
    <t>73S.J</t>
  </si>
  <si>
    <t>8NYI</t>
  </si>
  <si>
    <t>BOT</t>
  </si>
  <si>
    <t>72S.J</t>
  </si>
  <si>
    <t>3NYI</t>
  </si>
  <si>
    <t>PEX</t>
  </si>
  <si>
    <t>D</t>
  </si>
  <si>
    <t>11NYI</t>
  </si>
  <si>
    <t>N</t>
  </si>
  <si>
    <t>L</t>
  </si>
  <si>
    <t>38S.J</t>
  </si>
  <si>
    <t>EXC</t>
  </si>
  <si>
    <t>85S.J</t>
  </si>
  <si>
    <t>C</t>
  </si>
  <si>
    <t>10S.J</t>
  </si>
  <si>
    <t>28NYI</t>
  </si>
  <si>
    <t>4NYI</t>
  </si>
  <si>
    <t>FEX</t>
  </si>
  <si>
    <t>71S.J</t>
  </si>
  <si>
    <t>27NYI</t>
  </si>
  <si>
    <t>44S.J</t>
  </si>
  <si>
    <t>2S.J</t>
  </si>
  <si>
    <t>CLE</t>
  </si>
  <si>
    <t>F</t>
  </si>
  <si>
    <t>20NYI</t>
  </si>
  <si>
    <t>3S.J</t>
  </si>
  <si>
    <t>15S.J</t>
  </si>
  <si>
    <t>6NYI</t>
  </si>
  <si>
    <t>MEX</t>
  </si>
  <si>
    <t>5S.J</t>
  </si>
  <si>
    <t>16NYI</t>
  </si>
  <si>
    <t>91S.J</t>
  </si>
  <si>
    <t>14NYI</t>
  </si>
  <si>
    <t>37S.J</t>
  </si>
  <si>
    <t>21S.J</t>
  </si>
  <si>
    <t>CEX</t>
  </si>
  <si>
    <t>10NYI</t>
  </si>
  <si>
    <t>44NYI</t>
  </si>
  <si>
    <t>53S.J</t>
  </si>
  <si>
    <t>34NYI</t>
  </si>
  <si>
    <t>51S.J</t>
  </si>
  <si>
    <t>7NYI</t>
  </si>
  <si>
    <t>53NYI</t>
  </si>
  <si>
    <t>18NYI</t>
  </si>
  <si>
    <t>54S.J</t>
  </si>
  <si>
    <t>23S.J</t>
  </si>
  <si>
    <t>40S.J</t>
  </si>
  <si>
    <t>32NYI</t>
  </si>
  <si>
    <t>30NYI</t>
  </si>
  <si>
    <t>9154S.J</t>
  </si>
  <si>
    <t>21NYI</t>
  </si>
  <si>
    <t>8NY</t>
  </si>
  <si>
    <t>n</t>
  </si>
  <si>
    <t>Alexander Wennberg</t>
  </si>
  <si>
    <t>Barclay Goodrow</t>
  </si>
  <si>
    <t>Carl Grundstrom</t>
  </si>
  <si>
    <t>Collin Graf</t>
  </si>
  <si>
    <t>Henry Thrun</t>
  </si>
  <si>
    <t>Klim Kostin</t>
  </si>
  <si>
    <t>Macklin Celebrini</t>
  </si>
  <si>
    <t>Marc-Edouard Vlasic</t>
  </si>
  <si>
    <t>Mario Ferraro</t>
  </si>
  <si>
    <t>Nikolai Kovalenko</t>
  </si>
  <si>
    <t>Patrick Giles</t>
  </si>
  <si>
    <t>Shakir Mukhamadullin</t>
  </si>
  <si>
    <t>Timothy Liljegren</t>
  </si>
  <si>
    <t>Ty Dellandrea</t>
  </si>
  <si>
    <t>Tyler Toffoli</t>
  </si>
  <si>
    <t>Vincent Desharnais</t>
  </si>
  <si>
    <t>Will Smith</t>
  </si>
  <si>
    <t>William Eklund</t>
  </si>
  <si>
    <t>Adam Boqvist</t>
  </si>
  <si>
    <t>Adam Pelech</t>
  </si>
  <si>
    <t>Alexander Romanov</t>
  </si>
  <si>
    <t>Anders Lee</t>
  </si>
  <si>
    <t>Anthony Duclair</t>
  </si>
  <si>
    <t>Bo Horvat</t>
  </si>
  <si>
    <t>Casey Cizikas</t>
  </si>
  <si>
    <t>Hudson Fasching</t>
  </si>
  <si>
    <t>Jean-Gabriel Pageau</t>
  </si>
  <si>
    <t>Kyle MacLean</t>
  </si>
  <si>
    <t>Kyle Palmieri</t>
  </si>
  <si>
    <t>Marc Gatcomb</t>
  </si>
  <si>
    <t>Maxim Tsyplakov</t>
  </si>
  <si>
    <t>Noah Dobson</t>
  </si>
  <si>
    <t>Pierre Engvall</t>
  </si>
  <si>
    <t>Ryan Pulock</t>
  </si>
  <si>
    <t>Simon Holmstrom</t>
  </si>
  <si>
    <t>Tony DeAngelo</t>
  </si>
  <si>
    <t>Ilya Sorokin</t>
  </si>
  <si>
    <t>G</t>
  </si>
  <si>
    <t>Alexandar Georgiev</t>
  </si>
  <si>
    <t>3/5/2025 SJ vs. NYI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</si>
</sst>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  <xf numFmtId="20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Q226" activePane="bottomRight" state="frozen"/>
      <selection pane="topRight" activeCell="D1" sqref="D1"/>
      <selection pane="bottomLeft" activeCell="A2" sqref="A2"/>
      <selection pane="bottomRight" activeCell="A2" sqref="A2:XFD286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0.82708333333333328</v>
      </c>
      <c r="C2" s="21" t="s">
        <v>131</v>
      </c>
      <c r="D2" s="1" t="s">
        <v>132</v>
      </c>
      <c r="E2" s="1">
        <v>73</v>
      </c>
      <c r="F2" s="1" t="s">
        <v>133</v>
      </c>
      <c r="N2" s="1" t="s">
        <v>134</v>
      </c>
      <c r="P2" s="1" t="s">
        <v>135</v>
      </c>
      <c r="Q2" s="1" t="s">
        <v>136</v>
      </c>
      <c r="U2" s="1">
        <v>0</v>
      </c>
      <c r="V2" s="1">
        <v>30</v>
      </c>
      <c r="W2" s="1">
        <v>21012</v>
      </c>
      <c r="X2" s="1">
        <v>45724</v>
      </c>
      <c r="AK2" s="7"/>
      <c r="AL2" s="7"/>
    </row>
    <row r="3" spans="1:40" x14ac:dyDescent="0.35">
      <c r="A3" s="2">
        <v>1</v>
      </c>
      <c r="B3" s="15">
        <v>0.81597222222222221</v>
      </c>
      <c r="C3" s="21" t="s">
        <v>131</v>
      </c>
      <c r="D3" s="1" t="s">
        <v>132</v>
      </c>
      <c r="E3" s="1">
        <v>73</v>
      </c>
      <c r="F3" s="1" t="s">
        <v>137</v>
      </c>
      <c r="G3" s="1">
        <v>38</v>
      </c>
      <c r="H3" s="1">
        <v>73</v>
      </c>
      <c r="I3" s="1">
        <v>72</v>
      </c>
      <c r="J3" s="1" t="s">
        <v>137</v>
      </c>
      <c r="K3" s="1" t="s">
        <v>138</v>
      </c>
      <c r="L3" s="1" t="s">
        <v>139</v>
      </c>
      <c r="M3" s="1" t="s">
        <v>134</v>
      </c>
      <c r="N3" s="1" t="s">
        <v>134</v>
      </c>
      <c r="P3" s="1" t="s">
        <v>140</v>
      </c>
      <c r="Q3" s="1" t="s">
        <v>136</v>
      </c>
      <c r="U3" s="1">
        <v>0</v>
      </c>
      <c r="V3" s="1">
        <v>30</v>
      </c>
      <c r="W3" s="1">
        <v>21012</v>
      </c>
      <c r="X3" s="1">
        <v>45724</v>
      </c>
      <c r="AK3" s="7"/>
      <c r="AL3" s="7"/>
    </row>
    <row r="4" spans="1:40" x14ac:dyDescent="0.35">
      <c r="A4" s="7">
        <v>1</v>
      </c>
      <c r="B4" s="15">
        <v>0.80138888888888893</v>
      </c>
      <c r="C4" s="21" t="s">
        <v>131</v>
      </c>
      <c r="D4" s="1" t="s">
        <v>132</v>
      </c>
      <c r="E4" s="1">
        <v>37</v>
      </c>
      <c r="F4" s="1" t="s">
        <v>133</v>
      </c>
      <c r="G4" s="1">
        <v>10</v>
      </c>
      <c r="H4" s="1">
        <v>2</v>
      </c>
      <c r="I4" s="1">
        <v>10</v>
      </c>
      <c r="J4" s="1" t="s">
        <v>141</v>
      </c>
      <c r="K4" s="1" t="s">
        <v>142</v>
      </c>
      <c r="L4" s="1" t="s">
        <v>142</v>
      </c>
      <c r="N4" s="1" t="s">
        <v>134</v>
      </c>
      <c r="P4" s="1" t="s">
        <v>143</v>
      </c>
      <c r="Q4" s="1" t="s">
        <v>144</v>
      </c>
      <c r="R4" s="1" t="s">
        <v>145</v>
      </c>
      <c r="U4" s="1">
        <v>0</v>
      </c>
      <c r="V4" s="1">
        <v>30</v>
      </c>
      <c r="W4" s="1">
        <v>21012</v>
      </c>
      <c r="X4" s="1">
        <v>45724</v>
      </c>
      <c r="AK4" s="7"/>
      <c r="AL4" s="7"/>
    </row>
    <row r="5" spans="1:40" x14ac:dyDescent="0.35">
      <c r="A5" s="7">
        <v>1</v>
      </c>
      <c r="B5" s="14">
        <v>0.79583333333333328</v>
      </c>
      <c r="C5" s="21" t="s">
        <v>131</v>
      </c>
      <c r="D5" s="1" t="s">
        <v>132</v>
      </c>
      <c r="E5" s="1">
        <v>10</v>
      </c>
      <c r="F5" s="1" t="s">
        <v>146</v>
      </c>
      <c r="G5" s="1">
        <v>44</v>
      </c>
      <c r="J5" s="1" t="s">
        <v>137</v>
      </c>
      <c r="P5" s="1" t="s">
        <v>135</v>
      </c>
      <c r="Q5" s="1" t="s">
        <v>136</v>
      </c>
      <c r="U5" s="1">
        <v>0</v>
      </c>
      <c r="V5" s="1">
        <v>30</v>
      </c>
      <c r="W5" s="1">
        <v>21012</v>
      </c>
      <c r="X5" s="1">
        <v>45724</v>
      </c>
      <c r="AK5" s="7"/>
      <c r="AL5" s="7"/>
    </row>
    <row r="6" spans="1:40" x14ac:dyDescent="0.35">
      <c r="A6" s="2">
        <v>1</v>
      </c>
      <c r="B6" s="15">
        <v>0.79305555555555551</v>
      </c>
      <c r="C6" s="21" t="s">
        <v>131</v>
      </c>
      <c r="D6" s="1" t="s">
        <v>132</v>
      </c>
      <c r="E6" s="1">
        <v>10</v>
      </c>
      <c r="F6" s="1" t="s">
        <v>147</v>
      </c>
      <c r="G6" s="1">
        <v>44</v>
      </c>
      <c r="J6" s="1" t="s">
        <v>137</v>
      </c>
      <c r="N6" s="1" t="s">
        <v>134</v>
      </c>
      <c r="P6" s="1" t="s">
        <v>135</v>
      </c>
      <c r="Q6" s="1" t="s">
        <v>136</v>
      </c>
      <c r="U6" s="1">
        <v>0</v>
      </c>
      <c r="V6" s="1">
        <v>30</v>
      </c>
      <c r="W6" s="1">
        <v>21012</v>
      </c>
      <c r="X6" s="1">
        <v>45724</v>
      </c>
      <c r="AK6" s="7"/>
      <c r="AL6" s="7"/>
    </row>
    <row r="7" spans="1:40" x14ac:dyDescent="0.35">
      <c r="A7" s="2">
        <v>1</v>
      </c>
      <c r="B7" s="15">
        <v>0.79166666666666663</v>
      </c>
      <c r="C7" s="21" t="s">
        <v>131</v>
      </c>
      <c r="D7" s="1" t="s">
        <v>132</v>
      </c>
      <c r="E7" s="1">
        <v>71</v>
      </c>
      <c r="F7" s="1" t="s">
        <v>143</v>
      </c>
      <c r="M7" s="1" t="s">
        <v>134</v>
      </c>
      <c r="N7" s="1" t="s">
        <v>134</v>
      </c>
      <c r="P7" s="1" t="s">
        <v>135</v>
      </c>
      <c r="Q7" s="1" t="s">
        <v>136</v>
      </c>
      <c r="U7" s="1">
        <v>0</v>
      </c>
      <c r="V7" s="1">
        <v>30</v>
      </c>
      <c r="W7" s="1">
        <v>21012</v>
      </c>
      <c r="X7" s="1">
        <v>45724</v>
      </c>
      <c r="AK7" s="7"/>
      <c r="AL7" s="7"/>
    </row>
    <row r="8" spans="1:40" x14ac:dyDescent="0.35">
      <c r="A8" s="7">
        <v>1</v>
      </c>
      <c r="B8" s="15">
        <v>0.6958333333333333</v>
      </c>
      <c r="C8" s="21" t="s">
        <v>131</v>
      </c>
      <c r="D8" s="1" t="s">
        <v>148</v>
      </c>
      <c r="E8" s="1">
        <v>11</v>
      </c>
      <c r="F8" s="1" t="s">
        <v>149</v>
      </c>
      <c r="G8" s="1">
        <v>21</v>
      </c>
      <c r="H8" s="1">
        <v>14</v>
      </c>
      <c r="I8" s="1">
        <v>11</v>
      </c>
      <c r="J8" s="1" t="s">
        <v>150</v>
      </c>
      <c r="K8" s="1" t="s">
        <v>150</v>
      </c>
      <c r="L8" s="1" t="s">
        <v>151</v>
      </c>
      <c r="M8" s="1" t="s">
        <v>152</v>
      </c>
      <c r="N8" s="1" t="s">
        <v>152</v>
      </c>
      <c r="P8" s="1" t="s">
        <v>143</v>
      </c>
      <c r="Q8" s="1" t="s">
        <v>153</v>
      </c>
      <c r="R8" s="1" t="s">
        <v>154</v>
      </c>
      <c r="U8" s="1">
        <v>0</v>
      </c>
      <c r="V8" s="1">
        <v>40</v>
      </c>
      <c r="W8" s="1">
        <v>21012</v>
      </c>
      <c r="X8" s="1">
        <v>45724</v>
      </c>
      <c r="AK8" s="7"/>
      <c r="AL8" s="7"/>
    </row>
    <row r="9" spans="1:40" x14ac:dyDescent="0.35">
      <c r="A9" s="2">
        <v>1</v>
      </c>
      <c r="B9" s="15">
        <v>0.65277777777777779</v>
      </c>
      <c r="C9" s="21" t="s">
        <v>131</v>
      </c>
      <c r="D9" s="1" t="s">
        <v>132</v>
      </c>
      <c r="E9" s="1">
        <v>72</v>
      </c>
      <c r="F9" s="1" t="s">
        <v>133</v>
      </c>
      <c r="G9" s="1">
        <v>2</v>
      </c>
      <c r="H9" s="1">
        <v>71</v>
      </c>
      <c r="J9" s="1" t="s">
        <v>155</v>
      </c>
      <c r="K9" s="1" t="s">
        <v>155</v>
      </c>
      <c r="M9" s="1" t="s">
        <v>134</v>
      </c>
      <c r="N9" s="1" t="s">
        <v>134</v>
      </c>
      <c r="U9" s="1">
        <v>0</v>
      </c>
      <c r="V9" s="1">
        <v>30</v>
      </c>
      <c r="W9" s="1">
        <v>21012</v>
      </c>
      <c r="X9" s="1">
        <v>45724</v>
      </c>
      <c r="AK9" s="7"/>
      <c r="AL9" s="7"/>
    </row>
    <row r="10" spans="1:40" x14ac:dyDescent="0.35">
      <c r="A10" s="2">
        <v>1</v>
      </c>
      <c r="B10" s="15">
        <v>0.61944444444444446</v>
      </c>
      <c r="C10" s="21" t="s">
        <v>156</v>
      </c>
      <c r="D10" s="1" t="s">
        <v>132</v>
      </c>
      <c r="E10" s="1">
        <v>71</v>
      </c>
      <c r="F10" s="1" t="s">
        <v>157</v>
      </c>
      <c r="G10" s="1">
        <v>21</v>
      </c>
      <c r="H10" s="1">
        <v>2</v>
      </c>
      <c r="J10" s="1" t="s">
        <v>150</v>
      </c>
      <c r="K10" s="1" t="s">
        <v>138</v>
      </c>
      <c r="U10" s="1">
        <v>0</v>
      </c>
      <c r="V10" s="1">
        <v>30</v>
      </c>
      <c r="W10" s="1">
        <v>21012</v>
      </c>
      <c r="X10" s="1">
        <v>45724</v>
      </c>
      <c r="AK10" s="7"/>
      <c r="AL10" s="7"/>
    </row>
    <row r="11" spans="1:40" x14ac:dyDescent="0.35">
      <c r="A11" s="2">
        <v>1</v>
      </c>
      <c r="B11" s="15">
        <v>0.6118055555555556</v>
      </c>
      <c r="C11" s="21" t="s">
        <v>156</v>
      </c>
      <c r="D11" s="1" t="s">
        <v>132</v>
      </c>
      <c r="E11" s="1">
        <v>71</v>
      </c>
      <c r="F11" s="1" t="s">
        <v>133</v>
      </c>
      <c r="G11" s="1">
        <v>21</v>
      </c>
      <c r="J11" s="1" t="s">
        <v>150</v>
      </c>
      <c r="N11" s="1" t="s">
        <v>134</v>
      </c>
      <c r="U11" s="1">
        <v>0</v>
      </c>
      <c r="V11" s="1">
        <v>30</v>
      </c>
      <c r="W11" s="1">
        <v>21012</v>
      </c>
      <c r="X11" s="1">
        <v>45724</v>
      </c>
      <c r="AK11" s="7"/>
      <c r="AL11" s="7"/>
    </row>
    <row r="12" spans="1:40" x14ac:dyDescent="0.35">
      <c r="A12" s="2">
        <v>1</v>
      </c>
      <c r="B12" s="15">
        <v>0.59305555555555556</v>
      </c>
      <c r="C12" s="21" t="s">
        <v>156</v>
      </c>
      <c r="D12" s="1" t="s">
        <v>132</v>
      </c>
      <c r="E12" s="1">
        <v>37</v>
      </c>
      <c r="F12" s="1" t="s">
        <v>133</v>
      </c>
      <c r="G12" s="1">
        <v>85</v>
      </c>
      <c r="H12" s="1">
        <v>37</v>
      </c>
      <c r="J12" s="1" t="s">
        <v>158</v>
      </c>
      <c r="K12" s="1" t="s">
        <v>155</v>
      </c>
      <c r="N12" s="1" t="s">
        <v>134</v>
      </c>
      <c r="O12" s="1" t="s">
        <v>134</v>
      </c>
      <c r="U12" s="1">
        <v>0</v>
      </c>
      <c r="V12" s="1">
        <v>30</v>
      </c>
      <c r="W12" s="1">
        <v>21012</v>
      </c>
      <c r="X12" s="1">
        <v>45724</v>
      </c>
      <c r="AK12" s="7"/>
      <c r="AL12" s="7"/>
    </row>
    <row r="13" spans="1:40" x14ac:dyDescent="0.35">
      <c r="A13" s="7">
        <v>1</v>
      </c>
      <c r="B13" s="15">
        <v>0.58750000000000002</v>
      </c>
      <c r="C13" s="21" t="s">
        <v>131</v>
      </c>
      <c r="D13" s="1" t="s">
        <v>132</v>
      </c>
      <c r="E13" s="1">
        <v>10</v>
      </c>
      <c r="F13" s="1" t="s">
        <v>147</v>
      </c>
      <c r="G13" s="1">
        <v>15</v>
      </c>
      <c r="H13" s="1">
        <v>85</v>
      </c>
      <c r="I13" s="1">
        <v>37</v>
      </c>
      <c r="J13" s="1" t="s">
        <v>159</v>
      </c>
      <c r="K13" s="1" t="s">
        <v>155</v>
      </c>
      <c r="L13" s="1" t="s">
        <v>158</v>
      </c>
      <c r="M13" s="1" t="s">
        <v>134</v>
      </c>
      <c r="N13" s="1" t="s">
        <v>134</v>
      </c>
      <c r="U13" s="1">
        <v>0</v>
      </c>
      <c r="V13" s="1">
        <v>30</v>
      </c>
      <c r="W13" s="1">
        <v>21012</v>
      </c>
      <c r="X13" s="1">
        <v>45724</v>
      </c>
      <c r="AK13" s="7"/>
      <c r="AL13" s="7"/>
    </row>
    <row r="14" spans="1:40" x14ac:dyDescent="0.35">
      <c r="A14" s="2">
        <v>1</v>
      </c>
      <c r="B14" s="15">
        <v>0.58472222222222225</v>
      </c>
      <c r="C14" s="21" t="s">
        <v>131</v>
      </c>
      <c r="D14" s="1" t="s">
        <v>132</v>
      </c>
      <c r="E14" s="1">
        <v>3</v>
      </c>
      <c r="F14" s="1" t="s">
        <v>133</v>
      </c>
      <c r="N14" s="1" t="s">
        <v>134</v>
      </c>
      <c r="Q14" s="1" t="s">
        <v>136</v>
      </c>
      <c r="R14" s="1" t="s">
        <v>160</v>
      </c>
      <c r="U14" s="1">
        <v>0</v>
      </c>
      <c r="V14" s="1">
        <v>30</v>
      </c>
      <c r="W14" s="1">
        <v>21012</v>
      </c>
      <c r="X14" s="1">
        <v>45724</v>
      </c>
      <c r="AK14" s="7"/>
      <c r="AL14" s="7"/>
    </row>
    <row r="15" spans="1:40" x14ac:dyDescent="0.35">
      <c r="A15" s="2">
        <v>1</v>
      </c>
      <c r="B15" s="15">
        <v>0.57847222222222228</v>
      </c>
      <c r="C15" s="21" t="s">
        <v>131</v>
      </c>
      <c r="D15" s="1" t="s">
        <v>132</v>
      </c>
      <c r="E15" s="1">
        <v>23</v>
      </c>
      <c r="F15" s="1" t="s">
        <v>157</v>
      </c>
      <c r="G15" s="1">
        <v>3</v>
      </c>
      <c r="H15" s="1">
        <v>91</v>
      </c>
      <c r="I15" s="1">
        <v>23</v>
      </c>
      <c r="J15" s="1" t="s">
        <v>138</v>
      </c>
      <c r="K15" s="1" t="s">
        <v>155</v>
      </c>
      <c r="L15" s="1" t="s">
        <v>155</v>
      </c>
      <c r="N15" s="1" t="s">
        <v>134</v>
      </c>
      <c r="P15" s="1" t="s">
        <v>140</v>
      </c>
      <c r="Q15" s="1" t="s">
        <v>136</v>
      </c>
      <c r="U15" s="1">
        <v>0</v>
      </c>
      <c r="V15" s="1">
        <v>30</v>
      </c>
      <c r="W15" s="1">
        <v>21012</v>
      </c>
      <c r="X15" s="1">
        <v>45724</v>
      </c>
      <c r="AK15" s="7"/>
      <c r="AL15" s="7"/>
    </row>
    <row r="16" spans="1:40" x14ac:dyDescent="0.35">
      <c r="A16" s="2">
        <v>1</v>
      </c>
      <c r="B16" s="15">
        <v>0.57291666666666663</v>
      </c>
      <c r="C16" s="21" t="s">
        <v>131</v>
      </c>
      <c r="D16" s="1" t="s">
        <v>132</v>
      </c>
      <c r="E16" s="1">
        <v>10</v>
      </c>
      <c r="F16" s="1" t="s">
        <v>147</v>
      </c>
      <c r="G16" s="1">
        <v>71</v>
      </c>
      <c r="H16" s="1">
        <v>2</v>
      </c>
      <c r="I16" s="1">
        <v>3</v>
      </c>
      <c r="J16" s="1" t="s">
        <v>155</v>
      </c>
      <c r="K16" s="1" t="s">
        <v>158</v>
      </c>
      <c r="L16" s="1" t="s">
        <v>158</v>
      </c>
      <c r="M16" s="1" t="s">
        <v>134</v>
      </c>
      <c r="N16" s="1" t="s">
        <v>134</v>
      </c>
      <c r="Q16" s="1" t="s">
        <v>136</v>
      </c>
      <c r="R16" s="1" t="s">
        <v>160</v>
      </c>
      <c r="U16" s="1">
        <v>0</v>
      </c>
      <c r="V16" s="1">
        <v>30</v>
      </c>
      <c r="W16" s="1">
        <v>21012</v>
      </c>
      <c r="X16" s="1">
        <v>45724</v>
      </c>
      <c r="AK16" s="7"/>
      <c r="AL16" s="7"/>
    </row>
    <row r="17" spans="1:38" x14ac:dyDescent="0.35">
      <c r="A17" s="2">
        <v>1</v>
      </c>
      <c r="B17" s="15">
        <v>0.49375000000000002</v>
      </c>
      <c r="C17" s="21" t="s">
        <v>131</v>
      </c>
      <c r="D17" s="1" t="s">
        <v>132</v>
      </c>
      <c r="E17" s="1">
        <v>73</v>
      </c>
      <c r="F17" s="1" t="s">
        <v>133</v>
      </c>
      <c r="G17" s="1">
        <v>21</v>
      </c>
      <c r="H17" s="1">
        <v>73</v>
      </c>
      <c r="J17" s="1" t="s">
        <v>158</v>
      </c>
      <c r="K17" s="1" t="s">
        <v>161</v>
      </c>
      <c r="M17" s="1" t="s">
        <v>134</v>
      </c>
      <c r="N17" s="1" t="s">
        <v>134</v>
      </c>
      <c r="P17" s="1" t="s">
        <v>143</v>
      </c>
      <c r="Q17" s="1" t="s">
        <v>153</v>
      </c>
      <c r="R17" s="1" t="s">
        <v>154</v>
      </c>
      <c r="U17" s="1">
        <v>0</v>
      </c>
      <c r="V17" s="1">
        <v>30</v>
      </c>
      <c r="W17" s="1">
        <v>21012</v>
      </c>
      <c r="X17" s="1">
        <v>45724</v>
      </c>
      <c r="AK17" s="7"/>
      <c r="AL17" s="7"/>
    </row>
    <row r="18" spans="1:38" x14ac:dyDescent="0.35">
      <c r="A18" s="2">
        <v>1</v>
      </c>
      <c r="B18" s="15">
        <v>0.49375000000000002</v>
      </c>
      <c r="C18" s="21" t="s">
        <v>131</v>
      </c>
      <c r="D18" s="1" t="s">
        <v>132</v>
      </c>
      <c r="E18" s="1">
        <v>72</v>
      </c>
      <c r="F18" s="1" t="s">
        <v>143</v>
      </c>
      <c r="M18" s="1" t="s">
        <v>134</v>
      </c>
      <c r="N18" s="1" t="s">
        <v>134</v>
      </c>
      <c r="P18" s="1" t="s">
        <v>143</v>
      </c>
      <c r="Q18" s="1" t="s">
        <v>153</v>
      </c>
      <c r="R18" s="1" t="s">
        <v>154</v>
      </c>
      <c r="U18" s="1">
        <v>0</v>
      </c>
      <c r="V18" s="1">
        <v>30</v>
      </c>
      <c r="W18" s="1">
        <v>21012</v>
      </c>
      <c r="X18" s="1">
        <v>45724</v>
      </c>
      <c r="AK18" s="7"/>
      <c r="AL18" s="7"/>
    </row>
    <row r="19" spans="1:38" x14ac:dyDescent="0.35">
      <c r="A19" s="7">
        <v>1</v>
      </c>
      <c r="B19" s="15">
        <v>0.49305555555555558</v>
      </c>
      <c r="C19" s="21" t="s">
        <v>131</v>
      </c>
      <c r="D19" s="1" t="s">
        <v>132</v>
      </c>
      <c r="E19" s="1">
        <v>38</v>
      </c>
      <c r="F19" s="1" t="s">
        <v>143</v>
      </c>
      <c r="M19" s="1" t="s">
        <v>134</v>
      </c>
      <c r="N19" s="1" t="s">
        <v>134</v>
      </c>
      <c r="P19" s="1" t="s">
        <v>143</v>
      </c>
      <c r="Q19" s="1" t="s">
        <v>153</v>
      </c>
      <c r="R19" s="1" t="s">
        <v>154</v>
      </c>
      <c r="U19" s="1">
        <v>0</v>
      </c>
      <c r="V19" s="1">
        <v>30</v>
      </c>
      <c r="W19" s="1">
        <v>21012</v>
      </c>
      <c r="X19" s="1">
        <v>45724</v>
      </c>
      <c r="AK19" s="7"/>
      <c r="AL19" s="7"/>
    </row>
    <row r="20" spans="1:38" x14ac:dyDescent="0.35">
      <c r="A20" s="2">
        <v>1</v>
      </c>
      <c r="B20" s="15">
        <v>0.46944444444444444</v>
      </c>
      <c r="C20" s="21" t="s">
        <v>131</v>
      </c>
      <c r="D20" s="1" t="s">
        <v>148</v>
      </c>
      <c r="E20" s="1">
        <v>8</v>
      </c>
      <c r="F20" s="1" t="s">
        <v>133</v>
      </c>
      <c r="G20" s="1">
        <v>3</v>
      </c>
      <c r="H20" s="1">
        <v>7</v>
      </c>
      <c r="J20" s="1" t="s">
        <v>158</v>
      </c>
      <c r="K20" s="1" t="s">
        <v>138</v>
      </c>
      <c r="N20" s="1" t="s">
        <v>134</v>
      </c>
      <c r="O20" s="1" t="s">
        <v>134</v>
      </c>
      <c r="P20" s="1" t="s">
        <v>135</v>
      </c>
      <c r="Q20" s="1" t="s">
        <v>136</v>
      </c>
      <c r="U20" s="1">
        <v>0</v>
      </c>
      <c r="V20" s="1">
        <v>40</v>
      </c>
      <c r="W20" s="1">
        <v>21012</v>
      </c>
      <c r="X20" s="1">
        <v>45724</v>
      </c>
      <c r="AK20" s="7"/>
      <c r="AL20" s="7"/>
    </row>
    <row r="21" spans="1:38" x14ac:dyDescent="0.35">
      <c r="A21" s="7">
        <v>1</v>
      </c>
      <c r="B21" s="15">
        <v>0.43333333333333335</v>
      </c>
      <c r="C21" s="21" t="s">
        <v>131</v>
      </c>
      <c r="D21" s="1" t="s">
        <v>132</v>
      </c>
      <c r="E21" s="1">
        <v>3</v>
      </c>
      <c r="F21" s="1" t="s">
        <v>133</v>
      </c>
      <c r="G21" s="1">
        <v>54</v>
      </c>
      <c r="J21" s="1" t="s">
        <v>162</v>
      </c>
      <c r="P21" s="1" t="s">
        <v>135</v>
      </c>
      <c r="Q21" s="1" t="s">
        <v>136</v>
      </c>
      <c r="U21" s="1">
        <v>0</v>
      </c>
      <c r="V21" s="1">
        <v>30</v>
      </c>
      <c r="W21" s="1">
        <v>21012</v>
      </c>
      <c r="X21" s="1">
        <v>45724</v>
      </c>
      <c r="AK21" s="7"/>
      <c r="AL21" s="7"/>
    </row>
    <row r="22" spans="1:38" x14ac:dyDescent="0.35">
      <c r="A22" s="7">
        <v>1</v>
      </c>
      <c r="B22" s="15">
        <v>0.4284722222222222</v>
      </c>
      <c r="C22" s="21" t="s">
        <v>131</v>
      </c>
      <c r="D22" s="1" t="s">
        <v>132</v>
      </c>
      <c r="E22" s="1">
        <v>23</v>
      </c>
      <c r="F22" s="1" t="s">
        <v>133</v>
      </c>
      <c r="G22" s="1">
        <v>91</v>
      </c>
      <c r="J22" s="1" t="s">
        <v>155</v>
      </c>
      <c r="M22" s="1" t="s">
        <v>134</v>
      </c>
      <c r="P22" s="1" t="s">
        <v>135</v>
      </c>
      <c r="Q22" s="1" t="s">
        <v>136</v>
      </c>
      <c r="U22" s="1">
        <v>0</v>
      </c>
      <c r="V22" s="1">
        <v>30</v>
      </c>
      <c r="W22" s="1">
        <v>21012</v>
      </c>
      <c r="X22" s="1">
        <v>45724</v>
      </c>
      <c r="AK22" s="7"/>
      <c r="AL22" s="7"/>
    </row>
    <row r="23" spans="1:38" x14ac:dyDescent="0.35">
      <c r="A23" s="2">
        <v>1</v>
      </c>
      <c r="B23" s="15">
        <v>0.42638888888888887</v>
      </c>
      <c r="C23" s="21" t="s">
        <v>131</v>
      </c>
      <c r="D23" s="1" t="s">
        <v>132</v>
      </c>
      <c r="E23" s="1">
        <v>3</v>
      </c>
      <c r="F23" s="1" t="s">
        <v>133</v>
      </c>
      <c r="P23" s="1" t="s">
        <v>135</v>
      </c>
      <c r="Q23" s="1" t="s">
        <v>136</v>
      </c>
      <c r="U23" s="1">
        <v>0</v>
      </c>
      <c r="V23" s="1">
        <v>30</v>
      </c>
      <c r="W23" s="1">
        <v>21012</v>
      </c>
      <c r="X23" s="1">
        <v>45724</v>
      </c>
      <c r="AK23" s="7"/>
      <c r="AL23" s="7"/>
    </row>
    <row r="24" spans="1:38" x14ac:dyDescent="0.35">
      <c r="A24" s="7">
        <v>1</v>
      </c>
      <c r="B24" s="15">
        <v>0.41249999999999998</v>
      </c>
      <c r="C24" s="21" t="s">
        <v>131</v>
      </c>
      <c r="D24" s="1" t="s">
        <v>132</v>
      </c>
      <c r="E24" s="1">
        <v>91</v>
      </c>
      <c r="F24" s="1" t="s">
        <v>133</v>
      </c>
      <c r="G24" s="1">
        <v>71</v>
      </c>
      <c r="H24" s="1">
        <v>3</v>
      </c>
      <c r="J24" s="1" t="s">
        <v>163</v>
      </c>
      <c r="K24" s="1" t="s">
        <v>158</v>
      </c>
      <c r="M24" s="1" t="s">
        <v>134</v>
      </c>
      <c r="N24" s="1" t="s">
        <v>134</v>
      </c>
      <c r="P24" s="1" t="s">
        <v>140</v>
      </c>
      <c r="Q24" s="1" t="s">
        <v>136</v>
      </c>
      <c r="U24" s="1">
        <v>0</v>
      </c>
      <c r="V24" s="1">
        <v>30</v>
      </c>
      <c r="W24" s="1">
        <v>21012</v>
      </c>
      <c r="X24" s="1">
        <v>45724</v>
      </c>
      <c r="AK24" s="7"/>
      <c r="AL24" s="7"/>
    </row>
    <row r="25" spans="1:38" x14ac:dyDescent="0.35">
      <c r="A25" s="2">
        <v>1</v>
      </c>
      <c r="B25" s="15">
        <v>0.40486111111111112</v>
      </c>
      <c r="C25" s="21" t="s">
        <v>156</v>
      </c>
      <c r="D25" s="1" t="s">
        <v>148</v>
      </c>
      <c r="E25" s="1">
        <v>14</v>
      </c>
      <c r="F25" s="1" t="s">
        <v>164</v>
      </c>
      <c r="G25" s="1">
        <v>21</v>
      </c>
      <c r="H25" s="1">
        <v>10</v>
      </c>
      <c r="I25" s="1">
        <v>8</v>
      </c>
      <c r="J25" s="1" t="s">
        <v>139</v>
      </c>
      <c r="K25" s="1" t="s">
        <v>158</v>
      </c>
      <c r="L25" s="1" t="s">
        <v>158</v>
      </c>
      <c r="M25" s="1" t="s">
        <v>134</v>
      </c>
      <c r="Q25" s="1" t="s">
        <v>136</v>
      </c>
      <c r="R25" s="1" t="s">
        <v>160</v>
      </c>
      <c r="U25" s="1">
        <v>0</v>
      </c>
      <c r="V25" s="1">
        <v>40</v>
      </c>
      <c r="W25" s="1">
        <v>21012</v>
      </c>
      <c r="X25" s="1">
        <v>45724</v>
      </c>
      <c r="AK25" s="7"/>
      <c r="AL25" s="7"/>
    </row>
    <row r="26" spans="1:38" x14ac:dyDescent="0.35">
      <c r="A26" s="7">
        <v>1</v>
      </c>
      <c r="B26" s="15">
        <v>0.39583333333333331</v>
      </c>
      <c r="C26" s="21" t="s">
        <v>131</v>
      </c>
      <c r="D26" s="1" t="s">
        <v>148</v>
      </c>
      <c r="E26" s="1">
        <v>8</v>
      </c>
      <c r="F26" s="1" t="s">
        <v>133</v>
      </c>
      <c r="G26" s="1">
        <v>10</v>
      </c>
      <c r="J26" s="1" t="s">
        <v>138</v>
      </c>
      <c r="N26" s="1" t="s">
        <v>134</v>
      </c>
      <c r="U26" s="1">
        <v>0</v>
      </c>
      <c r="V26" s="1">
        <v>40</v>
      </c>
      <c r="W26" s="1">
        <v>21012</v>
      </c>
      <c r="X26" s="1">
        <v>45724</v>
      </c>
      <c r="AK26" s="7"/>
      <c r="AL26" s="7"/>
    </row>
    <row r="27" spans="1:38" x14ac:dyDescent="0.35">
      <c r="A27" s="2">
        <v>1</v>
      </c>
      <c r="B27" s="15">
        <v>0.39444444444444443</v>
      </c>
      <c r="C27" s="21" t="s">
        <v>156</v>
      </c>
      <c r="D27" s="1" t="s">
        <v>148</v>
      </c>
      <c r="E27" s="1">
        <v>11</v>
      </c>
      <c r="F27" s="1" t="s">
        <v>143</v>
      </c>
      <c r="M27" s="1" t="s">
        <v>134</v>
      </c>
      <c r="N27" s="1" t="s">
        <v>134</v>
      </c>
      <c r="U27" s="1">
        <v>0</v>
      </c>
      <c r="V27" s="1">
        <v>40</v>
      </c>
      <c r="W27" s="1">
        <v>21012</v>
      </c>
      <c r="X27" s="1">
        <v>45724</v>
      </c>
      <c r="AK27" s="7"/>
      <c r="AL27" s="7"/>
    </row>
    <row r="28" spans="1:38" x14ac:dyDescent="0.35">
      <c r="A28" s="7">
        <v>1</v>
      </c>
      <c r="B28" s="14">
        <v>0.38611111111111113</v>
      </c>
      <c r="C28" s="21" t="s">
        <v>156</v>
      </c>
      <c r="D28" s="1" t="s">
        <v>148</v>
      </c>
      <c r="E28" s="1">
        <v>11</v>
      </c>
      <c r="F28" s="1" t="s">
        <v>133</v>
      </c>
      <c r="G28" s="1">
        <v>10</v>
      </c>
      <c r="H28" s="1">
        <v>8</v>
      </c>
      <c r="I28" s="1">
        <v>10</v>
      </c>
      <c r="J28" s="1" t="s">
        <v>158</v>
      </c>
      <c r="K28" s="1" t="s">
        <v>158</v>
      </c>
      <c r="L28" s="1" t="s">
        <v>158</v>
      </c>
      <c r="N28" s="1" t="s">
        <v>134</v>
      </c>
      <c r="O28" s="1" t="s">
        <v>134</v>
      </c>
      <c r="T28" s="1" t="s">
        <v>134</v>
      </c>
      <c r="U28" s="1">
        <v>0</v>
      </c>
      <c r="V28" s="1">
        <v>40</v>
      </c>
      <c r="W28" s="1">
        <v>21012</v>
      </c>
      <c r="X28" s="1">
        <v>45724</v>
      </c>
      <c r="AK28" s="7"/>
      <c r="AL28" s="7"/>
    </row>
    <row r="29" spans="1:38" x14ac:dyDescent="0.35">
      <c r="A29" s="7">
        <v>1</v>
      </c>
      <c r="B29" s="14">
        <v>0.33541666666666664</v>
      </c>
      <c r="C29" s="21" t="s">
        <v>156</v>
      </c>
      <c r="D29" s="1" t="s">
        <v>148</v>
      </c>
      <c r="E29" s="1">
        <v>14</v>
      </c>
      <c r="F29" s="1" t="s">
        <v>157</v>
      </c>
      <c r="G29" s="1">
        <v>21</v>
      </c>
      <c r="H29" s="1">
        <v>10</v>
      </c>
      <c r="I29" s="1">
        <v>8</v>
      </c>
      <c r="J29" s="1" t="s">
        <v>158</v>
      </c>
      <c r="K29" s="1" t="s">
        <v>158</v>
      </c>
      <c r="L29" s="1" t="s">
        <v>155</v>
      </c>
      <c r="M29" s="1" t="s">
        <v>134</v>
      </c>
      <c r="N29" s="1" t="s">
        <v>134</v>
      </c>
      <c r="U29" s="1">
        <v>-1</v>
      </c>
      <c r="V29" s="1">
        <v>40</v>
      </c>
      <c r="W29" s="1">
        <v>21012</v>
      </c>
      <c r="X29" s="1">
        <v>45724</v>
      </c>
      <c r="AK29" s="7"/>
      <c r="AL29" s="7"/>
    </row>
    <row r="30" spans="1:38" x14ac:dyDescent="0.35">
      <c r="A30" s="2">
        <v>1</v>
      </c>
      <c r="B30" s="15">
        <v>0.33333333333333331</v>
      </c>
      <c r="C30" s="21" t="s">
        <v>156</v>
      </c>
      <c r="D30" s="1" t="s">
        <v>148</v>
      </c>
      <c r="E30" s="1">
        <v>8</v>
      </c>
      <c r="F30" s="1" t="s">
        <v>149</v>
      </c>
      <c r="G30" s="1">
        <v>14</v>
      </c>
      <c r="J30" s="1" t="s">
        <v>165</v>
      </c>
      <c r="N30" s="1" t="s">
        <v>152</v>
      </c>
      <c r="Q30" s="1" t="s">
        <v>136</v>
      </c>
      <c r="R30" s="1" t="s">
        <v>160</v>
      </c>
      <c r="U30" s="1">
        <v>-1</v>
      </c>
      <c r="V30" s="1">
        <v>40</v>
      </c>
      <c r="W30" s="1">
        <v>21012</v>
      </c>
      <c r="X30" s="1">
        <v>45724</v>
      </c>
      <c r="AK30" s="7"/>
      <c r="AL30" s="7"/>
    </row>
    <row r="31" spans="1:38" x14ac:dyDescent="0.35">
      <c r="A31" s="7">
        <v>1</v>
      </c>
      <c r="B31" s="14">
        <v>0.33194444444444443</v>
      </c>
      <c r="C31" s="21" t="s">
        <v>156</v>
      </c>
      <c r="D31" s="1" t="s">
        <v>148</v>
      </c>
      <c r="E31" s="1">
        <v>21</v>
      </c>
      <c r="F31" s="1" t="s">
        <v>143</v>
      </c>
      <c r="M31" s="1" t="s">
        <v>134</v>
      </c>
      <c r="N31" s="1" t="s">
        <v>134</v>
      </c>
      <c r="Q31" s="1" t="s">
        <v>136</v>
      </c>
      <c r="R31" s="1" t="s">
        <v>160</v>
      </c>
      <c r="U31" s="1">
        <v>-1</v>
      </c>
      <c r="V31" s="1">
        <v>40</v>
      </c>
      <c r="W31" s="1">
        <v>21012</v>
      </c>
      <c r="X31" s="1">
        <v>45724</v>
      </c>
      <c r="AK31" s="7"/>
      <c r="AL31" s="7"/>
    </row>
    <row r="32" spans="1:38" x14ac:dyDescent="0.35">
      <c r="A32" s="2">
        <v>1</v>
      </c>
      <c r="B32" s="15">
        <v>0.31458333333333333</v>
      </c>
      <c r="C32" s="21" t="s">
        <v>156</v>
      </c>
      <c r="D32" s="1" t="s">
        <v>148</v>
      </c>
      <c r="E32" s="1">
        <v>14</v>
      </c>
      <c r="F32" s="1" t="s">
        <v>149</v>
      </c>
      <c r="N32" s="1" t="s">
        <v>152</v>
      </c>
      <c r="U32" s="1">
        <v>-1</v>
      </c>
      <c r="V32" s="1">
        <v>40</v>
      </c>
      <c r="W32" s="1">
        <v>21012</v>
      </c>
      <c r="X32" s="1">
        <v>45724</v>
      </c>
      <c r="AK32" s="7"/>
      <c r="AL32" s="7"/>
    </row>
    <row r="33" spans="1:38" x14ac:dyDescent="0.35">
      <c r="A33" s="2">
        <v>1</v>
      </c>
      <c r="B33" s="15">
        <v>0.26874999999999999</v>
      </c>
      <c r="C33" s="21" t="s">
        <v>131</v>
      </c>
      <c r="D33" s="1" t="s">
        <v>132</v>
      </c>
      <c r="E33" s="1">
        <v>21</v>
      </c>
      <c r="F33" s="1" t="s">
        <v>133</v>
      </c>
      <c r="G33" s="1">
        <v>37</v>
      </c>
      <c r="J33" s="1" t="s">
        <v>166</v>
      </c>
      <c r="M33" s="1" t="s">
        <v>134</v>
      </c>
      <c r="P33" s="1" t="s">
        <v>143</v>
      </c>
      <c r="Q33" s="1" t="s">
        <v>144</v>
      </c>
      <c r="R33" s="1" t="s">
        <v>145</v>
      </c>
      <c r="U33" s="1">
        <v>-1</v>
      </c>
      <c r="V33" s="1">
        <v>30</v>
      </c>
      <c r="W33" s="1">
        <v>21012</v>
      </c>
      <c r="X33" s="1">
        <v>45724</v>
      </c>
      <c r="AK33" s="7"/>
      <c r="AL33" s="7"/>
    </row>
    <row r="34" spans="1:38" x14ac:dyDescent="0.35">
      <c r="A34" s="7">
        <v>1</v>
      </c>
      <c r="B34" s="15">
        <v>0.24236111111111111</v>
      </c>
      <c r="C34" s="21" t="s">
        <v>131</v>
      </c>
      <c r="D34" s="1" t="s">
        <v>132</v>
      </c>
      <c r="E34" s="1">
        <v>71</v>
      </c>
      <c r="F34" s="1" t="s">
        <v>146</v>
      </c>
      <c r="G34" s="1">
        <v>38</v>
      </c>
      <c r="H34" s="1">
        <v>72</v>
      </c>
      <c r="I34" s="1">
        <v>37</v>
      </c>
      <c r="J34" s="1" t="s">
        <v>137</v>
      </c>
      <c r="K34" s="1" t="s">
        <v>141</v>
      </c>
      <c r="L34" s="1" t="s">
        <v>155</v>
      </c>
      <c r="M34" s="1" t="s">
        <v>152</v>
      </c>
      <c r="N34" s="1" t="s">
        <v>152</v>
      </c>
      <c r="O34" s="1" t="s">
        <v>152</v>
      </c>
      <c r="P34" s="1" t="s">
        <v>140</v>
      </c>
      <c r="Q34" s="1" t="s">
        <v>136</v>
      </c>
      <c r="U34" s="1">
        <v>-1</v>
      </c>
      <c r="V34" s="1">
        <v>30</v>
      </c>
      <c r="W34" s="1">
        <v>21012</v>
      </c>
      <c r="X34" s="1">
        <v>45724</v>
      </c>
      <c r="AK34" s="7"/>
      <c r="AL34" s="7"/>
    </row>
    <row r="35" spans="1:38" x14ac:dyDescent="0.35">
      <c r="A35" s="2">
        <v>1</v>
      </c>
      <c r="B35" s="15">
        <v>0.16458333333333333</v>
      </c>
      <c r="C35" s="21" t="s">
        <v>131</v>
      </c>
      <c r="D35" s="1" t="s">
        <v>132</v>
      </c>
      <c r="E35" s="1">
        <v>54</v>
      </c>
      <c r="F35" s="1" t="s">
        <v>133</v>
      </c>
      <c r="G35" s="1">
        <v>38</v>
      </c>
      <c r="J35" s="1" t="s">
        <v>151</v>
      </c>
      <c r="M35" s="1" t="s">
        <v>134</v>
      </c>
      <c r="N35" s="1" t="s">
        <v>134</v>
      </c>
      <c r="P35" s="1" t="s">
        <v>143</v>
      </c>
      <c r="Q35" s="1" t="s">
        <v>153</v>
      </c>
      <c r="R35" s="1" t="s">
        <v>154</v>
      </c>
      <c r="U35" s="1">
        <v>-1</v>
      </c>
      <c r="V35" s="1">
        <v>30</v>
      </c>
      <c r="W35" s="1">
        <v>21012</v>
      </c>
      <c r="X35" s="1">
        <v>45724</v>
      </c>
      <c r="AK35" s="7"/>
      <c r="AL35" s="7"/>
    </row>
    <row r="36" spans="1:38" x14ac:dyDescent="0.35">
      <c r="A36" s="7">
        <v>1</v>
      </c>
      <c r="B36" s="15">
        <v>0.10277777777777777</v>
      </c>
      <c r="C36" s="21" t="s">
        <v>131</v>
      </c>
      <c r="D36" s="1" t="s">
        <v>132</v>
      </c>
      <c r="E36" s="1">
        <v>71</v>
      </c>
      <c r="F36" s="1" t="s">
        <v>133</v>
      </c>
      <c r="G36" s="1">
        <v>10</v>
      </c>
      <c r="H36" s="1">
        <v>2</v>
      </c>
      <c r="J36" s="1" t="s">
        <v>167</v>
      </c>
      <c r="K36" s="1" t="s">
        <v>168</v>
      </c>
      <c r="M36" s="1" t="s">
        <v>134</v>
      </c>
      <c r="N36" s="1" t="s">
        <v>134</v>
      </c>
      <c r="P36" s="1" t="s">
        <v>143</v>
      </c>
      <c r="Q36" s="1" t="s">
        <v>153</v>
      </c>
      <c r="R36" s="1" t="s">
        <v>169</v>
      </c>
      <c r="U36" s="1">
        <v>-1</v>
      </c>
      <c r="V36" s="1">
        <v>30</v>
      </c>
      <c r="W36" s="1">
        <v>21012</v>
      </c>
      <c r="X36" s="1">
        <v>45724</v>
      </c>
      <c r="AK36" s="7"/>
      <c r="AL36" s="7"/>
    </row>
    <row r="37" spans="1:38" x14ac:dyDescent="0.35">
      <c r="A37" s="7">
        <v>1</v>
      </c>
      <c r="B37" s="15">
        <v>4.2361111111111113E-2</v>
      </c>
      <c r="C37" s="21" t="s">
        <v>131</v>
      </c>
      <c r="D37" s="1" t="s">
        <v>148</v>
      </c>
      <c r="E37" s="1">
        <v>8</v>
      </c>
      <c r="F37" s="1" t="s">
        <v>133</v>
      </c>
      <c r="G37" s="1">
        <v>44</v>
      </c>
      <c r="J37" s="1" t="s">
        <v>138</v>
      </c>
      <c r="N37" s="1" t="s">
        <v>134</v>
      </c>
      <c r="O37" s="1" t="s">
        <v>134</v>
      </c>
      <c r="P37" s="1" t="s">
        <v>135</v>
      </c>
      <c r="Q37" s="1" t="s">
        <v>136</v>
      </c>
      <c r="U37" s="1">
        <v>-1</v>
      </c>
      <c r="V37" s="1">
        <v>40</v>
      </c>
      <c r="W37" s="1">
        <v>21012</v>
      </c>
      <c r="X37" s="1">
        <v>45724</v>
      </c>
      <c r="AK37" s="7"/>
      <c r="AL37" s="7"/>
    </row>
    <row r="38" spans="1:38" x14ac:dyDescent="0.35">
      <c r="A38" s="7">
        <v>1</v>
      </c>
      <c r="B38" s="15">
        <v>3.125E-2</v>
      </c>
      <c r="C38" s="21" t="s">
        <v>131</v>
      </c>
      <c r="D38" s="1" t="s">
        <v>148</v>
      </c>
      <c r="E38" s="1">
        <v>8</v>
      </c>
      <c r="F38" s="1" t="s">
        <v>133</v>
      </c>
      <c r="G38" s="1">
        <v>27</v>
      </c>
      <c r="J38" s="1" t="s">
        <v>141</v>
      </c>
      <c r="M38" s="1" t="s">
        <v>134</v>
      </c>
      <c r="N38" s="1" t="s">
        <v>134</v>
      </c>
      <c r="P38" s="1" t="s">
        <v>135</v>
      </c>
      <c r="Q38" s="1" t="s">
        <v>136</v>
      </c>
      <c r="U38" s="1">
        <v>-1</v>
      </c>
      <c r="V38" s="1">
        <v>40</v>
      </c>
      <c r="W38" s="1">
        <v>21012</v>
      </c>
      <c r="X38" s="1">
        <v>45724</v>
      </c>
      <c r="AK38" s="7"/>
      <c r="AL38" s="7"/>
    </row>
    <row r="39" spans="1:38" x14ac:dyDescent="0.35">
      <c r="A39" s="2">
        <v>1</v>
      </c>
      <c r="B39" s="15">
        <v>2.6388888888888889E-2</v>
      </c>
      <c r="C39" s="21" t="s">
        <v>131</v>
      </c>
      <c r="D39" s="1" t="s">
        <v>148</v>
      </c>
      <c r="E39" s="1">
        <v>44</v>
      </c>
      <c r="F39" s="1" t="s">
        <v>157</v>
      </c>
      <c r="G39" s="1">
        <v>8</v>
      </c>
      <c r="H39" s="1">
        <v>3</v>
      </c>
      <c r="J39" s="1" t="s">
        <v>150</v>
      </c>
      <c r="K39" s="1" t="s">
        <v>158</v>
      </c>
      <c r="M39" s="1" t="s">
        <v>134</v>
      </c>
      <c r="N39" s="1" t="s">
        <v>134</v>
      </c>
      <c r="P39" s="1" t="s">
        <v>140</v>
      </c>
      <c r="Q39" s="1" t="s">
        <v>136</v>
      </c>
      <c r="T39" s="1" t="s">
        <v>134</v>
      </c>
      <c r="U39" s="1">
        <v>-1</v>
      </c>
      <c r="V39" s="1">
        <v>40</v>
      </c>
      <c r="W39" s="1">
        <v>21012</v>
      </c>
      <c r="X39" s="1">
        <v>45724</v>
      </c>
      <c r="AK39" s="7"/>
      <c r="AL39" s="7"/>
    </row>
    <row r="40" spans="1:38" x14ac:dyDescent="0.35">
      <c r="A40" s="7">
        <v>1</v>
      </c>
      <c r="B40" s="15">
        <v>4.8611111111111112E-3</v>
      </c>
      <c r="C40" s="21" t="s">
        <v>131</v>
      </c>
      <c r="D40" s="1" t="s">
        <v>148</v>
      </c>
      <c r="E40" s="1">
        <v>28</v>
      </c>
      <c r="F40" s="1" t="s">
        <v>133</v>
      </c>
      <c r="G40" s="1">
        <v>4</v>
      </c>
      <c r="J40" s="1" t="s">
        <v>155</v>
      </c>
      <c r="N40" s="1" t="s">
        <v>134</v>
      </c>
      <c r="O40" s="1" t="s">
        <v>134</v>
      </c>
      <c r="P40" s="1" t="s">
        <v>135</v>
      </c>
      <c r="Q40" s="1" t="s">
        <v>136</v>
      </c>
      <c r="U40" s="1">
        <v>-2</v>
      </c>
      <c r="V40" s="1">
        <v>40</v>
      </c>
      <c r="W40" s="1">
        <v>21012</v>
      </c>
      <c r="X40" s="1">
        <v>45724</v>
      </c>
      <c r="AK40" s="7"/>
      <c r="AL40" s="7"/>
    </row>
    <row r="41" spans="1:38" x14ac:dyDescent="0.35">
      <c r="A41" s="7">
        <v>1</v>
      </c>
      <c r="B41" s="14">
        <v>4.1666666666666666E-3</v>
      </c>
      <c r="C41" s="21" t="s">
        <v>131</v>
      </c>
      <c r="D41" s="1" t="s">
        <v>148</v>
      </c>
      <c r="E41" s="1">
        <v>7</v>
      </c>
      <c r="F41" s="1" t="s">
        <v>133</v>
      </c>
      <c r="N41" s="1" t="s">
        <v>134</v>
      </c>
      <c r="P41" s="1" t="s">
        <v>140</v>
      </c>
      <c r="Q41" s="1" t="s">
        <v>136</v>
      </c>
      <c r="U41" s="1">
        <v>-2</v>
      </c>
      <c r="V41" s="1">
        <v>40</v>
      </c>
      <c r="W41" s="1">
        <v>21012</v>
      </c>
      <c r="X41" s="1">
        <v>45724</v>
      </c>
      <c r="AK41" s="7"/>
      <c r="AL41" s="7"/>
    </row>
    <row r="42" spans="1:38" x14ac:dyDescent="0.35">
      <c r="A42" s="2">
        <v>2</v>
      </c>
      <c r="B42" s="15">
        <v>0.81388888888888888</v>
      </c>
      <c r="C42" s="21" t="s">
        <v>131</v>
      </c>
      <c r="D42" s="1" t="s">
        <v>148</v>
      </c>
      <c r="E42" s="1">
        <v>21</v>
      </c>
      <c r="F42" s="1" t="s">
        <v>147</v>
      </c>
      <c r="G42" s="1">
        <v>8</v>
      </c>
      <c r="H42" s="1">
        <v>3</v>
      </c>
      <c r="I42" s="1">
        <v>11</v>
      </c>
      <c r="J42" s="1" t="s">
        <v>137</v>
      </c>
      <c r="K42" s="1" t="s">
        <v>158</v>
      </c>
      <c r="L42" s="1" t="s">
        <v>138</v>
      </c>
      <c r="M42" s="1" t="s">
        <v>134</v>
      </c>
      <c r="N42" s="1" t="s">
        <v>134</v>
      </c>
      <c r="O42" s="1" t="s">
        <v>134</v>
      </c>
      <c r="P42" s="1" t="s">
        <v>135</v>
      </c>
      <c r="Q42" s="1" t="s">
        <v>136</v>
      </c>
      <c r="U42" s="1">
        <v>-2</v>
      </c>
      <c r="V42" s="1">
        <v>40</v>
      </c>
      <c r="W42" s="1">
        <v>21012</v>
      </c>
      <c r="X42" s="1">
        <v>45724</v>
      </c>
      <c r="AK42" s="7"/>
      <c r="AL42" s="7"/>
    </row>
    <row r="43" spans="1:38" x14ac:dyDescent="0.35">
      <c r="A43" s="7">
        <v>2</v>
      </c>
      <c r="B43" s="15">
        <v>0.8125</v>
      </c>
      <c r="C43" s="21" t="s">
        <v>131</v>
      </c>
      <c r="D43" s="1" t="s">
        <v>148</v>
      </c>
      <c r="E43" s="1">
        <v>21</v>
      </c>
      <c r="F43" s="1" t="s">
        <v>143</v>
      </c>
      <c r="M43" s="1" t="s">
        <v>134</v>
      </c>
      <c r="N43" s="1" t="s">
        <v>134</v>
      </c>
      <c r="P43" s="1" t="s">
        <v>135</v>
      </c>
      <c r="Q43" s="1" t="s">
        <v>136</v>
      </c>
      <c r="U43" s="1">
        <v>-2</v>
      </c>
      <c r="V43" s="1">
        <v>40</v>
      </c>
      <c r="W43" s="1">
        <v>21012</v>
      </c>
      <c r="X43" s="1">
        <v>45724</v>
      </c>
      <c r="AK43" s="7"/>
      <c r="AL43" s="7"/>
    </row>
    <row r="44" spans="1:38" x14ac:dyDescent="0.35">
      <c r="A44" s="2">
        <v>2</v>
      </c>
      <c r="B44" s="15">
        <v>0.80763888888888891</v>
      </c>
      <c r="C44" s="21" t="s">
        <v>131</v>
      </c>
      <c r="D44" s="1" t="s">
        <v>148</v>
      </c>
      <c r="E44" s="1">
        <v>21</v>
      </c>
      <c r="F44" s="1" t="s">
        <v>147</v>
      </c>
      <c r="G44" s="1">
        <v>3</v>
      </c>
      <c r="H44" s="1">
        <v>14</v>
      </c>
      <c r="J44" s="1" t="s">
        <v>137</v>
      </c>
      <c r="K44" s="1" t="s">
        <v>163</v>
      </c>
      <c r="M44" s="1" t="s">
        <v>134</v>
      </c>
      <c r="N44" s="1" t="s">
        <v>134</v>
      </c>
      <c r="O44" s="1" t="s">
        <v>134</v>
      </c>
      <c r="P44" s="1" t="s">
        <v>135</v>
      </c>
      <c r="Q44" s="1" t="s">
        <v>136</v>
      </c>
      <c r="U44" s="1">
        <v>-2</v>
      </c>
      <c r="V44" s="1">
        <v>40</v>
      </c>
      <c r="W44" s="1">
        <v>21012</v>
      </c>
      <c r="X44" s="1">
        <v>45724</v>
      </c>
      <c r="AK44" s="7"/>
      <c r="AL44" s="7"/>
    </row>
    <row r="45" spans="1:38" x14ac:dyDescent="0.35">
      <c r="A45" s="7">
        <v>2</v>
      </c>
      <c r="B45" s="14">
        <v>0.80069444444444449</v>
      </c>
      <c r="C45" s="21" t="s">
        <v>131</v>
      </c>
      <c r="D45" s="1" t="s">
        <v>148</v>
      </c>
      <c r="E45" s="1">
        <v>10</v>
      </c>
      <c r="F45" s="1" t="s">
        <v>147</v>
      </c>
      <c r="G45" s="1">
        <v>4</v>
      </c>
      <c r="H45" s="1">
        <v>44</v>
      </c>
      <c r="J45" s="1" t="s">
        <v>137</v>
      </c>
      <c r="K45" s="1" t="s">
        <v>138</v>
      </c>
      <c r="Q45" s="1" t="s">
        <v>136</v>
      </c>
      <c r="R45" s="1" t="s">
        <v>160</v>
      </c>
      <c r="U45" s="1">
        <v>-2</v>
      </c>
      <c r="V45" s="1">
        <v>40</v>
      </c>
      <c r="W45" s="1">
        <v>21012</v>
      </c>
      <c r="X45" s="1">
        <v>45724</v>
      </c>
      <c r="AK45" s="7"/>
      <c r="AL45" s="7"/>
    </row>
    <row r="46" spans="1:38" x14ac:dyDescent="0.35">
      <c r="A46" s="7">
        <v>2</v>
      </c>
      <c r="B46" s="15">
        <v>0.79097222222222219</v>
      </c>
      <c r="C46" s="21" t="s">
        <v>131</v>
      </c>
      <c r="D46" s="1" t="s">
        <v>148</v>
      </c>
      <c r="E46" s="1">
        <v>44</v>
      </c>
      <c r="F46" s="1" t="s">
        <v>149</v>
      </c>
      <c r="G46" s="1">
        <v>10</v>
      </c>
      <c r="H46" s="1">
        <v>27</v>
      </c>
      <c r="J46" s="1" t="s">
        <v>163</v>
      </c>
      <c r="K46" s="1" t="s">
        <v>155</v>
      </c>
      <c r="M46" s="1" t="s">
        <v>152</v>
      </c>
      <c r="N46" s="1" t="s">
        <v>152</v>
      </c>
      <c r="P46" s="1" t="s">
        <v>135</v>
      </c>
      <c r="Q46" s="1" t="s">
        <v>136</v>
      </c>
      <c r="U46" s="1">
        <v>-2</v>
      </c>
      <c r="V46" s="1">
        <v>40</v>
      </c>
      <c r="W46" s="1">
        <v>21012</v>
      </c>
      <c r="X46" s="1">
        <v>45724</v>
      </c>
      <c r="AK46" s="7"/>
      <c r="AL46" s="7"/>
    </row>
    <row r="47" spans="1:38" x14ac:dyDescent="0.35">
      <c r="A47" s="2">
        <v>2</v>
      </c>
      <c r="B47" s="15">
        <v>0.77638888888888891</v>
      </c>
      <c r="C47" s="21" t="s">
        <v>131</v>
      </c>
      <c r="D47" s="1" t="s">
        <v>148</v>
      </c>
      <c r="E47" s="1">
        <v>27</v>
      </c>
      <c r="F47" s="1" t="s">
        <v>133</v>
      </c>
      <c r="G47" s="1">
        <v>4</v>
      </c>
      <c r="H47" s="1">
        <v>28</v>
      </c>
      <c r="J47" s="1" t="s">
        <v>170</v>
      </c>
      <c r="K47" s="1" t="s">
        <v>168</v>
      </c>
      <c r="N47" s="1" t="s">
        <v>134</v>
      </c>
      <c r="P47" s="1" t="s">
        <v>143</v>
      </c>
      <c r="Q47" s="1" t="s">
        <v>144</v>
      </c>
      <c r="R47" s="1" t="s">
        <v>171</v>
      </c>
      <c r="U47" s="1">
        <v>-2</v>
      </c>
      <c r="V47" s="1">
        <v>40</v>
      </c>
      <c r="W47" s="1">
        <v>21012</v>
      </c>
      <c r="X47" s="1">
        <v>45724</v>
      </c>
      <c r="AK47" s="7"/>
      <c r="AL47" s="7"/>
    </row>
    <row r="48" spans="1:38" x14ac:dyDescent="0.35">
      <c r="A48" s="7">
        <v>2</v>
      </c>
      <c r="B48" s="14">
        <v>0.75902777777777775</v>
      </c>
      <c r="C48" s="21" t="s">
        <v>131</v>
      </c>
      <c r="D48" s="1" t="s">
        <v>148</v>
      </c>
      <c r="E48" s="1">
        <v>53</v>
      </c>
      <c r="F48" s="1" t="s">
        <v>133</v>
      </c>
      <c r="G48" s="1">
        <v>20</v>
      </c>
      <c r="J48" s="1" t="s">
        <v>150</v>
      </c>
      <c r="N48" s="1" t="s">
        <v>134</v>
      </c>
      <c r="O48" s="1" t="s">
        <v>134</v>
      </c>
      <c r="P48" s="1" t="s">
        <v>135</v>
      </c>
      <c r="Q48" s="1" t="s">
        <v>136</v>
      </c>
      <c r="U48" s="1">
        <v>-2</v>
      </c>
      <c r="V48" s="1">
        <v>40</v>
      </c>
      <c r="W48" s="1">
        <v>21012</v>
      </c>
      <c r="X48" s="1">
        <v>45724</v>
      </c>
      <c r="AK48" s="7"/>
      <c r="AL48" s="7"/>
    </row>
    <row r="49" spans="1:38" x14ac:dyDescent="0.35">
      <c r="A49" s="7">
        <v>2</v>
      </c>
      <c r="B49" s="15">
        <v>0.74236111111111114</v>
      </c>
      <c r="C49" s="21" t="s">
        <v>131</v>
      </c>
      <c r="D49" s="1" t="s">
        <v>132</v>
      </c>
      <c r="E49" s="1">
        <v>3</v>
      </c>
      <c r="F49" s="1" t="s">
        <v>137</v>
      </c>
      <c r="G49" s="1">
        <v>54</v>
      </c>
      <c r="J49" s="1" t="s">
        <v>138</v>
      </c>
      <c r="P49" s="1" t="s">
        <v>135</v>
      </c>
      <c r="Q49" s="1" t="s">
        <v>136</v>
      </c>
      <c r="U49" s="1">
        <v>-2</v>
      </c>
      <c r="V49" s="1">
        <v>30</v>
      </c>
      <c r="W49" s="1">
        <v>21012</v>
      </c>
      <c r="X49" s="1">
        <v>45724</v>
      </c>
      <c r="AK49" s="7"/>
      <c r="AL49" s="7"/>
    </row>
    <row r="50" spans="1:38" x14ac:dyDescent="0.35">
      <c r="A50" s="7">
        <v>2</v>
      </c>
      <c r="B50" s="15">
        <v>0.72013888888888888</v>
      </c>
      <c r="C50" s="21" t="s">
        <v>131</v>
      </c>
      <c r="D50" s="1" t="s">
        <v>148</v>
      </c>
      <c r="E50" s="1">
        <v>18</v>
      </c>
      <c r="F50" s="1" t="s">
        <v>172</v>
      </c>
      <c r="N50" s="1" t="s">
        <v>134</v>
      </c>
      <c r="P50" s="1" t="s">
        <v>135</v>
      </c>
      <c r="Q50" s="1" t="s">
        <v>136</v>
      </c>
      <c r="U50" s="1">
        <v>-2</v>
      </c>
      <c r="V50" s="1">
        <v>40</v>
      </c>
      <c r="W50" s="1">
        <v>21012</v>
      </c>
      <c r="X50" s="1">
        <v>45724</v>
      </c>
      <c r="AK50" s="7"/>
      <c r="AL50" s="7"/>
    </row>
    <row r="51" spans="1:38" x14ac:dyDescent="0.35">
      <c r="A51" s="2">
        <v>2</v>
      </c>
      <c r="B51" s="15">
        <v>0.68125000000000002</v>
      </c>
      <c r="C51" s="21" t="s">
        <v>131</v>
      </c>
      <c r="D51" s="1" t="s">
        <v>132</v>
      </c>
      <c r="E51" s="1">
        <v>85</v>
      </c>
      <c r="F51" s="1" t="s">
        <v>133</v>
      </c>
      <c r="G51" s="1">
        <v>38</v>
      </c>
      <c r="H51" s="1">
        <v>73</v>
      </c>
      <c r="J51" s="1" t="s">
        <v>158</v>
      </c>
      <c r="K51" s="1" t="s">
        <v>162</v>
      </c>
      <c r="N51" s="1" t="s">
        <v>134</v>
      </c>
      <c r="P51" s="1" t="s">
        <v>140</v>
      </c>
      <c r="Q51" s="1" t="s">
        <v>136</v>
      </c>
      <c r="U51" s="1">
        <v>-2</v>
      </c>
      <c r="V51" s="1">
        <v>30</v>
      </c>
      <c r="W51" s="1">
        <v>21012</v>
      </c>
      <c r="X51" s="1">
        <v>45724</v>
      </c>
      <c r="AK51" s="7"/>
      <c r="AL51" s="7"/>
    </row>
    <row r="52" spans="1:38" x14ac:dyDescent="0.35">
      <c r="A52" s="7">
        <v>2</v>
      </c>
      <c r="B52" s="14">
        <v>0.66666666666666663</v>
      </c>
      <c r="C52" s="21" t="s">
        <v>131</v>
      </c>
      <c r="D52" s="1" t="s">
        <v>148</v>
      </c>
      <c r="E52" s="1">
        <v>14</v>
      </c>
      <c r="F52" s="1" t="s">
        <v>172</v>
      </c>
      <c r="G52" s="1">
        <v>11</v>
      </c>
      <c r="H52" s="1">
        <v>14</v>
      </c>
      <c r="J52" s="1" t="s">
        <v>158</v>
      </c>
      <c r="K52" s="1" t="s">
        <v>173</v>
      </c>
      <c r="M52" s="1" t="s">
        <v>134</v>
      </c>
      <c r="N52" s="1" t="s">
        <v>134</v>
      </c>
      <c r="P52" s="1" t="s">
        <v>143</v>
      </c>
      <c r="Q52" s="1" t="s">
        <v>153</v>
      </c>
      <c r="R52" s="1" t="s">
        <v>174</v>
      </c>
      <c r="U52" s="1">
        <v>-2</v>
      </c>
      <c r="V52" s="1">
        <v>40</v>
      </c>
      <c r="W52" s="1">
        <v>21012</v>
      </c>
      <c r="X52" s="1">
        <v>45724</v>
      </c>
      <c r="AK52" s="7"/>
      <c r="AL52" s="7"/>
    </row>
    <row r="53" spans="1:38" x14ac:dyDescent="0.35">
      <c r="A53" s="7">
        <v>2</v>
      </c>
      <c r="B53" s="14">
        <v>0.66597222222222219</v>
      </c>
      <c r="C53" s="21" t="s">
        <v>131</v>
      </c>
      <c r="D53" s="1" t="s">
        <v>148</v>
      </c>
      <c r="E53" s="1">
        <v>14</v>
      </c>
      <c r="F53" s="1" t="s">
        <v>143</v>
      </c>
      <c r="P53" s="1" t="s">
        <v>143</v>
      </c>
      <c r="Q53" s="1" t="s">
        <v>153</v>
      </c>
      <c r="R53" s="1" t="s">
        <v>174</v>
      </c>
      <c r="U53" s="1">
        <v>-2</v>
      </c>
      <c r="AK53" s="7"/>
      <c r="AL53" s="7"/>
    </row>
    <row r="54" spans="1:38" x14ac:dyDescent="0.35">
      <c r="A54" s="2">
        <v>2</v>
      </c>
      <c r="B54" s="15">
        <v>0.63888888888888884</v>
      </c>
      <c r="C54" s="21" t="s">
        <v>156</v>
      </c>
      <c r="D54" s="1" t="s">
        <v>132</v>
      </c>
      <c r="E54" s="1">
        <v>2</v>
      </c>
      <c r="F54" s="1" t="s">
        <v>149</v>
      </c>
      <c r="G54" s="1">
        <v>21</v>
      </c>
      <c r="H54" s="1">
        <v>2</v>
      </c>
      <c r="J54" s="1" t="s">
        <v>138</v>
      </c>
      <c r="K54" s="1" t="s">
        <v>150</v>
      </c>
      <c r="N54" s="1" t="s">
        <v>152</v>
      </c>
      <c r="Q54" s="1" t="s">
        <v>136</v>
      </c>
      <c r="R54" s="1" t="s">
        <v>160</v>
      </c>
      <c r="U54" s="1">
        <v>-2</v>
      </c>
      <c r="V54" s="1">
        <v>30</v>
      </c>
      <c r="W54" s="1">
        <v>21012</v>
      </c>
      <c r="X54" s="1">
        <v>45724</v>
      </c>
      <c r="AK54" s="7"/>
      <c r="AL54" s="7"/>
    </row>
    <row r="55" spans="1:38" x14ac:dyDescent="0.35">
      <c r="A55" s="7">
        <v>2</v>
      </c>
      <c r="B55" s="15">
        <v>0.61041666666666672</v>
      </c>
      <c r="C55" s="21" t="s">
        <v>156</v>
      </c>
      <c r="D55" s="1" t="s">
        <v>132</v>
      </c>
      <c r="E55" s="1">
        <v>71</v>
      </c>
      <c r="F55" s="1" t="s">
        <v>133</v>
      </c>
      <c r="G55" s="1">
        <v>21</v>
      </c>
      <c r="H55" s="1">
        <v>2</v>
      </c>
      <c r="J55" s="1" t="s">
        <v>150</v>
      </c>
      <c r="K55" s="1" t="s">
        <v>138</v>
      </c>
      <c r="M55" s="1" t="s">
        <v>134</v>
      </c>
      <c r="N55" s="1" t="s">
        <v>134</v>
      </c>
      <c r="U55" s="1">
        <v>-2</v>
      </c>
      <c r="V55" s="1">
        <v>30</v>
      </c>
      <c r="W55" s="1">
        <v>21012</v>
      </c>
      <c r="X55" s="1">
        <v>45724</v>
      </c>
      <c r="AK55" s="7"/>
      <c r="AL55" s="7"/>
    </row>
    <row r="56" spans="1:38" x14ac:dyDescent="0.35">
      <c r="A56" s="7">
        <v>2</v>
      </c>
      <c r="B56" s="15">
        <v>0.57291666666666663</v>
      </c>
      <c r="C56" s="21" t="s">
        <v>156</v>
      </c>
      <c r="D56" s="1" t="s">
        <v>132</v>
      </c>
      <c r="E56" s="1">
        <v>37</v>
      </c>
      <c r="F56" s="1" t="s">
        <v>133</v>
      </c>
      <c r="G56" s="1">
        <v>85</v>
      </c>
      <c r="J56" s="1" t="s">
        <v>150</v>
      </c>
      <c r="U56" s="1">
        <v>-2</v>
      </c>
      <c r="V56" s="1">
        <v>30</v>
      </c>
      <c r="W56" s="1">
        <v>21012</v>
      </c>
      <c r="X56" s="1">
        <v>45724</v>
      </c>
      <c r="AK56" s="7"/>
      <c r="AL56" s="7"/>
    </row>
    <row r="57" spans="1:38" x14ac:dyDescent="0.35">
      <c r="A57" s="7">
        <v>2</v>
      </c>
      <c r="B57" s="14">
        <v>0.56388888888888888</v>
      </c>
      <c r="C57" s="21" t="s">
        <v>156</v>
      </c>
      <c r="D57" s="1" t="s">
        <v>132</v>
      </c>
      <c r="E57" s="1">
        <v>15</v>
      </c>
      <c r="F57" s="1" t="s">
        <v>146</v>
      </c>
      <c r="G57" s="1">
        <v>85</v>
      </c>
      <c r="H57" s="1">
        <v>71</v>
      </c>
      <c r="I57" s="1">
        <v>10</v>
      </c>
      <c r="J57" s="1" t="s">
        <v>137</v>
      </c>
      <c r="K57" s="1" t="s">
        <v>141</v>
      </c>
      <c r="L57" s="1" t="s">
        <v>155</v>
      </c>
      <c r="M57" s="1" t="s">
        <v>152</v>
      </c>
      <c r="N57" s="1" t="s">
        <v>152</v>
      </c>
      <c r="O57" s="1" t="s">
        <v>152</v>
      </c>
      <c r="T57" s="1" t="s">
        <v>152</v>
      </c>
      <c r="U57" s="1">
        <v>-2</v>
      </c>
      <c r="V57" s="1">
        <v>30</v>
      </c>
      <c r="W57" s="1">
        <v>21012</v>
      </c>
      <c r="X57" s="1">
        <v>45724</v>
      </c>
      <c r="AK57" s="7"/>
      <c r="AL57" s="7"/>
    </row>
    <row r="58" spans="1:38" x14ac:dyDescent="0.35">
      <c r="A58" s="7">
        <v>2</v>
      </c>
      <c r="B58" s="14">
        <v>0.5444444444444444</v>
      </c>
      <c r="C58" s="21" t="s">
        <v>131</v>
      </c>
      <c r="D58" s="1" t="s">
        <v>148</v>
      </c>
      <c r="E58" s="1">
        <v>4</v>
      </c>
      <c r="F58" s="1" t="s">
        <v>149</v>
      </c>
      <c r="P58" s="1" t="s">
        <v>135</v>
      </c>
      <c r="Q58" s="1" t="s">
        <v>136</v>
      </c>
      <c r="U58" s="1">
        <v>-1</v>
      </c>
      <c r="V58" s="1">
        <v>40</v>
      </c>
      <c r="W58" s="1">
        <v>21012</v>
      </c>
      <c r="X58" s="1">
        <v>45724</v>
      </c>
      <c r="AK58" s="7"/>
      <c r="AL58" s="7"/>
    </row>
    <row r="59" spans="1:38" x14ac:dyDescent="0.35">
      <c r="A59" s="2">
        <v>2</v>
      </c>
      <c r="B59" s="15">
        <v>0.53263888888888888</v>
      </c>
      <c r="C59" s="21" t="s">
        <v>131</v>
      </c>
      <c r="D59" s="1" t="s">
        <v>148</v>
      </c>
      <c r="E59" s="1">
        <v>21</v>
      </c>
      <c r="F59" s="1" t="s">
        <v>133</v>
      </c>
      <c r="G59" s="1">
        <v>14</v>
      </c>
      <c r="J59" s="1" t="s">
        <v>165</v>
      </c>
      <c r="N59" s="1" t="s">
        <v>134</v>
      </c>
      <c r="O59" s="1" t="s">
        <v>134</v>
      </c>
      <c r="Q59" s="1" t="s">
        <v>136</v>
      </c>
      <c r="R59" s="1" t="s">
        <v>160</v>
      </c>
      <c r="U59" s="1">
        <v>-1</v>
      </c>
      <c r="V59" s="1">
        <v>40</v>
      </c>
      <c r="W59" s="1">
        <v>21012</v>
      </c>
      <c r="X59" s="1">
        <v>45724</v>
      </c>
      <c r="AK59" s="7"/>
      <c r="AL59" s="7"/>
    </row>
    <row r="60" spans="1:38" x14ac:dyDescent="0.35">
      <c r="A60" s="2">
        <v>2</v>
      </c>
      <c r="B60" s="15">
        <v>0.52847222222222223</v>
      </c>
      <c r="C60" s="21" t="s">
        <v>131</v>
      </c>
      <c r="D60" s="1" t="s">
        <v>148</v>
      </c>
      <c r="E60" s="1">
        <v>3</v>
      </c>
      <c r="F60" s="1" t="s">
        <v>133</v>
      </c>
      <c r="G60" s="1">
        <v>14</v>
      </c>
      <c r="J60" s="1" t="s">
        <v>141</v>
      </c>
      <c r="N60" s="1" t="s">
        <v>134</v>
      </c>
      <c r="Q60" s="1" t="s">
        <v>136</v>
      </c>
      <c r="R60" s="1" t="s">
        <v>160</v>
      </c>
      <c r="U60" s="1">
        <v>-1</v>
      </c>
      <c r="V60" s="1">
        <v>40</v>
      </c>
      <c r="W60" s="1">
        <v>21012</v>
      </c>
      <c r="X60" s="1">
        <v>45724</v>
      </c>
      <c r="AK60" s="7"/>
      <c r="AL60" s="7"/>
    </row>
    <row r="61" spans="1:38" x14ac:dyDescent="0.35">
      <c r="A61" s="2">
        <v>2</v>
      </c>
      <c r="B61" s="15">
        <v>0.52708333333333335</v>
      </c>
      <c r="C61" s="21" t="s">
        <v>131</v>
      </c>
      <c r="D61" s="1" t="s">
        <v>148</v>
      </c>
      <c r="E61" s="1">
        <v>11</v>
      </c>
      <c r="F61" s="1" t="s">
        <v>143</v>
      </c>
      <c r="M61" s="1" t="s">
        <v>134</v>
      </c>
      <c r="N61" s="1" t="s">
        <v>134</v>
      </c>
      <c r="Q61" s="1" t="s">
        <v>136</v>
      </c>
      <c r="R61" s="1" t="s">
        <v>160</v>
      </c>
      <c r="U61" s="1">
        <v>-1</v>
      </c>
      <c r="V61" s="1">
        <v>40</v>
      </c>
      <c r="W61" s="1">
        <v>21012</v>
      </c>
      <c r="X61" s="1">
        <v>45724</v>
      </c>
      <c r="AK61" s="7"/>
      <c r="AL61" s="7"/>
    </row>
    <row r="62" spans="1:38" x14ac:dyDescent="0.35">
      <c r="A62" s="2">
        <v>2</v>
      </c>
      <c r="B62" s="15">
        <v>0.52222222222222225</v>
      </c>
      <c r="C62" s="21" t="s">
        <v>131</v>
      </c>
      <c r="D62" s="1" t="s">
        <v>148</v>
      </c>
      <c r="E62" s="1">
        <v>14</v>
      </c>
      <c r="F62" s="1" t="s">
        <v>157</v>
      </c>
      <c r="G62" s="1">
        <v>11</v>
      </c>
      <c r="J62" s="1" t="s">
        <v>167</v>
      </c>
      <c r="M62" s="1" t="s">
        <v>134</v>
      </c>
      <c r="N62" s="1" t="s">
        <v>134</v>
      </c>
      <c r="P62" s="1" t="s">
        <v>140</v>
      </c>
      <c r="Q62" s="1" t="s">
        <v>136</v>
      </c>
      <c r="U62" s="1">
        <v>-1</v>
      </c>
      <c r="V62" s="1">
        <v>40</v>
      </c>
      <c r="W62" s="1">
        <v>21012</v>
      </c>
      <c r="X62" s="1">
        <v>45724</v>
      </c>
      <c r="AK62" s="7"/>
      <c r="AL62" s="7"/>
    </row>
    <row r="63" spans="1:38" x14ac:dyDescent="0.35">
      <c r="A63" s="2">
        <v>2</v>
      </c>
      <c r="B63" s="15">
        <v>0.51527777777777772</v>
      </c>
      <c r="C63" s="21" t="s">
        <v>131</v>
      </c>
      <c r="D63" s="1" t="s">
        <v>148</v>
      </c>
      <c r="E63" s="1">
        <v>21</v>
      </c>
      <c r="F63" s="1" t="s">
        <v>157</v>
      </c>
      <c r="G63" s="1">
        <v>11</v>
      </c>
      <c r="H63" s="1">
        <v>8</v>
      </c>
      <c r="J63" s="1" t="s">
        <v>155</v>
      </c>
      <c r="K63" s="1" t="s">
        <v>155</v>
      </c>
      <c r="N63" s="1" t="s">
        <v>134</v>
      </c>
      <c r="O63" s="1" t="s">
        <v>134</v>
      </c>
      <c r="P63" s="1" t="s">
        <v>140</v>
      </c>
      <c r="Q63" s="1" t="s">
        <v>136</v>
      </c>
      <c r="U63" s="1">
        <v>-1</v>
      </c>
      <c r="V63" s="1">
        <v>40</v>
      </c>
      <c r="W63" s="1">
        <v>21012</v>
      </c>
      <c r="X63" s="1">
        <v>45724</v>
      </c>
      <c r="AK63" s="7"/>
      <c r="AL63" s="7"/>
    </row>
    <row r="64" spans="1:38" x14ac:dyDescent="0.35">
      <c r="A64" s="2">
        <v>2</v>
      </c>
      <c r="B64" s="15">
        <v>0.49166666666666664</v>
      </c>
      <c r="C64" s="21" t="s">
        <v>131</v>
      </c>
      <c r="D64" s="1" t="s">
        <v>132</v>
      </c>
      <c r="E64" s="1">
        <v>21</v>
      </c>
      <c r="F64" s="1" t="s">
        <v>133</v>
      </c>
      <c r="G64" s="1">
        <v>72</v>
      </c>
      <c r="H64" s="1">
        <v>38</v>
      </c>
      <c r="J64" s="1" t="s">
        <v>168</v>
      </c>
      <c r="K64" s="1" t="s">
        <v>161</v>
      </c>
      <c r="M64" s="1" t="s">
        <v>134</v>
      </c>
      <c r="P64" s="1" t="s">
        <v>143</v>
      </c>
      <c r="Q64" s="1" t="s">
        <v>153</v>
      </c>
      <c r="R64" s="1" t="s">
        <v>154</v>
      </c>
      <c r="U64" s="1">
        <v>-1</v>
      </c>
      <c r="V64" s="1">
        <v>30</v>
      </c>
      <c r="W64" s="1">
        <v>21012</v>
      </c>
      <c r="X64" s="1">
        <v>45724</v>
      </c>
      <c r="AK64" s="7"/>
      <c r="AL64" s="7"/>
    </row>
    <row r="65" spans="1:38" x14ac:dyDescent="0.35">
      <c r="A65" s="2">
        <v>2</v>
      </c>
      <c r="B65" s="15">
        <v>0.48819444444444443</v>
      </c>
      <c r="C65" s="21" t="s">
        <v>131</v>
      </c>
      <c r="D65" s="1" t="s">
        <v>132</v>
      </c>
      <c r="E65" s="1">
        <v>38</v>
      </c>
      <c r="F65" s="1" t="s">
        <v>157</v>
      </c>
      <c r="G65" s="1">
        <v>2</v>
      </c>
      <c r="J65" s="1" t="s">
        <v>138</v>
      </c>
      <c r="P65" s="1" t="s">
        <v>135</v>
      </c>
      <c r="Q65" s="1" t="s">
        <v>136</v>
      </c>
      <c r="U65" s="1">
        <v>-1</v>
      </c>
      <c r="V65" s="1">
        <v>30</v>
      </c>
      <c r="W65" s="1">
        <v>21012</v>
      </c>
      <c r="X65" s="1">
        <v>45724</v>
      </c>
      <c r="AK65" s="7"/>
      <c r="AL65" s="7"/>
    </row>
    <row r="66" spans="1:38" x14ac:dyDescent="0.35">
      <c r="A66" s="2">
        <v>2</v>
      </c>
      <c r="B66" s="15">
        <v>0.4826388888888889</v>
      </c>
      <c r="C66" s="21" t="s">
        <v>131</v>
      </c>
      <c r="D66" s="1" t="s">
        <v>132</v>
      </c>
      <c r="E66" s="1">
        <v>71</v>
      </c>
      <c r="F66" s="1" t="s">
        <v>147</v>
      </c>
      <c r="G66" s="1">
        <v>38</v>
      </c>
      <c r="H66" s="1">
        <v>2</v>
      </c>
      <c r="J66" s="1" t="s">
        <v>137</v>
      </c>
      <c r="K66" s="1" t="s">
        <v>138</v>
      </c>
      <c r="M66" s="1" t="s">
        <v>134</v>
      </c>
      <c r="P66" s="1" t="s">
        <v>135</v>
      </c>
      <c r="Q66" s="1" t="s">
        <v>136</v>
      </c>
      <c r="U66" s="1">
        <v>-1</v>
      </c>
      <c r="V66" s="1">
        <v>30</v>
      </c>
      <c r="W66" s="1">
        <v>21012</v>
      </c>
      <c r="X66" s="1">
        <v>45724</v>
      </c>
      <c r="AK66" s="7"/>
      <c r="AL66" s="7"/>
    </row>
    <row r="67" spans="1:38" x14ac:dyDescent="0.35">
      <c r="A67" s="2">
        <v>2</v>
      </c>
      <c r="B67" s="15">
        <v>0.4777777777777778</v>
      </c>
      <c r="C67" s="23" t="s">
        <v>131</v>
      </c>
      <c r="D67" s="1" t="s">
        <v>132</v>
      </c>
      <c r="E67" s="1">
        <v>10</v>
      </c>
      <c r="F67" s="1" t="s">
        <v>147</v>
      </c>
      <c r="G67" s="1">
        <v>44</v>
      </c>
      <c r="H67" s="1">
        <v>71</v>
      </c>
      <c r="J67" s="1" t="s">
        <v>158</v>
      </c>
      <c r="K67" s="1" t="s">
        <v>175</v>
      </c>
      <c r="M67" s="1" t="s">
        <v>134</v>
      </c>
      <c r="N67" s="1" t="s">
        <v>134</v>
      </c>
      <c r="O67" s="1" t="s">
        <v>134</v>
      </c>
      <c r="P67" s="1" t="s">
        <v>140</v>
      </c>
      <c r="Q67" s="1" t="s">
        <v>136</v>
      </c>
      <c r="U67" s="1">
        <v>-1</v>
      </c>
      <c r="V67" s="1">
        <v>30</v>
      </c>
      <c r="W67" s="1">
        <v>21012</v>
      </c>
      <c r="X67" s="1">
        <v>45724</v>
      </c>
      <c r="AK67" s="7"/>
      <c r="AL67" s="7"/>
    </row>
    <row r="68" spans="1:38" x14ac:dyDescent="0.35">
      <c r="A68" s="2">
        <v>2</v>
      </c>
      <c r="B68" s="15">
        <v>0.4201388888888889</v>
      </c>
      <c r="C68" s="21" t="s">
        <v>131</v>
      </c>
      <c r="D68" s="1" t="s">
        <v>148</v>
      </c>
      <c r="E68" s="1">
        <v>3</v>
      </c>
      <c r="F68" s="1" t="s">
        <v>133</v>
      </c>
      <c r="G68" s="1">
        <v>27</v>
      </c>
      <c r="H68" s="1">
        <v>44</v>
      </c>
      <c r="J68" s="1" t="s">
        <v>138</v>
      </c>
      <c r="K68" s="1" t="s">
        <v>158</v>
      </c>
      <c r="N68" s="1" t="s">
        <v>134</v>
      </c>
      <c r="P68" s="1" t="s">
        <v>135</v>
      </c>
      <c r="Q68" s="1" t="s">
        <v>136</v>
      </c>
      <c r="U68" s="1">
        <v>-1</v>
      </c>
      <c r="V68" s="1">
        <v>40</v>
      </c>
      <c r="W68" s="1">
        <v>21012</v>
      </c>
      <c r="X68" s="1">
        <v>45724</v>
      </c>
      <c r="AK68" s="7"/>
      <c r="AL68" s="7"/>
    </row>
    <row r="69" spans="1:38" x14ac:dyDescent="0.35">
      <c r="A69" s="2">
        <v>2</v>
      </c>
      <c r="B69" s="15">
        <v>0.39652777777777776</v>
      </c>
      <c r="C69" s="21" t="s">
        <v>131</v>
      </c>
      <c r="D69" s="1" t="s">
        <v>148</v>
      </c>
      <c r="E69" s="1">
        <v>14</v>
      </c>
      <c r="F69" s="1" t="s">
        <v>164</v>
      </c>
      <c r="G69" s="1">
        <v>21</v>
      </c>
      <c r="H69" s="1">
        <v>34</v>
      </c>
      <c r="J69" s="1" t="s">
        <v>158</v>
      </c>
      <c r="K69" s="1" t="s">
        <v>158</v>
      </c>
      <c r="M69" s="1" t="s">
        <v>152</v>
      </c>
      <c r="N69" s="1" t="s">
        <v>152</v>
      </c>
      <c r="Q69" s="1" t="s">
        <v>136</v>
      </c>
      <c r="R69" s="1" t="s">
        <v>160</v>
      </c>
      <c r="U69" s="1">
        <v>-1</v>
      </c>
      <c r="V69" s="1">
        <v>40</v>
      </c>
      <c r="W69" s="1">
        <v>21012</v>
      </c>
      <c r="X69" s="1">
        <v>45724</v>
      </c>
      <c r="AK69" s="7"/>
      <c r="AL69" s="7"/>
    </row>
    <row r="70" spans="1:38" x14ac:dyDescent="0.35">
      <c r="A70" s="2">
        <v>2</v>
      </c>
      <c r="B70" s="15">
        <v>0.37291666666666667</v>
      </c>
      <c r="C70" s="21" t="s">
        <v>131</v>
      </c>
      <c r="D70" s="1" t="s">
        <v>132</v>
      </c>
      <c r="E70" s="1">
        <v>38</v>
      </c>
      <c r="F70" s="1" t="s">
        <v>133</v>
      </c>
      <c r="G70" s="1">
        <v>73</v>
      </c>
      <c r="H70" s="1">
        <v>72</v>
      </c>
      <c r="J70" s="1" t="s">
        <v>138</v>
      </c>
      <c r="K70" s="1" t="s">
        <v>173</v>
      </c>
      <c r="P70" s="1" t="s">
        <v>140</v>
      </c>
      <c r="Q70" s="1" t="s">
        <v>153</v>
      </c>
      <c r="R70" s="1" t="s">
        <v>169</v>
      </c>
      <c r="U70" s="1">
        <v>-1</v>
      </c>
      <c r="V70" s="1">
        <v>30</v>
      </c>
      <c r="W70" s="1">
        <v>21012</v>
      </c>
      <c r="X70" s="1">
        <v>45724</v>
      </c>
      <c r="AK70" s="7"/>
      <c r="AL70" s="7"/>
    </row>
    <row r="71" spans="1:38" x14ac:dyDescent="0.35">
      <c r="A71" s="2">
        <v>2</v>
      </c>
      <c r="B71" s="15">
        <v>0.35416666666666669</v>
      </c>
      <c r="C71" s="21" t="s">
        <v>131</v>
      </c>
      <c r="D71" s="1" t="s">
        <v>132</v>
      </c>
      <c r="E71" s="1">
        <v>73</v>
      </c>
      <c r="F71" s="1" t="s">
        <v>147</v>
      </c>
      <c r="G71" s="1">
        <v>21</v>
      </c>
      <c r="H71" s="1">
        <v>85</v>
      </c>
      <c r="I71" s="1">
        <v>21</v>
      </c>
      <c r="J71" s="1" t="s">
        <v>137</v>
      </c>
      <c r="K71" s="1" t="s">
        <v>138</v>
      </c>
      <c r="L71" s="1" t="s">
        <v>158</v>
      </c>
      <c r="P71" s="1" t="s">
        <v>140</v>
      </c>
      <c r="Q71" s="1" t="s">
        <v>136</v>
      </c>
      <c r="U71" s="1">
        <v>-1</v>
      </c>
      <c r="V71" s="1">
        <v>30</v>
      </c>
      <c r="W71" s="1">
        <v>21012</v>
      </c>
      <c r="X71" s="1">
        <v>45724</v>
      </c>
      <c r="AK71" s="7"/>
      <c r="AL71" s="7"/>
    </row>
    <row r="72" spans="1:38" x14ac:dyDescent="0.35">
      <c r="A72" s="2">
        <v>2</v>
      </c>
      <c r="B72" s="15">
        <v>0.33124999999999999</v>
      </c>
      <c r="C72" s="21" t="s">
        <v>131</v>
      </c>
      <c r="D72" s="1" t="s">
        <v>132</v>
      </c>
      <c r="E72" s="1">
        <v>3</v>
      </c>
      <c r="F72" s="1" t="s">
        <v>133</v>
      </c>
      <c r="G72" s="1">
        <v>23</v>
      </c>
      <c r="J72" s="1" t="s">
        <v>138</v>
      </c>
      <c r="P72" s="1" t="s">
        <v>135</v>
      </c>
      <c r="Q72" s="1" t="s">
        <v>136</v>
      </c>
      <c r="U72" s="1">
        <v>-1</v>
      </c>
      <c r="V72" s="1">
        <v>30</v>
      </c>
      <c r="W72" s="1">
        <v>21012</v>
      </c>
      <c r="X72" s="1">
        <v>45724</v>
      </c>
      <c r="AK72" s="7"/>
      <c r="AL72" s="7"/>
    </row>
    <row r="73" spans="1:38" x14ac:dyDescent="0.35">
      <c r="A73" s="2">
        <v>2</v>
      </c>
      <c r="B73" s="15">
        <v>0.32500000000000001</v>
      </c>
      <c r="C73" s="21" t="s">
        <v>131</v>
      </c>
      <c r="D73" s="1" t="s">
        <v>132</v>
      </c>
      <c r="E73" s="1">
        <v>3</v>
      </c>
      <c r="F73" s="1" t="s">
        <v>133</v>
      </c>
      <c r="G73" s="1">
        <v>5</v>
      </c>
      <c r="H73" s="1">
        <v>23</v>
      </c>
      <c r="I73" s="1">
        <v>54</v>
      </c>
      <c r="J73" s="1" t="s">
        <v>155</v>
      </c>
      <c r="K73" s="1" t="s">
        <v>141</v>
      </c>
      <c r="L73" s="1" t="s">
        <v>155</v>
      </c>
      <c r="N73" s="1" t="s">
        <v>134</v>
      </c>
      <c r="O73" s="1" t="s">
        <v>134</v>
      </c>
      <c r="P73" s="1" t="s">
        <v>135</v>
      </c>
      <c r="Q73" s="1" t="s">
        <v>136</v>
      </c>
      <c r="U73" s="1">
        <v>-1</v>
      </c>
      <c r="V73" s="1">
        <v>30</v>
      </c>
      <c r="W73" s="1">
        <v>21012</v>
      </c>
      <c r="X73" s="1">
        <v>45724</v>
      </c>
      <c r="AK73" s="7"/>
      <c r="AL73" s="7"/>
    </row>
    <row r="74" spans="1:38" x14ac:dyDescent="0.35">
      <c r="A74" s="2">
        <v>2</v>
      </c>
      <c r="B74" s="15">
        <v>0.26944444444444443</v>
      </c>
      <c r="C74" s="21" t="s">
        <v>131</v>
      </c>
      <c r="D74" s="1" t="s">
        <v>148</v>
      </c>
      <c r="E74" s="1">
        <v>27</v>
      </c>
      <c r="F74" s="1" t="s">
        <v>157</v>
      </c>
      <c r="G74" s="1">
        <v>44</v>
      </c>
      <c r="J74" s="1" t="s">
        <v>150</v>
      </c>
      <c r="N74" s="1" t="s">
        <v>134</v>
      </c>
      <c r="P74" s="1" t="s">
        <v>143</v>
      </c>
      <c r="Q74" s="1" t="s">
        <v>153</v>
      </c>
      <c r="R74" s="1" t="s">
        <v>174</v>
      </c>
      <c r="U74" s="1">
        <v>-1</v>
      </c>
      <c r="V74" s="1">
        <v>40</v>
      </c>
      <c r="W74" s="1">
        <v>21012</v>
      </c>
      <c r="X74" s="1">
        <v>45724</v>
      </c>
      <c r="AK74" s="7"/>
      <c r="AL74" s="7"/>
    </row>
    <row r="75" spans="1:38" x14ac:dyDescent="0.35">
      <c r="A75" s="2">
        <v>2</v>
      </c>
      <c r="B75" s="15">
        <v>0.21875</v>
      </c>
      <c r="C75" s="21" t="s">
        <v>131</v>
      </c>
      <c r="D75" s="1" t="s">
        <v>148</v>
      </c>
      <c r="E75" s="1">
        <v>8</v>
      </c>
      <c r="F75" s="1" t="s">
        <v>164</v>
      </c>
      <c r="G75" s="1">
        <v>10</v>
      </c>
      <c r="J75" s="1" t="s">
        <v>141</v>
      </c>
      <c r="N75" s="1" t="s">
        <v>152</v>
      </c>
      <c r="P75" s="1" t="s">
        <v>135</v>
      </c>
      <c r="Q75" s="1" t="s">
        <v>136</v>
      </c>
      <c r="U75" s="1">
        <v>-1</v>
      </c>
      <c r="V75" s="1">
        <v>40</v>
      </c>
      <c r="W75" s="1">
        <v>21012</v>
      </c>
      <c r="X75" s="1">
        <v>45724</v>
      </c>
      <c r="AK75" s="7"/>
      <c r="AL75" s="7"/>
    </row>
    <row r="76" spans="1:38" x14ac:dyDescent="0.35">
      <c r="A76" s="2">
        <v>2</v>
      </c>
      <c r="B76" s="15">
        <v>0.14722222222222223</v>
      </c>
      <c r="C76" s="21" t="s">
        <v>131</v>
      </c>
      <c r="D76" s="1" t="s">
        <v>132</v>
      </c>
      <c r="E76" s="1">
        <v>71</v>
      </c>
      <c r="F76" s="1" t="s">
        <v>133</v>
      </c>
      <c r="G76" s="1">
        <v>10</v>
      </c>
      <c r="J76" s="1" t="s">
        <v>176</v>
      </c>
      <c r="N76" s="1" t="s">
        <v>134</v>
      </c>
      <c r="P76" s="1" t="s">
        <v>143</v>
      </c>
      <c r="Q76" s="1" t="s">
        <v>153</v>
      </c>
      <c r="R76" s="1" t="s">
        <v>169</v>
      </c>
      <c r="U76" s="1">
        <v>-1</v>
      </c>
      <c r="V76" s="1">
        <v>30</v>
      </c>
      <c r="W76" s="1">
        <v>21012</v>
      </c>
      <c r="X76" s="1">
        <v>45724</v>
      </c>
      <c r="AK76" s="7"/>
      <c r="AL76" s="7"/>
    </row>
    <row r="77" spans="1:38" x14ac:dyDescent="0.35">
      <c r="A77" s="2">
        <v>2</v>
      </c>
      <c r="B77" s="15">
        <v>9.3055555555555558E-2</v>
      </c>
      <c r="C77" s="21" t="s">
        <v>131</v>
      </c>
      <c r="D77" s="1" t="s">
        <v>148</v>
      </c>
      <c r="E77" s="1">
        <v>53</v>
      </c>
      <c r="F77" s="1" t="s">
        <v>133</v>
      </c>
      <c r="G77" s="1">
        <v>20</v>
      </c>
      <c r="H77" s="1">
        <v>28</v>
      </c>
      <c r="J77" s="1" t="s">
        <v>155</v>
      </c>
      <c r="K77" s="1" t="s">
        <v>170</v>
      </c>
      <c r="N77" s="1" t="s">
        <v>134</v>
      </c>
      <c r="P77" s="1" t="s">
        <v>143</v>
      </c>
      <c r="Q77" s="1" t="s">
        <v>144</v>
      </c>
      <c r="R77" s="1" t="s">
        <v>145</v>
      </c>
      <c r="U77" s="1">
        <v>-1</v>
      </c>
      <c r="V77" s="1">
        <v>40</v>
      </c>
      <c r="W77" s="1">
        <v>21012</v>
      </c>
      <c r="X77" s="1">
        <v>45724</v>
      </c>
      <c r="AK77" s="7"/>
      <c r="AL77" s="7"/>
    </row>
    <row r="78" spans="1:38" x14ac:dyDescent="0.35">
      <c r="A78" s="2">
        <v>2</v>
      </c>
      <c r="B78" s="15">
        <v>6.25E-2</v>
      </c>
      <c r="C78" s="21" t="s">
        <v>131</v>
      </c>
      <c r="D78" s="1" t="s">
        <v>132</v>
      </c>
      <c r="E78" s="1">
        <v>85</v>
      </c>
      <c r="F78" s="1" t="s">
        <v>149</v>
      </c>
      <c r="G78" s="1">
        <v>53</v>
      </c>
      <c r="J78" s="1" t="s">
        <v>138</v>
      </c>
      <c r="N78" s="1" t="s">
        <v>152</v>
      </c>
      <c r="P78" s="1" t="s">
        <v>135</v>
      </c>
      <c r="Q78" s="1" t="s">
        <v>136</v>
      </c>
      <c r="U78" s="1">
        <v>-1</v>
      </c>
      <c r="V78" s="1">
        <v>30</v>
      </c>
      <c r="W78" s="1">
        <v>21012</v>
      </c>
      <c r="X78" s="1">
        <v>45724</v>
      </c>
      <c r="AK78" s="7"/>
      <c r="AL78" s="7"/>
    </row>
    <row r="79" spans="1:38" x14ac:dyDescent="0.35">
      <c r="A79" s="2">
        <v>2</v>
      </c>
      <c r="B79" s="15">
        <v>4.8611111111111112E-2</v>
      </c>
      <c r="C79" s="21" t="s">
        <v>131</v>
      </c>
      <c r="D79" s="1" t="s">
        <v>132</v>
      </c>
      <c r="E79" s="1">
        <v>73</v>
      </c>
      <c r="F79" s="1" t="s">
        <v>164</v>
      </c>
      <c r="G79" s="1">
        <v>21</v>
      </c>
      <c r="H79" s="1">
        <v>72</v>
      </c>
      <c r="I79" s="1">
        <v>38</v>
      </c>
      <c r="J79" s="1" t="s">
        <v>150</v>
      </c>
      <c r="K79" s="1" t="s">
        <v>161</v>
      </c>
      <c r="L79" s="1" t="s">
        <v>161</v>
      </c>
      <c r="N79" s="1" t="s">
        <v>152</v>
      </c>
      <c r="P79" s="1" t="s">
        <v>143</v>
      </c>
      <c r="Q79" s="1" t="s">
        <v>153</v>
      </c>
      <c r="R79" s="1" t="s">
        <v>154</v>
      </c>
      <c r="U79" s="1">
        <v>-1</v>
      </c>
      <c r="V79" s="1">
        <v>30</v>
      </c>
      <c r="W79" s="1">
        <v>21012</v>
      </c>
      <c r="X79" s="1">
        <v>45724</v>
      </c>
      <c r="AK79" s="7"/>
      <c r="AL79" s="7"/>
    </row>
    <row r="80" spans="1:38" x14ac:dyDescent="0.35">
      <c r="A80" s="2">
        <v>2</v>
      </c>
      <c r="B80" s="15">
        <v>6.9444444444444447E-4</v>
      </c>
      <c r="C80" s="21" t="s">
        <v>131</v>
      </c>
      <c r="D80" s="1" t="s">
        <v>148</v>
      </c>
      <c r="E80" s="1">
        <v>27</v>
      </c>
      <c r="F80" s="1" t="s">
        <v>177</v>
      </c>
      <c r="M80" s="1" t="s">
        <v>152</v>
      </c>
      <c r="N80" s="1" t="s">
        <v>152</v>
      </c>
      <c r="P80" s="1" t="s">
        <v>135</v>
      </c>
      <c r="Q80" s="1" t="s">
        <v>136</v>
      </c>
      <c r="U80" s="1">
        <v>-1</v>
      </c>
      <c r="V80" s="1">
        <v>40</v>
      </c>
      <c r="W80" s="1">
        <v>21012</v>
      </c>
      <c r="X80" s="1">
        <v>45724</v>
      </c>
      <c r="AK80" s="7"/>
      <c r="AL80" s="7"/>
    </row>
    <row r="81" spans="1:38" x14ac:dyDescent="0.35">
      <c r="A81" s="2">
        <v>3</v>
      </c>
      <c r="B81" s="15">
        <v>0.82013888888888886</v>
      </c>
      <c r="C81" s="21" t="s">
        <v>131</v>
      </c>
      <c r="D81" s="1" t="s">
        <v>148</v>
      </c>
      <c r="E81" s="1">
        <v>21</v>
      </c>
      <c r="F81" s="1" t="s">
        <v>133</v>
      </c>
      <c r="M81" s="1" t="s">
        <v>134</v>
      </c>
      <c r="N81" s="1" t="s">
        <v>134</v>
      </c>
      <c r="P81" s="1" t="s">
        <v>135</v>
      </c>
      <c r="Q81" s="1" t="s">
        <v>136</v>
      </c>
      <c r="U81" s="1">
        <v>-1</v>
      </c>
      <c r="V81" s="1">
        <v>40</v>
      </c>
      <c r="W81" s="1">
        <v>21012</v>
      </c>
      <c r="X81" s="1">
        <v>45724</v>
      </c>
      <c r="AK81" s="7"/>
      <c r="AL81" s="7"/>
    </row>
    <row r="82" spans="1:38" x14ac:dyDescent="0.35">
      <c r="A82" s="2">
        <v>3</v>
      </c>
      <c r="B82" s="15">
        <v>0.80972222222222223</v>
      </c>
      <c r="C82" s="21" t="s">
        <v>131</v>
      </c>
      <c r="D82" s="1" t="s">
        <v>148</v>
      </c>
      <c r="E82" s="1">
        <v>14</v>
      </c>
      <c r="F82" s="1" t="s">
        <v>172</v>
      </c>
      <c r="G82" s="1">
        <v>21</v>
      </c>
      <c r="J82" s="1" t="s">
        <v>167</v>
      </c>
      <c r="M82" s="1" t="s">
        <v>134</v>
      </c>
      <c r="N82" s="1" t="s">
        <v>134</v>
      </c>
      <c r="P82" s="1" t="s">
        <v>135</v>
      </c>
      <c r="Q82" s="1" t="s">
        <v>136</v>
      </c>
      <c r="U82" s="1">
        <v>-1</v>
      </c>
      <c r="V82" s="1">
        <v>40</v>
      </c>
      <c r="W82" s="1">
        <v>21012</v>
      </c>
      <c r="X82" s="1">
        <v>45724</v>
      </c>
      <c r="AK82" s="7"/>
      <c r="AL82" s="7"/>
    </row>
    <row r="83" spans="1:38" x14ac:dyDescent="0.35">
      <c r="A83" s="2">
        <v>3</v>
      </c>
      <c r="B83" s="15">
        <v>0.78125</v>
      </c>
      <c r="C83" s="21" t="s">
        <v>131</v>
      </c>
      <c r="D83" s="1" t="s">
        <v>148</v>
      </c>
      <c r="E83" s="1">
        <v>27</v>
      </c>
      <c r="F83" s="1" t="s">
        <v>149</v>
      </c>
      <c r="M83" s="1" t="s">
        <v>152</v>
      </c>
      <c r="N83" s="1" t="s">
        <v>152</v>
      </c>
      <c r="Q83" s="1" t="s">
        <v>136</v>
      </c>
      <c r="R83" s="1" t="s">
        <v>160</v>
      </c>
      <c r="T83" s="1" t="s">
        <v>134</v>
      </c>
      <c r="U83" s="1">
        <v>-1</v>
      </c>
      <c r="V83" s="1">
        <v>40</v>
      </c>
      <c r="W83" s="1">
        <v>21012</v>
      </c>
      <c r="X83" s="1">
        <v>45724</v>
      </c>
      <c r="AK83" s="7"/>
      <c r="AL83" s="7"/>
    </row>
    <row r="84" spans="1:38" x14ac:dyDescent="0.35">
      <c r="A84" s="2">
        <v>3</v>
      </c>
      <c r="B84" s="15">
        <v>0.73124999999999996</v>
      </c>
      <c r="C84" s="21" t="s">
        <v>156</v>
      </c>
      <c r="D84" s="1" t="s">
        <v>148</v>
      </c>
      <c r="E84" s="1">
        <v>4</v>
      </c>
      <c r="F84" s="1" t="s">
        <v>133</v>
      </c>
      <c r="G84" s="1">
        <v>10</v>
      </c>
      <c r="J84" s="1" t="s">
        <v>168</v>
      </c>
      <c r="N84" s="1" t="s">
        <v>134</v>
      </c>
      <c r="P84" s="1" t="s">
        <v>143</v>
      </c>
      <c r="Q84" s="1" t="s">
        <v>144</v>
      </c>
      <c r="U84" s="1">
        <v>-2</v>
      </c>
      <c r="V84" s="1">
        <v>40</v>
      </c>
      <c r="W84" s="1">
        <v>21012</v>
      </c>
      <c r="X84" s="1">
        <v>45724</v>
      </c>
      <c r="AK84" s="7"/>
      <c r="AL84" s="7"/>
    </row>
    <row r="85" spans="1:38" x14ac:dyDescent="0.35">
      <c r="A85" s="2">
        <v>3</v>
      </c>
      <c r="B85" s="15">
        <v>0.67222222222222228</v>
      </c>
      <c r="C85" s="21" t="s">
        <v>156</v>
      </c>
      <c r="D85" s="1" t="s">
        <v>148</v>
      </c>
      <c r="E85" s="1">
        <v>34</v>
      </c>
      <c r="F85" s="1" t="s">
        <v>157</v>
      </c>
      <c r="G85" s="1">
        <v>44</v>
      </c>
      <c r="H85" s="1">
        <v>4</v>
      </c>
      <c r="I85" s="1">
        <v>34</v>
      </c>
      <c r="J85" s="1" t="s">
        <v>141</v>
      </c>
      <c r="K85" s="1" t="s">
        <v>167</v>
      </c>
      <c r="L85" s="1" t="s">
        <v>150</v>
      </c>
      <c r="N85" s="1" t="s">
        <v>134</v>
      </c>
      <c r="O85" s="1" t="s">
        <v>134</v>
      </c>
      <c r="T85" s="1" t="s">
        <v>134</v>
      </c>
      <c r="U85" s="1">
        <v>-2</v>
      </c>
      <c r="V85" s="1">
        <v>40</v>
      </c>
      <c r="W85" s="1">
        <v>21012</v>
      </c>
      <c r="X85" s="1">
        <v>45724</v>
      </c>
      <c r="AK85" s="7"/>
      <c r="AL85" s="7"/>
    </row>
    <row r="86" spans="1:38" x14ac:dyDescent="0.35">
      <c r="A86" s="2">
        <v>3</v>
      </c>
      <c r="B86" s="15">
        <v>0.66527777777777775</v>
      </c>
      <c r="C86" s="21" t="s">
        <v>131</v>
      </c>
      <c r="D86" s="1" t="s">
        <v>132</v>
      </c>
      <c r="E86" s="1">
        <v>37</v>
      </c>
      <c r="F86" s="1" t="s">
        <v>137</v>
      </c>
      <c r="N86" s="1" t="s">
        <v>134</v>
      </c>
      <c r="P86" s="1" t="s">
        <v>135</v>
      </c>
      <c r="Q86" s="1" t="s">
        <v>136</v>
      </c>
      <c r="U86" s="1">
        <v>-3</v>
      </c>
      <c r="V86" s="1">
        <v>30</v>
      </c>
      <c r="W86" s="1">
        <v>21012</v>
      </c>
      <c r="X86" s="1">
        <v>45724</v>
      </c>
      <c r="AK86" s="7"/>
      <c r="AL86" s="7"/>
    </row>
    <row r="87" spans="1:38" x14ac:dyDescent="0.35">
      <c r="A87" s="2">
        <v>3</v>
      </c>
      <c r="B87" s="15">
        <v>0.61041666666666672</v>
      </c>
      <c r="C87" s="21" t="s">
        <v>131</v>
      </c>
      <c r="D87" s="1" t="s">
        <v>148</v>
      </c>
      <c r="E87" s="1">
        <v>20</v>
      </c>
      <c r="F87" s="1" t="s">
        <v>172</v>
      </c>
      <c r="G87" s="1">
        <v>28</v>
      </c>
      <c r="J87" s="1" t="s">
        <v>158</v>
      </c>
      <c r="M87" s="1" t="s">
        <v>134</v>
      </c>
      <c r="N87" s="1" t="s">
        <v>134</v>
      </c>
      <c r="P87" s="1" t="s">
        <v>135</v>
      </c>
      <c r="Q87" s="1" t="s">
        <v>136</v>
      </c>
      <c r="U87" s="1">
        <v>-3</v>
      </c>
      <c r="V87" s="1">
        <v>40</v>
      </c>
      <c r="W87" s="1">
        <v>21012</v>
      </c>
      <c r="X87" s="1">
        <v>45724</v>
      </c>
      <c r="AK87" s="7"/>
      <c r="AL87" s="7"/>
    </row>
    <row r="88" spans="1:38" x14ac:dyDescent="0.35">
      <c r="A88" s="2">
        <v>3</v>
      </c>
      <c r="B88" s="15">
        <v>0.52361111111111114</v>
      </c>
      <c r="C88" s="21" t="s">
        <v>131</v>
      </c>
      <c r="D88" s="1" t="s">
        <v>132</v>
      </c>
      <c r="E88" s="1">
        <v>54</v>
      </c>
      <c r="F88" s="1" t="s">
        <v>146</v>
      </c>
      <c r="G88" s="1">
        <v>3</v>
      </c>
      <c r="H88" s="1">
        <v>91</v>
      </c>
      <c r="J88" s="1" t="s">
        <v>137</v>
      </c>
      <c r="K88" s="1" t="s">
        <v>138</v>
      </c>
      <c r="P88" s="1" t="s">
        <v>135</v>
      </c>
      <c r="Q88" s="1" t="s">
        <v>136</v>
      </c>
      <c r="U88" s="1">
        <v>-3</v>
      </c>
      <c r="V88" s="1">
        <v>30</v>
      </c>
      <c r="W88" s="1">
        <v>21012</v>
      </c>
      <c r="X88" s="1">
        <v>45724</v>
      </c>
      <c r="AK88" s="7"/>
      <c r="AL88" s="7"/>
    </row>
    <row r="89" spans="1:38" x14ac:dyDescent="0.35">
      <c r="A89" s="2">
        <v>3</v>
      </c>
      <c r="B89" s="15">
        <v>0.47083333333333333</v>
      </c>
      <c r="C89" s="21" t="s">
        <v>156</v>
      </c>
      <c r="D89" s="1" t="s">
        <v>132</v>
      </c>
      <c r="E89" s="1">
        <v>2</v>
      </c>
      <c r="F89" s="1" t="s">
        <v>133</v>
      </c>
      <c r="G89" s="1">
        <v>21</v>
      </c>
      <c r="J89" s="1" t="s">
        <v>150</v>
      </c>
      <c r="M89" s="1" t="s">
        <v>134</v>
      </c>
      <c r="N89" s="1" t="s">
        <v>134</v>
      </c>
      <c r="U89" s="1">
        <v>-3</v>
      </c>
      <c r="V89" s="1">
        <v>30</v>
      </c>
      <c r="W89" s="1">
        <v>21012</v>
      </c>
      <c r="X89" s="1">
        <v>45724</v>
      </c>
      <c r="AK89" s="7"/>
      <c r="AL89" s="7"/>
    </row>
    <row r="90" spans="1:38" x14ac:dyDescent="0.35">
      <c r="A90" s="2">
        <v>3</v>
      </c>
      <c r="B90" s="15">
        <v>0.46111111111111114</v>
      </c>
      <c r="C90" s="21" t="s">
        <v>156</v>
      </c>
      <c r="D90" s="1" t="s">
        <v>132</v>
      </c>
      <c r="E90" s="1">
        <v>71</v>
      </c>
      <c r="F90" s="1" t="s">
        <v>157</v>
      </c>
      <c r="G90" s="1">
        <v>21</v>
      </c>
      <c r="H90" s="1">
        <v>71</v>
      </c>
      <c r="J90" s="1" t="s">
        <v>150</v>
      </c>
      <c r="K90" s="1" t="s">
        <v>141</v>
      </c>
      <c r="N90" s="1" t="s">
        <v>134</v>
      </c>
      <c r="U90" s="1">
        <v>-3</v>
      </c>
      <c r="V90" s="1">
        <v>30</v>
      </c>
      <c r="W90" s="1">
        <v>21012</v>
      </c>
      <c r="X90" s="1">
        <v>45724</v>
      </c>
      <c r="AK90" s="7"/>
      <c r="AL90" s="7"/>
    </row>
    <row r="91" spans="1:38" x14ac:dyDescent="0.35">
      <c r="A91" s="2">
        <v>3</v>
      </c>
      <c r="B91" s="15">
        <v>0.44930555555555557</v>
      </c>
      <c r="C91" s="21" t="s">
        <v>156</v>
      </c>
      <c r="D91" s="1" t="s">
        <v>132</v>
      </c>
      <c r="E91" s="1">
        <v>73</v>
      </c>
      <c r="F91" s="1" t="s">
        <v>133</v>
      </c>
      <c r="G91" s="1">
        <v>2</v>
      </c>
      <c r="H91" s="1">
        <v>21</v>
      </c>
      <c r="I91" s="1">
        <v>71</v>
      </c>
      <c r="J91" s="1" t="s">
        <v>158</v>
      </c>
      <c r="K91" s="1" t="s">
        <v>150</v>
      </c>
      <c r="L91" s="1" t="s">
        <v>141</v>
      </c>
      <c r="M91" s="1" t="s">
        <v>134</v>
      </c>
      <c r="N91" s="1" t="s">
        <v>134</v>
      </c>
      <c r="U91" s="1">
        <v>-3</v>
      </c>
      <c r="V91" s="1">
        <v>30</v>
      </c>
      <c r="W91" s="1">
        <v>21012</v>
      </c>
      <c r="X91" s="1">
        <v>45724</v>
      </c>
      <c r="AK91" s="7"/>
      <c r="AL91" s="7"/>
    </row>
    <row r="92" spans="1:38" x14ac:dyDescent="0.35">
      <c r="A92" s="2">
        <v>3</v>
      </c>
      <c r="B92" s="15">
        <v>0.44097222222222221</v>
      </c>
      <c r="C92" s="21" t="s">
        <v>156</v>
      </c>
      <c r="D92" s="1" t="s">
        <v>132</v>
      </c>
      <c r="E92" s="1">
        <v>2</v>
      </c>
      <c r="F92" s="1" t="s">
        <v>133</v>
      </c>
      <c r="G92" s="1">
        <v>21</v>
      </c>
      <c r="H92" s="1">
        <v>2</v>
      </c>
      <c r="J92" s="1" t="s">
        <v>150</v>
      </c>
      <c r="K92" s="1" t="s">
        <v>138</v>
      </c>
      <c r="N92" s="1" t="s">
        <v>134</v>
      </c>
      <c r="U92" s="1">
        <v>-3</v>
      </c>
      <c r="V92" s="1">
        <v>30</v>
      </c>
      <c r="W92" s="1">
        <v>21012</v>
      </c>
      <c r="X92" s="1">
        <v>45724</v>
      </c>
      <c r="AK92" s="7"/>
      <c r="AL92" s="7"/>
    </row>
    <row r="93" spans="1:38" x14ac:dyDescent="0.35">
      <c r="A93" s="2">
        <v>3</v>
      </c>
      <c r="B93" s="15">
        <v>0.43472222222222223</v>
      </c>
      <c r="C93" s="21" t="s">
        <v>156</v>
      </c>
      <c r="D93" s="1" t="s">
        <v>132</v>
      </c>
      <c r="E93" s="1">
        <v>71</v>
      </c>
      <c r="F93" s="1" t="s">
        <v>157</v>
      </c>
      <c r="G93" s="1">
        <v>21</v>
      </c>
      <c r="H93" s="1">
        <v>71</v>
      </c>
      <c r="I93" s="1">
        <v>72</v>
      </c>
      <c r="J93" s="1" t="s">
        <v>150</v>
      </c>
      <c r="K93" s="1" t="s">
        <v>155</v>
      </c>
      <c r="L93" s="1" t="s">
        <v>155</v>
      </c>
      <c r="U93" s="1">
        <v>-3</v>
      </c>
      <c r="V93" s="1">
        <v>30</v>
      </c>
      <c r="W93" s="1">
        <v>21012</v>
      </c>
      <c r="X93" s="1">
        <v>45724</v>
      </c>
      <c r="AK93" s="7"/>
      <c r="AL93" s="7"/>
    </row>
    <row r="94" spans="1:38" x14ac:dyDescent="0.35">
      <c r="A94" s="2">
        <v>3</v>
      </c>
      <c r="B94" s="15">
        <v>0.39930555555555558</v>
      </c>
      <c r="C94" s="21" t="s">
        <v>156</v>
      </c>
      <c r="D94" s="1" t="s">
        <v>132</v>
      </c>
      <c r="E94" s="1">
        <v>10</v>
      </c>
      <c r="F94" s="1" t="s">
        <v>133</v>
      </c>
      <c r="G94" s="1">
        <v>15</v>
      </c>
      <c r="H94" s="1">
        <v>85</v>
      </c>
      <c r="J94" s="1" t="s">
        <v>155</v>
      </c>
      <c r="K94" s="1" t="s">
        <v>173</v>
      </c>
      <c r="M94" s="1" t="s">
        <v>134</v>
      </c>
      <c r="N94" s="1" t="s">
        <v>134</v>
      </c>
      <c r="P94" s="1" t="s">
        <v>143</v>
      </c>
      <c r="Q94" s="1" t="s">
        <v>144</v>
      </c>
      <c r="U94" s="1">
        <v>-3</v>
      </c>
      <c r="V94" s="1">
        <v>30</v>
      </c>
      <c r="W94" s="1">
        <v>21012</v>
      </c>
      <c r="X94" s="1">
        <v>45724</v>
      </c>
      <c r="AK94" s="7"/>
      <c r="AL94" s="7"/>
    </row>
    <row r="95" spans="1:38" x14ac:dyDescent="0.35">
      <c r="A95" s="2">
        <v>3</v>
      </c>
      <c r="B95" s="15">
        <v>0.36875000000000002</v>
      </c>
      <c r="C95" s="21" t="s">
        <v>131</v>
      </c>
      <c r="D95" s="1" t="s">
        <v>148</v>
      </c>
      <c r="E95" s="1">
        <v>3</v>
      </c>
      <c r="F95" s="1" t="s">
        <v>178</v>
      </c>
      <c r="G95" s="1">
        <v>27</v>
      </c>
      <c r="H95" s="1">
        <v>44</v>
      </c>
      <c r="J95" s="1" t="s">
        <v>138</v>
      </c>
      <c r="K95" s="1" t="s">
        <v>155</v>
      </c>
      <c r="N95" s="1" t="s">
        <v>134</v>
      </c>
      <c r="O95" s="1" t="s">
        <v>134</v>
      </c>
      <c r="P95" s="1" t="s">
        <v>135</v>
      </c>
      <c r="Q95" s="1" t="s">
        <v>136</v>
      </c>
      <c r="U95" s="1">
        <v>-3</v>
      </c>
      <c r="V95" s="1">
        <v>40</v>
      </c>
      <c r="W95" s="1">
        <v>21012</v>
      </c>
      <c r="X95" s="1">
        <v>45724</v>
      </c>
      <c r="AK95" s="7"/>
      <c r="AL95" s="7"/>
    </row>
    <row r="96" spans="1:38" x14ac:dyDescent="0.35">
      <c r="A96" s="2">
        <v>3</v>
      </c>
      <c r="B96" s="15">
        <v>0.32708333333333334</v>
      </c>
      <c r="C96" s="21" t="s">
        <v>131</v>
      </c>
      <c r="D96" s="1" t="s">
        <v>148</v>
      </c>
      <c r="E96" s="1">
        <v>14</v>
      </c>
      <c r="F96" s="1" t="s">
        <v>164</v>
      </c>
      <c r="G96" s="1">
        <v>28</v>
      </c>
      <c r="H96" s="1">
        <v>21</v>
      </c>
      <c r="J96" s="1" t="s">
        <v>158</v>
      </c>
      <c r="K96" s="1" t="s">
        <v>138</v>
      </c>
      <c r="M96" s="1" t="s">
        <v>152</v>
      </c>
      <c r="N96" s="1" t="s">
        <v>152</v>
      </c>
      <c r="P96" s="1" t="s">
        <v>135</v>
      </c>
      <c r="Q96" s="1" t="s">
        <v>136</v>
      </c>
      <c r="U96" s="1">
        <v>-3</v>
      </c>
      <c r="V96" s="1">
        <v>40</v>
      </c>
      <c r="W96" s="1">
        <v>21012</v>
      </c>
      <c r="X96" s="1">
        <v>45724</v>
      </c>
      <c r="AK96" s="7"/>
      <c r="AL96" s="7"/>
    </row>
    <row r="97" spans="1:38" x14ac:dyDescent="0.35">
      <c r="A97" s="2">
        <v>3</v>
      </c>
      <c r="B97" s="15">
        <v>0.32569444444444445</v>
      </c>
      <c r="C97" s="21" t="s">
        <v>131</v>
      </c>
      <c r="D97" s="1" t="s">
        <v>148</v>
      </c>
      <c r="E97" s="1">
        <v>11</v>
      </c>
      <c r="F97" s="1" t="s">
        <v>179</v>
      </c>
      <c r="M97" s="1" t="s">
        <v>152</v>
      </c>
      <c r="N97" s="1" t="s">
        <v>152</v>
      </c>
      <c r="P97" s="1" t="s">
        <v>135</v>
      </c>
      <c r="Q97" s="1" t="s">
        <v>136</v>
      </c>
      <c r="U97" s="1">
        <v>-3</v>
      </c>
      <c r="V97" s="1">
        <v>40</v>
      </c>
      <c r="W97" s="1">
        <v>21012</v>
      </c>
      <c r="X97" s="1">
        <v>45724</v>
      </c>
      <c r="AK97" s="7"/>
      <c r="AL97" s="7"/>
    </row>
    <row r="98" spans="1:38" x14ac:dyDescent="0.35">
      <c r="A98" s="2">
        <v>3</v>
      </c>
      <c r="B98" s="15">
        <v>0.27291666666666664</v>
      </c>
      <c r="C98" s="21" t="s">
        <v>131</v>
      </c>
      <c r="D98" s="1" t="s">
        <v>132</v>
      </c>
      <c r="E98" s="1">
        <v>44</v>
      </c>
      <c r="F98" s="1" t="s">
        <v>147</v>
      </c>
      <c r="G98" s="1">
        <v>2</v>
      </c>
      <c r="H98" s="1">
        <v>44</v>
      </c>
      <c r="I98" s="1">
        <v>21</v>
      </c>
      <c r="J98" s="1" t="s">
        <v>142</v>
      </c>
      <c r="K98" s="1" t="s">
        <v>142</v>
      </c>
      <c r="L98" s="1" t="s">
        <v>161</v>
      </c>
      <c r="M98" s="1" t="s">
        <v>134</v>
      </c>
      <c r="N98" s="1" t="s">
        <v>134</v>
      </c>
      <c r="P98" s="1" t="s">
        <v>143</v>
      </c>
      <c r="Q98" s="1" t="s">
        <v>153</v>
      </c>
      <c r="R98" s="1" t="s">
        <v>154</v>
      </c>
      <c r="U98" s="1">
        <v>-3</v>
      </c>
      <c r="V98" s="1">
        <v>30</v>
      </c>
      <c r="W98" s="1">
        <v>21012</v>
      </c>
      <c r="X98" s="1">
        <v>45724</v>
      </c>
      <c r="AK98" s="7"/>
      <c r="AL98" s="7"/>
    </row>
    <row r="99" spans="1:38" x14ac:dyDescent="0.35">
      <c r="A99" s="2">
        <v>3</v>
      </c>
      <c r="B99" s="15">
        <v>9.375E-2</v>
      </c>
      <c r="C99" s="21" t="s">
        <v>131</v>
      </c>
      <c r="D99" s="1" t="s">
        <v>132</v>
      </c>
      <c r="E99" s="1">
        <v>72</v>
      </c>
      <c r="F99" s="1" t="s">
        <v>133</v>
      </c>
      <c r="G99" s="1">
        <v>71</v>
      </c>
      <c r="J99" s="1" t="s">
        <v>180</v>
      </c>
      <c r="M99" s="1" t="s">
        <v>134</v>
      </c>
      <c r="N99" s="1" t="s">
        <v>134</v>
      </c>
      <c r="P99" s="1" t="s">
        <v>143</v>
      </c>
      <c r="Q99" s="1" t="s">
        <v>153</v>
      </c>
      <c r="R99" s="1" t="s">
        <v>174</v>
      </c>
      <c r="U99" s="1">
        <v>-3</v>
      </c>
      <c r="V99" s="1">
        <v>30</v>
      </c>
      <c r="W99" s="1">
        <v>21012</v>
      </c>
      <c r="X99" s="1">
        <v>45724</v>
      </c>
      <c r="AK99" s="7"/>
      <c r="AL99" s="7"/>
    </row>
    <row r="100" spans="1:38" x14ac:dyDescent="0.35">
      <c r="A100" s="2">
        <v>1</v>
      </c>
      <c r="B100" s="15">
        <v>0.82777777777777772</v>
      </c>
      <c r="C100" s="21" t="s">
        <v>131</v>
      </c>
      <c r="Y100" s="16" t="s">
        <v>182</v>
      </c>
      <c r="Z100" s="16" t="s">
        <v>132</v>
      </c>
      <c r="AD100" s="16" t="s">
        <v>183</v>
      </c>
      <c r="AF100" s="5" t="s">
        <v>184</v>
      </c>
      <c r="AG100" s="5" t="s">
        <v>185</v>
      </c>
      <c r="AH100" s="5" t="s">
        <v>186</v>
      </c>
      <c r="AK100" s="7"/>
      <c r="AL100" s="7"/>
    </row>
    <row r="101" spans="1:38" x14ac:dyDescent="0.35">
      <c r="A101" s="2">
        <v>1</v>
      </c>
      <c r="B101" s="15">
        <v>0.81527777777777777</v>
      </c>
      <c r="C101" s="21" t="s">
        <v>131</v>
      </c>
      <c r="AF101" s="5" t="s">
        <v>187</v>
      </c>
      <c r="AG101" s="5" t="s">
        <v>188</v>
      </c>
      <c r="AK101" s="7"/>
      <c r="AL101" s="7"/>
    </row>
    <row r="102" spans="1:38" x14ac:dyDescent="0.35">
      <c r="A102" s="2">
        <v>1</v>
      </c>
      <c r="B102" s="15">
        <v>0.81319444444444444</v>
      </c>
      <c r="C102" s="21" t="s">
        <v>131</v>
      </c>
      <c r="Y102" s="16" t="s">
        <v>189</v>
      </c>
      <c r="Z102" s="16" t="s">
        <v>190</v>
      </c>
      <c r="AA102" s="16" t="s">
        <v>191</v>
      </c>
      <c r="AC102" s="16" t="s">
        <v>192</v>
      </c>
      <c r="AD102" s="16" t="s">
        <v>191</v>
      </c>
      <c r="AE102" s="16" t="s">
        <v>191</v>
      </c>
      <c r="AF102" s="5" t="s">
        <v>193</v>
      </c>
      <c r="AG102" s="5" t="s">
        <v>194</v>
      </c>
      <c r="AH102" s="5" t="s">
        <v>190</v>
      </c>
      <c r="AI102" s="5" t="s">
        <v>195</v>
      </c>
      <c r="AJ102" s="5" t="s">
        <v>188</v>
      </c>
      <c r="AK102" s="7"/>
      <c r="AL102" s="7"/>
    </row>
    <row r="103" spans="1:38" x14ac:dyDescent="0.35">
      <c r="A103" s="2">
        <v>1</v>
      </c>
      <c r="B103" s="15">
        <v>0.8041666666666667</v>
      </c>
      <c r="C103" s="21" t="s">
        <v>131</v>
      </c>
      <c r="Y103" s="16" t="s">
        <v>196</v>
      </c>
      <c r="Z103" s="16" t="s">
        <v>197</v>
      </c>
      <c r="AA103" s="16" t="s">
        <v>198</v>
      </c>
      <c r="AB103" s="16" t="s">
        <v>152</v>
      </c>
      <c r="AC103" s="16" t="s">
        <v>179</v>
      </c>
      <c r="AD103" s="16" t="s">
        <v>191</v>
      </c>
      <c r="AE103" s="16" t="s">
        <v>152</v>
      </c>
      <c r="AF103" s="5" t="s">
        <v>198</v>
      </c>
      <c r="AG103" s="5" t="s">
        <v>194</v>
      </c>
      <c r="AH103" s="5" t="s">
        <v>191</v>
      </c>
      <c r="AI103" s="5" t="s">
        <v>199</v>
      </c>
      <c r="AJ103" s="5" t="s">
        <v>200</v>
      </c>
      <c r="AK103" s="7"/>
      <c r="AL103" s="7"/>
    </row>
    <row r="104" spans="1:38" x14ac:dyDescent="0.35">
      <c r="A104" s="2">
        <v>1</v>
      </c>
      <c r="B104" s="15">
        <v>0.7944444444444444</v>
      </c>
      <c r="C104" s="21" t="s">
        <v>131</v>
      </c>
      <c r="AF104" s="5" t="s">
        <v>199</v>
      </c>
      <c r="AG104" s="5" t="s">
        <v>200</v>
      </c>
      <c r="AH104" s="5" t="s">
        <v>201</v>
      </c>
      <c r="AK104" s="7"/>
      <c r="AL104" s="7"/>
    </row>
    <row r="105" spans="1:38" x14ac:dyDescent="0.35">
      <c r="A105" s="2">
        <v>1</v>
      </c>
      <c r="B105" s="15">
        <v>0.79027777777777775</v>
      </c>
      <c r="C105" s="21" t="s">
        <v>131</v>
      </c>
      <c r="Y105" s="16" t="s">
        <v>189</v>
      </c>
      <c r="Z105" s="16" t="s">
        <v>202</v>
      </c>
      <c r="AA105" s="16" t="s">
        <v>191</v>
      </c>
      <c r="AC105" s="16" t="s">
        <v>192</v>
      </c>
      <c r="AD105" s="16" t="s">
        <v>191</v>
      </c>
      <c r="AE105" s="16" t="s">
        <v>191</v>
      </c>
      <c r="AF105" s="5" t="s">
        <v>199</v>
      </c>
      <c r="AG105" s="5" t="s">
        <v>188</v>
      </c>
      <c r="AK105" s="7"/>
      <c r="AL105" s="7"/>
    </row>
    <row r="106" spans="1:38" x14ac:dyDescent="0.35">
      <c r="A106" s="2">
        <v>1</v>
      </c>
      <c r="B106" s="15">
        <v>0.78333333333333333</v>
      </c>
      <c r="C106" s="21" t="s">
        <v>131</v>
      </c>
      <c r="AF106" s="5" t="s">
        <v>203</v>
      </c>
      <c r="AG106" s="5" t="s">
        <v>200</v>
      </c>
      <c r="AH106" s="5" t="s">
        <v>202</v>
      </c>
      <c r="AK106" s="7"/>
      <c r="AL106" s="7"/>
    </row>
    <row r="107" spans="1:38" x14ac:dyDescent="0.35">
      <c r="A107" s="2">
        <v>1</v>
      </c>
      <c r="B107" s="15">
        <v>0.77916666666666667</v>
      </c>
      <c r="C107" s="21" t="s">
        <v>131</v>
      </c>
      <c r="AF107" s="5" t="s">
        <v>204</v>
      </c>
      <c r="AG107" s="5" t="s">
        <v>205</v>
      </c>
      <c r="AK107" s="7"/>
      <c r="AL107" s="7"/>
    </row>
    <row r="108" spans="1:38" x14ac:dyDescent="0.35">
      <c r="A108" s="2">
        <v>1</v>
      </c>
      <c r="B108" s="15">
        <v>0.76666666666666672</v>
      </c>
      <c r="C108" s="21" t="s">
        <v>131</v>
      </c>
      <c r="Y108" s="16" t="s">
        <v>206</v>
      </c>
      <c r="Z108" s="16" t="s">
        <v>207</v>
      </c>
      <c r="AA108" s="16" t="s">
        <v>208</v>
      </c>
      <c r="AC108" s="16" t="s">
        <v>179</v>
      </c>
      <c r="AD108" s="16" t="s">
        <v>191</v>
      </c>
      <c r="AE108" s="16" t="s">
        <v>191</v>
      </c>
      <c r="AK108" s="7"/>
      <c r="AL108" s="7"/>
    </row>
    <row r="109" spans="1:38" x14ac:dyDescent="0.35">
      <c r="A109" s="2">
        <v>1</v>
      </c>
      <c r="B109" s="15">
        <v>0.7631944444444444</v>
      </c>
      <c r="C109" s="21" t="s">
        <v>131</v>
      </c>
      <c r="Y109" s="16" t="s">
        <v>196</v>
      </c>
      <c r="Z109" s="16" t="s">
        <v>209</v>
      </c>
      <c r="AA109" s="16" t="s">
        <v>210</v>
      </c>
      <c r="AB109" s="16" t="s">
        <v>191</v>
      </c>
      <c r="AC109" s="16" t="s">
        <v>192</v>
      </c>
      <c r="AD109" s="16" t="s">
        <v>191</v>
      </c>
      <c r="AE109" s="16" t="s">
        <v>191</v>
      </c>
      <c r="AF109" s="5" t="s">
        <v>210</v>
      </c>
      <c r="AG109" s="5" t="s">
        <v>211</v>
      </c>
      <c r="AK109" s="7"/>
      <c r="AL109" s="7"/>
    </row>
    <row r="110" spans="1:38" x14ac:dyDescent="0.35">
      <c r="A110" s="2">
        <v>1</v>
      </c>
      <c r="B110" s="15">
        <v>0.75069444444444444</v>
      </c>
      <c r="C110" s="21" t="s">
        <v>131</v>
      </c>
      <c r="AF110" s="5" t="s">
        <v>212</v>
      </c>
      <c r="AG110" s="5" t="s">
        <v>194</v>
      </c>
      <c r="AH110" s="5" t="s">
        <v>191</v>
      </c>
      <c r="AI110" s="5" t="s">
        <v>195</v>
      </c>
      <c r="AJ110" s="5" t="s">
        <v>211</v>
      </c>
      <c r="AK110" s="7"/>
      <c r="AL110" s="7"/>
    </row>
    <row r="111" spans="1:38" x14ac:dyDescent="0.35">
      <c r="A111" s="2">
        <v>1</v>
      </c>
      <c r="B111" s="15">
        <v>0.7416666666666667</v>
      </c>
      <c r="C111" s="21" t="s">
        <v>131</v>
      </c>
      <c r="Y111" s="16" t="s">
        <v>189</v>
      </c>
      <c r="Z111" s="16" t="s">
        <v>187</v>
      </c>
      <c r="AA111" s="16" t="s">
        <v>191</v>
      </c>
      <c r="AC111" s="16" t="s">
        <v>192</v>
      </c>
      <c r="AD111" s="16" t="s">
        <v>213</v>
      </c>
      <c r="AE111" s="16" t="s">
        <v>191</v>
      </c>
      <c r="AF111" s="5" t="s">
        <v>214</v>
      </c>
      <c r="AG111" s="5" t="s">
        <v>200</v>
      </c>
      <c r="AH111" s="5" t="s">
        <v>187</v>
      </c>
      <c r="AK111" s="7"/>
      <c r="AL111" s="7"/>
    </row>
    <row r="112" spans="1:38" x14ac:dyDescent="0.35">
      <c r="A112" s="2">
        <v>1</v>
      </c>
      <c r="B112" s="15">
        <v>0.7270833333333333</v>
      </c>
      <c r="C112" s="21" t="s">
        <v>131</v>
      </c>
      <c r="AF112" s="5" t="s">
        <v>212</v>
      </c>
      <c r="AG112" s="5" t="s">
        <v>205</v>
      </c>
      <c r="AK112" s="7"/>
      <c r="AL112" s="7"/>
    </row>
    <row r="113" spans="1:38" x14ac:dyDescent="0.35">
      <c r="A113" s="2">
        <v>1</v>
      </c>
      <c r="B113" s="15">
        <v>0.72013888888888888</v>
      </c>
      <c r="C113" s="21" t="s">
        <v>131</v>
      </c>
      <c r="Y113" s="16" t="s">
        <v>189</v>
      </c>
      <c r="Z113" s="16" t="s">
        <v>193</v>
      </c>
      <c r="AA113" s="16" t="s">
        <v>191</v>
      </c>
      <c r="AC113" s="16" t="s">
        <v>192</v>
      </c>
      <c r="AD113" s="16" t="s">
        <v>191</v>
      </c>
      <c r="AE113" s="16" t="s">
        <v>191</v>
      </c>
      <c r="AF113" s="5" t="s">
        <v>198</v>
      </c>
      <c r="AG113" s="5" t="s">
        <v>194</v>
      </c>
      <c r="AH113" s="5" t="s">
        <v>183</v>
      </c>
      <c r="AI113" s="5" t="s">
        <v>190</v>
      </c>
      <c r="AJ113" s="5" t="s">
        <v>211</v>
      </c>
      <c r="AK113" s="7"/>
      <c r="AL113" s="7"/>
    </row>
    <row r="114" spans="1:38" x14ac:dyDescent="0.35">
      <c r="A114" s="2">
        <v>1</v>
      </c>
      <c r="B114" s="15">
        <v>0.70902777777777781</v>
      </c>
      <c r="C114" s="21" t="s">
        <v>131</v>
      </c>
      <c r="AF114" s="5" t="s">
        <v>193</v>
      </c>
      <c r="AG114" s="5" t="s">
        <v>188</v>
      </c>
      <c r="AK114" s="7"/>
      <c r="AL114" s="7"/>
    </row>
    <row r="115" spans="1:38" x14ac:dyDescent="0.35">
      <c r="A115" s="2">
        <v>1</v>
      </c>
      <c r="B115" s="15">
        <v>0.70486111111111116</v>
      </c>
      <c r="C115" s="21" t="s">
        <v>131</v>
      </c>
      <c r="Y115" s="16" t="s">
        <v>189</v>
      </c>
      <c r="Z115" s="16" t="s">
        <v>183</v>
      </c>
      <c r="AA115" s="16" t="s">
        <v>191</v>
      </c>
      <c r="AC115" s="16" t="s">
        <v>179</v>
      </c>
      <c r="AD115" s="16" t="s">
        <v>191</v>
      </c>
      <c r="AE115" s="16" t="s">
        <v>191</v>
      </c>
      <c r="AF115" s="5" t="s">
        <v>199</v>
      </c>
      <c r="AG115" s="5" t="s">
        <v>194</v>
      </c>
      <c r="AH115" s="5" t="s">
        <v>191</v>
      </c>
      <c r="AI115" s="5" t="s">
        <v>190</v>
      </c>
      <c r="AJ115" s="5" t="s">
        <v>188</v>
      </c>
      <c r="AK115" s="7"/>
      <c r="AL115" s="7"/>
    </row>
    <row r="116" spans="1:38" x14ac:dyDescent="0.35">
      <c r="A116" s="2">
        <v>1</v>
      </c>
      <c r="B116" s="15">
        <v>0.69861111111111107</v>
      </c>
      <c r="C116" s="21" t="s">
        <v>131</v>
      </c>
      <c r="Y116" s="16" t="s">
        <v>196</v>
      </c>
      <c r="Z116" s="16" t="s">
        <v>215</v>
      </c>
      <c r="AA116" s="16" t="s">
        <v>216</v>
      </c>
      <c r="AB116" s="16" t="s">
        <v>152</v>
      </c>
      <c r="AC116" s="16" t="s">
        <v>192</v>
      </c>
      <c r="AD116" s="16" t="s">
        <v>191</v>
      </c>
      <c r="AE116" s="16" t="s">
        <v>152</v>
      </c>
      <c r="AF116" s="5" t="s">
        <v>217</v>
      </c>
      <c r="AG116" s="5" t="s">
        <v>218</v>
      </c>
      <c r="AK116" s="7"/>
      <c r="AL116" s="7"/>
    </row>
    <row r="117" spans="1:38" x14ac:dyDescent="0.35">
      <c r="A117" s="2">
        <v>1</v>
      </c>
      <c r="B117" s="15">
        <v>0.68263888888888891</v>
      </c>
      <c r="C117" s="21" t="s">
        <v>131</v>
      </c>
      <c r="Y117" s="16" t="s">
        <v>196</v>
      </c>
      <c r="Z117" s="16" t="s">
        <v>219</v>
      </c>
      <c r="AA117" s="16" t="s">
        <v>216</v>
      </c>
      <c r="AB117" s="16" t="s">
        <v>152</v>
      </c>
      <c r="AC117" s="16" t="s">
        <v>192</v>
      </c>
      <c r="AD117" s="16" t="s">
        <v>191</v>
      </c>
      <c r="AE117" s="16" t="s">
        <v>191</v>
      </c>
      <c r="AF117" s="5" t="s">
        <v>204</v>
      </c>
      <c r="AG117" s="5" t="s">
        <v>188</v>
      </c>
      <c r="AK117" s="7"/>
      <c r="AL117" s="7"/>
    </row>
    <row r="118" spans="1:38" x14ac:dyDescent="0.35">
      <c r="A118" s="2">
        <v>1</v>
      </c>
      <c r="B118" s="15">
        <v>0.66041666666666665</v>
      </c>
      <c r="C118" s="21" t="s">
        <v>156</v>
      </c>
      <c r="Y118" s="16" t="s">
        <v>196</v>
      </c>
      <c r="Z118" s="16" t="s">
        <v>204</v>
      </c>
      <c r="AA118" s="16" t="s">
        <v>210</v>
      </c>
      <c r="AB118" s="16" t="s">
        <v>152</v>
      </c>
      <c r="AC118" s="16" t="s">
        <v>192</v>
      </c>
      <c r="AD118" s="16" t="s">
        <v>191</v>
      </c>
      <c r="AE118" s="16" t="s">
        <v>152</v>
      </c>
      <c r="AK118" s="7"/>
      <c r="AL118" s="7"/>
    </row>
    <row r="119" spans="1:38" x14ac:dyDescent="0.35">
      <c r="A119" s="2">
        <v>1</v>
      </c>
      <c r="B119" s="15">
        <v>0.63749999999999996</v>
      </c>
      <c r="C119" s="21" t="s">
        <v>156</v>
      </c>
      <c r="Y119" s="16" t="s">
        <v>206</v>
      </c>
      <c r="Z119" s="16" t="s">
        <v>201</v>
      </c>
      <c r="AA119" s="16" t="s">
        <v>219</v>
      </c>
      <c r="AB119" s="16" t="s">
        <v>191</v>
      </c>
      <c r="AC119" s="16" t="s">
        <v>196</v>
      </c>
      <c r="AD119" s="16" t="s">
        <v>191</v>
      </c>
      <c r="AE119" s="16" t="s">
        <v>191</v>
      </c>
      <c r="AK119" s="7"/>
      <c r="AL119" s="7"/>
    </row>
    <row r="120" spans="1:38" x14ac:dyDescent="0.35">
      <c r="A120" s="2">
        <v>1</v>
      </c>
      <c r="B120" s="15">
        <v>0.62569444444444444</v>
      </c>
      <c r="C120" s="21" t="s">
        <v>156</v>
      </c>
      <c r="Y120" s="16" t="s">
        <v>196</v>
      </c>
      <c r="Z120" s="16" t="s">
        <v>201</v>
      </c>
      <c r="AA120" s="16" t="s">
        <v>191</v>
      </c>
      <c r="AB120" s="16" t="s">
        <v>152</v>
      </c>
      <c r="AC120" s="16" t="s">
        <v>192</v>
      </c>
      <c r="AD120" s="16" t="s">
        <v>191</v>
      </c>
      <c r="AE120" s="16" t="s">
        <v>134</v>
      </c>
      <c r="AK120" s="7"/>
      <c r="AL120" s="7"/>
    </row>
    <row r="121" spans="1:38" x14ac:dyDescent="0.35">
      <c r="A121" s="2">
        <v>1</v>
      </c>
      <c r="B121" s="15">
        <v>0.60069444444444442</v>
      </c>
      <c r="C121" s="21" t="s">
        <v>156</v>
      </c>
      <c r="Y121" s="16" t="s">
        <v>189</v>
      </c>
      <c r="Z121" s="16" t="s">
        <v>216</v>
      </c>
      <c r="AA121" s="16" t="s">
        <v>191</v>
      </c>
      <c r="AB121" s="16" t="s">
        <v>152</v>
      </c>
      <c r="AC121" s="16" t="s">
        <v>179</v>
      </c>
      <c r="AD121" s="16" t="s">
        <v>191</v>
      </c>
      <c r="AE121" s="16" t="s">
        <v>152</v>
      </c>
      <c r="AK121" s="7"/>
      <c r="AL121" s="7"/>
    </row>
    <row r="122" spans="1:38" x14ac:dyDescent="0.35">
      <c r="A122" s="2">
        <v>1</v>
      </c>
      <c r="B122" s="15">
        <v>0.56458333333333333</v>
      </c>
      <c r="C122" s="21" t="s">
        <v>131</v>
      </c>
      <c r="AF122" s="5" t="s">
        <v>187</v>
      </c>
      <c r="AG122" s="5" t="s">
        <v>200</v>
      </c>
      <c r="AH122" s="5" t="s">
        <v>197</v>
      </c>
      <c r="AK122" s="7"/>
      <c r="AL122" s="7"/>
    </row>
    <row r="123" spans="1:38" x14ac:dyDescent="0.35">
      <c r="A123" s="2">
        <v>1</v>
      </c>
      <c r="B123" s="15">
        <v>0.55833333333333335</v>
      </c>
      <c r="C123" s="21" t="s">
        <v>131</v>
      </c>
      <c r="Y123" s="16" t="s">
        <v>189</v>
      </c>
      <c r="Z123" s="16" t="s">
        <v>220</v>
      </c>
      <c r="AA123" s="16" t="s">
        <v>191</v>
      </c>
      <c r="AC123" s="16" t="s">
        <v>179</v>
      </c>
      <c r="AD123" s="16" t="s">
        <v>191</v>
      </c>
      <c r="AE123" s="16" t="s">
        <v>191</v>
      </c>
      <c r="AF123" s="5" t="s">
        <v>184</v>
      </c>
      <c r="AG123" s="5" t="s">
        <v>188</v>
      </c>
      <c r="AK123" s="7"/>
      <c r="AL123" s="7"/>
    </row>
    <row r="124" spans="1:38" x14ac:dyDescent="0.35">
      <c r="A124" s="2">
        <v>1</v>
      </c>
      <c r="B124" s="15">
        <v>0.55138888888888893</v>
      </c>
      <c r="C124" s="21" t="s">
        <v>131</v>
      </c>
      <c r="AF124" s="5" t="s">
        <v>208</v>
      </c>
      <c r="AG124" s="5" t="s">
        <v>211</v>
      </c>
      <c r="AH124" s="5" t="s">
        <v>215</v>
      </c>
      <c r="AK124" s="7"/>
      <c r="AL124" s="7"/>
    </row>
    <row r="125" spans="1:38" x14ac:dyDescent="0.35">
      <c r="A125" s="2">
        <v>1</v>
      </c>
      <c r="B125" s="15">
        <v>0.54027777777777775</v>
      </c>
      <c r="C125" s="21" t="s">
        <v>131</v>
      </c>
      <c r="Y125" s="16" t="s">
        <v>189</v>
      </c>
      <c r="Z125" s="16" t="s">
        <v>221</v>
      </c>
      <c r="AA125" s="16" t="s">
        <v>191</v>
      </c>
      <c r="AC125" s="16" t="s">
        <v>192</v>
      </c>
      <c r="AD125" s="16" t="s">
        <v>221</v>
      </c>
      <c r="AE125" s="16" t="s">
        <v>191</v>
      </c>
      <c r="AF125" s="5" t="s">
        <v>222</v>
      </c>
      <c r="AG125" s="5" t="s">
        <v>194</v>
      </c>
      <c r="AH125" s="5" t="s">
        <v>223</v>
      </c>
      <c r="AI125" s="5" t="s">
        <v>190</v>
      </c>
      <c r="AJ125" s="5" t="s">
        <v>205</v>
      </c>
      <c r="AK125" s="7"/>
      <c r="AL125" s="7"/>
    </row>
    <row r="126" spans="1:38" x14ac:dyDescent="0.35">
      <c r="A126" s="2">
        <v>1</v>
      </c>
      <c r="B126" s="15">
        <v>0.51666666666666672</v>
      </c>
      <c r="C126" s="21" t="s">
        <v>131</v>
      </c>
      <c r="Y126" s="16" t="s">
        <v>189</v>
      </c>
      <c r="Z126" s="16" t="s">
        <v>221</v>
      </c>
      <c r="AA126" s="16" t="s">
        <v>199</v>
      </c>
      <c r="AC126" s="16" t="s">
        <v>192</v>
      </c>
      <c r="AD126" s="16" t="s">
        <v>191</v>
      </c>
      <c r="AE126" s="16" t="s">
        <v>191</v>
      </c>
      <c r="AF126" s="5" t="s">
        <v>198</v>
      </c>
      <c r="AG126" s="5" t="s">
        <v>194</v>
      </c>
      <c r="AH126" s="5" t="s">
        <v>186</v>
      </c>
      <c r="AI126" s="5" t="s">
        <v>199</v>
      </c>
      <c r="AJ126" s="5" t="s">
        <v>211</v>
      </c>
      <c r="AK126" s="7"/>
      <c r="AL126" s="7"/>
    </row>
    <row r="127" spans="1:38" x14ac:dyDescent="0.35">
      <c r="A127" s="2">
        <v>1</v>
      </c>
      <c r="B127" s="15">
        <v>0.50694444444444442</v>
      </c>
      <c r="C127" s="21" t="s">
        <v>131</v>
      </c>
      <c r="Y127" s="16" t="s">
        <v>182</v>
      </c>
      <c r="Z127" s="16" t="s">
        <v>148</v>
      </c>
      <c r="AD127" s="16" t="s">
        <v>215</v>
      </c>
      <c r="AF127" s="5" t="s">
        <v>195</v>
      </c>
      <c r="AG127" s="5" t="s">
        <v>185</v>
      </c>
      <c r="AH127" s="5" t="s">
        <v>215</v>
      </c>
      <c r="AK127" s="7"/>
      <c r="AL127" s="7"/>
    </row>
    <row r="128" spans="1:38" x14ac:dyDescent="0.35">
      <c r="A128" s="2">
        <v>1</v>
      </c>
      <c r="B128" s="15">
        <v>0.50069444444444444</v>
      </c>
      <c r="C128" s="21" t="s">
        <v>131</v>
      </c>
      <c r="AF128" s="5" t="s">
        <v>195</v>
      </c>
      <c r="AG128" s="5" t="s">
        <v>194</v>
      </c>
      <c r="AH128" s="5" t="s">
        <v>191</v>
      </c>
      <c r="AI128" s="5" t="s">
        <v>183</v>
      </c>
      <c r="AJ128" s="5" t="s">
        <v>205</v>
      </c>
      <c r="AK128" s="7"/>
      <c r="AL128" s="7"/>
    </row>
    <row r="129" spans="1:38" x14ac:dyDescent="0.35">
      <c r="A129" s="2">
        <v>1</v>
      </c>
      <c r="B129" s="15">
        <v>0.49652777777777779</v>
      </c>
      <c r="C129" s="21" t="s">
        <v>131</v>
      </c>
      <c r="Y129" s="16" t="s">
        <v>196</v>
      </c>
      <c r="Z129" s="16" t="s">
        <v>217</v>
      </c>
      <c r="AA129" s="16" t="s">
        <v>198</v>
      </c>
      <c r="AB129" s="16" t="s">
        <v>152</v>
      </c>
      <c r="AC129" s="16" t="s">
        <v>192</v>
      </c>
      <c r="AD129" s="16" t="s">
        <v>191</v>
      </c>
      <c r="AE129" s="16" t="s">
        <v>152</v>
      </c>
      <c r="AF129" s="5" t="s">
        <v>207</v>
      </c>
      <c r="AG129" s="5" t="s">
        <v>200</v>
      </c>
      <c r="AH129" s="5" t="s">
        <v>193</v>
      </c>
      <c r="AK129" s="7"/>
      <c r="AL129" s="7"/>
    </row>
    <row r="130" spans="1:38" x14ac:dyDescent="0.35">
      <c r="A130" s="2">
        <v>1</v>
      </c>
      <c r="B130" s="15">
        <v>0.47847222222222224</v>
      </c>
      <c r="C130" s="21" t="s">
        <v>131</v>
      </c>
      <c r="AF130" s="5" t="s">
        <v>224</v>
      </c>
      <c r="AG130" s="5" t="s">
        <v>218</v>
      </c>
      <c r="AK130" s="7"/>
      <c r="AL130" s="7"/>
    </row>
    <row r="131" spans="1:38" x14ac:dyDescent="0.35">
      <c r="A131" s="2">
        <v>1</v>
      </c>
      <c r="B131" s="15">
        <v>0.47499999999999998</v>
      </c>
      <c r="C131" s="21" t="s">
        <v>131</v>
      </c>
      <c r="Y131" s="16" t="s">
        <v>189</v>
      </c>
      <c r="Z131" s="16" t="s">
        <v>224</v>
      </c>
      <c r="AA131" s="16" t="s">
        <v>191</v>
      </c>
      <c r="AC131" s="16" t="s">
        <v>192</v>
      </c>
      <c r="AD131" s="16" t="s">
        <v>191</v>
      </c>
      <c r="AE131" s="16" t="s">
        <v>191</v>
      </c>
      <c r="AF131" s="5" t="s">
        <v>216</v>
      </c>
      <c r="AG131" s="5" t="s">
        <v>185</v>
      </c>
      <c r="AH131" s="5" t="s">
        <v>225</v>
      </c>
      <c r="AK131" s="7"/>
      <c r="AL131" s="7"/>
    </row>
    <row r="132" spans="1:38" x14ac:dyDescent="0.35">
      <c r="A132" s="2">
        <v>1</v>
      </c>
      <c r="B132" s="15">
        <v>0.45902777777777776</v>
      </c>
      <c r="C132" s="21" t="s">
        <v>131</v>
      </c>
      <c r="AF132" s="5" t="s">
        <v>186</v>
      </c>
      <c r="AG132" s="5" t="s">
        <v>205</v>
      </c>
      <c r="AH132" s="5" t="s">
        <v>213</v>
      </c>
      <c r="AK132" s="7"/>
      <c r="AL132" s="7"/>
    </row>
    <row r="133" spans="1:38" x14ac:dyDescent="0.35">
      <c r="A133" s="2">
        <v>1</v>
      </c>
      <c r="B133" s="15">
        <v>0.45208333333333334</v>
      </c>
      <c r="C133" s="21" t="s">
        <v>131</v>
      </c>
      <c r="Y133" s="16" t="s">
        <v>206</v>
      </c>
      <c r="Z133" s="16" t="s">
        <v>226</v>
      </c>
      <c r="AA133" s="16" t="s">
        <v>216</v>
      </c>
      <c r="AC133" s="16" t="s">
        <v>196</v>
      </c>
      <c r="AD133" s="16" t="s">
        <v>191</v>
      </c>
      <c r="AE133" s="16" t="s">
        <v>191</v>
      </c>
      <c r="AK133" s="7"/>
      <c r="AL133" s="7"/>
    </row>
    <row r="134" spans="1:38" x14ac:dyDescent="0.35">
      <c r="A134" s="2">
        <v>1</v>
      </c>
      <c r="B134" s="15">
        <v>0.44722222222222224</v>
      </c>
      <c r="C134" s="21" t="s">
        <v>131</v>
      </c>
      <c r="Y134" s="16" t="s">
        <v>196</v>
      </c>
      <c r="Z134" s="16" t="s">
        <v>227</v>
      </c>
      <c r="AA134" s="16" t="s">
        <v>222</v>
      </c>
      <c r="AB134" s="16" t="s">
        <v>191</v>
      </c>
      <c r="AC134" s="16" t="s">
        <v>179</v>
      </c>
      <c r="AD134" s="16" t="s">
        <v>191</v>
      </c>
      <c r="AE134" s="16" t="s">
        <v>134</v>
      </c>
      <c r="AF134" s="5" t="s">
        <v>210</v>
      </c>
      <c r="AG134" s="5" t="s">
        <v>200</v>
      </c>
      <c r="AH134" s="5" t="s">
        <v>228</v>
      </c>
      <c r="AK134" s="7"/>
      <c r="AL134" s="7"/>
    </row>
    <row r="135" spans="1:38" x14ac:dyDescent="0.35">
      <c r="A135" s="2">
        <v>1</v>
      </c>
      <c r="B135" s="15">
        <v>0.43888888888888888</v>
      </c>
      <c r="C135" s="21" t="s">
        <v>131</v>
      </c>
      <c r="AF135" s="5" t="s">
        <v>222</v>
      </c>
      <c r="AG135" s="5" t="s">
        <v>185</v>
      </c>
      <c r="AH135" s="5" t="s">
        <v>227</v>
      </c>
      <c r="AK135" s="7"/>
      <c r="AL135" s="7"/>
    </row>
    <row r="136" spans="1:38" x14ac:dyDescent="0.35">
      <c r="A136" s="2">
        <v>1</v>
      </c>
      <c r="B136" s="15">
        <v>0.43055555555555558</v>
      </c>
      <c r="C136" s="21" t="s">
        <v>131</v>
      </c>
      <c r="AF136" s="5" t="s">
        <v>226</v>
      </c>
      <c r="AG136" s="5" t="s">
        <v>185</v>
      </c>
      <c r="AK136" s="7"/>
      <c r="AL136" s="7"/>
    </row>
    <row r="137" spans="1:38" x14ac:dyDescent="0.35">
      <c r="A137" s="2">
        <v>1</v>
      </c>
      <c r="B137" s="15">
        <v>0.38055555555555554</v>
      </c>
      <c r="C137" s="21" t="s">
        <v>131</v>
      </c>
      <c r="AF137" s="5" t="s">
        <v>229</v>
      </c>
      <c r="AG137" s="5" t="s">
        <v>194</v>
      </c>
      <c r="AH137" s="5" t="s">
        <v>191</v>
      </c>
      <c r="AI137" s="5" t="s">
        <v>201</v>
      </c>
      <c r="AJ137" s="5" t="s">
        <v>188</v>
      </c>
      <c r="AK137" s="7"/>
      <c r="AL137" s="7"/>
    </row>
    <row r="138" spans="1:38" x14ac:dyDescent="0.35">
      <c r="A138" s="2">
        <v>1</v>
      </c>
      <c r="B138" s="15">
        <v>0.38194444444444442</v>
      </c>
      <c r="C138" s="21" t="s">
        <v>131</v>
      </c>
      <c r="Y138" s="16" t="s">
        <v>196</v>
      </c>
      <c r="Z138" s="16" t="s">
        <v>217</v>
      </c>
      <c r="AA138" s="16" t="s">
        <v>187</v>
      </c>
      <c r="AB138" s="16" t="s">
        <v>191</v>
      </c>
      <c r="AC138" s="16" t="s">
        <v>179</v>
      </c>
      <c r="AD138" s="16" t="s">
        <v>191</v>
      </c>
      <c r="AE138" s="16" t="s">
        <v>191</v>
      </c>
      <c r="AF138" s="5" t="s">
        <v>207</v>
      </c>
      <c r="AG138" s="5" t="s">
        <v>200</v>
      </c>
      <c r="AK138" s="7"/>
      <c r="AL138" s="7"/>
    </row>
    <row r="139" spans="1:38" x14ac:dyDescent="0.35">
      <c r="A139" s="2">
        <v>1</v>
      </c>
      <c r="B139" s="15">
        <v>0.34722222222222221</v>
      </c>
      <c r="C139" s="21" t="s">
        <v>156</v>
      </c>
      <c r="Y139" s="16" t="s">
        <v>196</v>
      </c>
      <c r="Z139" s="16" t="s">
        <v>219</v>
      </c>
      <c r="AA139" s="16" t="s">
        <v>191</v>
      </c>
      <c r="AB139" s="16" t="s">
        <v>152</v>
      </c>
      <c r="AC139" s="16" t="s">
        <v>179</v>
      </c>
      <c r="AD139" s="16" t="s">
        <v>191</v>
      </c>
      <c r="AE139" s="16" t="s">
        <v>152</v>
      </c>
      <c r="AK139" s="7"/>
      <c r="AL139" s="7"/>
    </row>
    <row r="140" spans="1:38" x14ac:dyDescent="0.35">
      <c r="A140" s="2">
        <v>1</v>
      </c>
      <c r="B140" s="15">
        <v>0.3034722222222222</v>
      </c>
      <c r="C140" s="21" t="s">
        <v>156</v>
      </c>
      <c r="Y140" s="16" t="s">
        <v>189</v>
      </c>
      <c r="Z140" s="16" t="s">
        <v>220</v>
      </c>
      <c r="AA140" s="16" t="s">
        <v>214</v>
      </c>
      <c r="AB140" s="16" t="s">
        <v>191</v>
      </c>
      <c r="AC140" s="16" t="s">
        <v>179</v>
      </c>
      <c r="AD140" s="16" t="s">
        <v>191</v>
      </c>
      <c r="AE140" s="16" t="s">
        <v>191</v>
      </c>
      <c r="AK140" s="7"/>
      <c r="AL140" s="7"/>
    </row>
    <row r="141" spans="1:38" x14ac:dyDescent="0.35">
      <c r="A141" s="2">
        <v>1</v>
      </c>
      <c r="B141" s="15">
        <v>0.29791666666666666</v>
      </c>
      <c r="C141" s="21" t="s">
        <v>181</v>
      </c>
      <c r="Y141" s="16" t="s">
        <v>196</v>
      </c>
      <c r="Z141" s="16" t="s">
        <v>221</v>
      </c>
      <c r="AA141" s="16" t="s">
        <v>191</v>
      </c>
      <c r="AB141" s="16" t="s">
        <v>191</v>
      </c>
      <c r="AC141" s="16" t="s">
        <v>192</v>
      </c>
      <c r="AD141" s="16" t="s">
        <v>191</v>
      </c>
      <c r="AE141" s="16" t="s">
        <v>191</v>
      </c>
      <c r="AK141" s="7"/>
      <c r="AL141" s="7"/>
    </row>
    <row r="142" spans="1:38" x14ac:dyDescent="0.35">
      <c r="A142" s="2">
        <v>1</v>
      </c>
      <c r="B142" s="15">
        <v>0.29097222222222224</v>
      </c>
      <c r="C142" s="21" t="s">
        <v>156</v>
      </c>
      <c r="Y142" s="16" t="s">
        <v>196</v>
      </c>
      <c r="Z142" s="16" t="s">
        <v>222</v>
      </c>
      <c r="AA142" s="16" t="s">
        <v>203</v>
      </c>
      <c r="AB142" s="16" t="s">
        <v>152</v>
      </c>
      <c r="AC142" s="16" t="s">
        <v>179</v>
      </c>
      <c r="AD142" s="16" t="s">
        <v>191</v>
      </c>
      <c r="AE142" s="16" t="s">
        <v>191</v>
      </c>
      <c r="AK142" s="7"/>
      <c r="AL142" s="7"/>
    </row>
    <row r="143" spans="1:38" x14ac:dyDescent="0.35">
      <c r="A143" s="2">
        <v>1</v>
      </c>
      <c r="B143" s="15">
        <v>0.27777777777777779</v>
      </c>
      <c r="C143" s="21" t="s">
        <v>131</v>
      </c>
      <c r="AF143" s="5" t="s">
        <v>203</v>
      </c>
      <c r="AG143" s="5" t="s">
        <v>188</v>
      </c>
      <c r="AK143" s="7"/>
      <c r="AL143" s="7"/>
    </row>
    <row r="144" spans="1:38" x14ac:dyDescent="0.35">
      <c r="A144" s="2">
        <v>1</v>
      </c>
      <c r="B144" s="15">
        <v>0.27430555555555558</v>
      </c>
      <c r="C144" s="21" t="s">
        <v>131</v>
      </c>
      <c r="Y144" s="16" t="s">
        <v>206</v>
      </c>
      <c r="Z144" s="16" t="s">
        <v>197</v>
      </c>
      <c r="AA144" s="16" t="s">
        <v>199</v>
      </c>
      <c r="AB144" s="16" t="s">
        <v>191</v>
      </c>
      <c r="AC144" s="16" t="s">
        <v>192</v>
      </c>
      <c r="AD144" s="16" t="s">
        <v>191</v>
      </c>
      <c r="AE144" s="16" t="s">
        <v>191</v>
      </c>
      <c r="AK144" s="7"/>
      <c r="AL144" s="7"/>
    </row>
    <row r="145" spans="1:38" x14ac:dyDescent="0.35">
      <c r="A145" s="2">
        <v>1</v>
      </c>
      <c r="B145" s="15">
        <v>0.27083333333333331</v>
      </c>
      <c r="C145" s="21" t="s">
        <v>131</v>
      </c>
      <c r="Y145" s="16" t="s">
        <v>196</v>
      </c>
      <c r="Z145" s="16" t="s">
        <v>216</v>
      </c>
      <c r="AA145" s="16" t="s">
        <v>187</v>
      </c>
      <c r="AB145" s="16" t="s">
        <v>152</v>
      </c>
      <c r="AC145" s="16" t="s">
        <v>179</v>
      </c>
      <c r="AD145" s="16" t="s">
        <v>191</v>
      </c>
      <c r="AE145" s="16" t="s">
        <v>152</v>
      </c>
      <c r="AF145" s="5" t="s">
        <v>230</v>
      </c>
      <c r="AG145" s="5" t="s">
        <v>188</v>
      </c>
      <c r="AK145" s="7"/>
      <c r="AL145" s="7"/>
    </row>
    <row r="146" spans="1:38" x14ac:dyDescent="0.35">
      <c r="A146" s="2">
        <v>1</v>
      </c>
      <c r="B146" s="15">
        <v>0.26111111111111113</v>
      </c>
      <c r="C146" s="21" t="s">
        <v>131</v>
      </c>
      <c r="Y146" s="16" t="s">
        <v>196</v>
      </c>
      <c r="Z146" s="16" t="s">
        <v>207</v>
      </c>
      <c r="AA146" s="16" t="s">
        <v>216</v>
      </c>
      <c r="AB146" s="16" t="s">
        <v>191</v>
      </c>
      <c r="AC146" s="16" t="s">
        <v>179</v>
      </c>
      <c r="AD146" s="16" t="s">
        <v>191</v>
      </c>
      <c r="AE146" s="16" t="s">
        <v>191</v>
      </c>
      <c r="AF146" s="5" t="s">
        <v>216</v>
      </c>
      <c r="AG146" s="5" t="s">
        <v>188</v>
      </c>
      <c r="AK146" s="7"/>
      <c r="AL146" s="7"/>
    </row>
    <row r="147" spans="1:38" x14ac:dyDescent="0.35">
      <c r="A147" s="2">
        <v>1</v>
      </c>
      <c r="B147" s="15">
        <v>0.25624999999999998</v>
      </c>
      <c r="C147" s="21" t="s">
        <v>131</v>
      </c>
      <c r="Y147" s="16" t="s">
        <v>196</v>
      </c>
      <c r="Z147" s="16" t="s">
        <v>183</v>
      </c>
      <c r="AA147" s="16" t="s">
        <v>187</v>
      </c>
      <c r="AB147" s="16" t="s">
        <v>191</v>
      </c>
      <c r="AC147" s="16" t="s">
        <v>179</v>
      </c>
      <c r="AD147" s="16" t="s">
        <v>191</v>
      </c>
      <c r="AE147" s="16" t="s">
        <v>134</v>
      </c>
      <c r="AF147" s="5" t="s">
        <v>187</v>
      </c>
      <c r="AG147" s="5" t="s">
        <v>194</v>
      </c>
      <c r="AH147" s="5" t="s">
        <v>191</v>
      </c>
      <c r="AI147" s="5" t="s">
        <v>184</v>
      </c>
      <c r="AJ147" s="5" t="s">
        <v>188</v>
      </c>
      <c r="AK147" s="7"/>
      <c r="AL147" s="7"/>
    </row>
    <row r="148" spans="1:38" x14ac:dyDescent="0.35">
      <c r="A148" s="2">
        <v>1</v>
      </c>
      <c r="B148" s="15">
        <v>0.2326388888888889</v>
      </c>
      <c r="C148" s="21" t="s">
        <v>131</v>
      </c>
      <c r="Y148" s="16" t="s">
        <v>189</v>
      </c>
      <c r="Z148" s="16" t="s">
        <v>204</v>
      </c>
      <c r="AA148" s="16" t="s">
        <v>191</v>
      </c>
      <c r="AC148" s="16" t="s">
        <v>179</v>
      </c>
      <c r="AD148" s="16" t="s">
        <v>191</v>
      </c>
      <c r="AE148" s="16" t="s">
        <v>191</v>
      </c>
      <c r="AF148" s="5" t="s">
        <v>216</v>
      </c>
      <c r="AG148" s="5" t="s">
        <v>188</v>
      </c>
      <c r="AK148" s="7"/>
      <c r="AL148" s="7"/>
    </row>
    <row r="149" spans="1:38" x14ac:dyDescent="0.35">
      <c r="A149" s="2">
        <v>1</v>
      </c>
      <c r="B149" s="15">
        <v>0.22777777777777777</v>
      </c>
      <c r="C149" s="21" t="s">
        <v>131</v>
      </c>
      <c r="AF149" s="5" t="s">
        <v>199</v>
      </c>
      <c r="AG149" s="5" t="s">
        <v>211</v>
      </c>
      <c r="AK149" s="7"/>
      <c r="AL149" s="7"/>
    </row>
    <row r="150" spans="1:38" x14ac:dyDescent="0.35">
      <c r="A150" s="2">
        <v>1</v>
      </c>
      <c r="B150" s="15">
        <v>0.22222222222222221</v>
      </c>
      <c r="C150" s="21" t="s">
        <v>131</v>
      </c>
      <c r="Y150" s="16" t="s">
        <v>189</v>
      </c>
      <c r="Z150" s="16" t="s">
        <v>190</v>
      </c>
      <c r="AA150" s="16" t="s">
        <v>191</v>
      </c>
      <c r="AC150" s="16" t="s">
        <v>196</v>
      </c>
      <c r="AD150" s="16" t="s">
        <v>191</v>
      </c>
      <c r="AE150" s="16" t="s">
        <v>191</v>
      </c>
      <c r="AF150" s="5" t="s">
        <v>193</v>
      </c>
      <c r="AG150" s="5" t="s">
        <v>194</v>
      </c>
      <c r="AH150" s="5" t="s">
        <v>215</v>
      </c>
      <c r="AI150" s="5" t="s">
        <v>195</v>
      </c>
      <c r="AJ150" s="5" t="s">
        <v>200</v>
      </c>
      <c r="AK150" s="7"/>
      <c r="AL150" s="7"/>
    </row>
    <row r="151" spans="1:38" x14ac:dyDescent="0.35">
      <c r="A151" s="2">
        <v>1</v>
      </c>
      <c r="B151" s="15">
        <v>0.2048611111111111</v>
      </c>
      <c r="C151" s="21" t="s">
        <v>131</v>
      </c>
      <c r="Y151" s="16" t="s">
        <v>189</v>
      </c>
      <c r="Z151" s="16" t="s">
        <v>195</v>
      </c>
      <c r="AA151" s="16" t="s">
        <v>191</v>
      </c>
      <c r="AC151" s="16" t="s">
        <v>179</v>
      </c>
      <c r="AD151" s="16" t="s">
        <v>191</v>
      </c>
      <c r="AE151" s="16" t="s">
        <v>191</v>
      </c>
      <c r="AF151" s="5" t="s">
        <v>231</v>
      </c>
      <c r="AG151" s="5" t="s">
        <v>194</v>
      </c>
      <c r="AH151" s="5" t="s">
        <v>186</v>
      </c>
      <c r="AI151" s="5" t="s">
        <v>202</v>
      </c>
      <c r="AJ151" s="5" t="s">
        <v>205</v>
      </c>
      <c r="AK151" s="7"/>
      <c r="AL151" s="7"/>
    </row>
    <row r="152" spans="1:38" x14ac:dyDescent="0.35">
      <c r="A152" s="2">
        <v>1</v>
      </c>
      <c r="B152" s="15">
        <v>0.18333333333333332</v>
      </c>
      <c r="C152" s="21" t="s">
        <v>131</v>
      </c>
      <c r="Y152" s="16" t="s">
        <v>189</v>
      </c>
      <c r="Z152" s="16" t="s">
        <v>202</v>
      </c>
      <c r="AA152" s="16" t="s">
        <v>191</v>
      </c>
      <c r="AC152" s="16" t="s">
        <v>192</v>
      </c>
      <c r="AD152" s="16" t="s">
        <v>191</v>
      </c>
      <c r="AE152" s="16" t="s">
        <v>191</v>
      </c>
      <c r="AF152" s="5" t="s">
        <v>193</v>
      </c>
      <c r="AG152" s="5" t="s">
        <v>194</v>
      </c>
      <c r="AH152" s="5" t="s">
        <v>220</v>
      </c>
      <c r="AI152" s="5" t="s">
        <v>227</v>
      </c>
      <c r="AJ152" s="5" t="s">
        <v>205</v>
      </c>
      <c r="AK152" s="7"/>
      <c r="AL152" s="7"/>
    </row>
    <row r="153" spans="1:38" x14ac:dyDescent="0.35">
      <c r="A153" s="2">
        <v>1</v>
      </c>
      <c r="B153" s="15">
        <v>0.1673611111111111</v>
      </c>
      <c r="C153" s="21" t="s">
        <v>131</v>
      </c>
      <c r="Y153" s="16" t="s">
        <v>196</v>
      </c>
      <c r="Z153" s="16" t="s">
        <v>227</v>
      </c>
      <c r="AA153" s="16" t="s">
        <v>220</v>
      </c>
      <c r="AB153" s="16" t="s">
        <v>191</v>
      </c>
      <c r="AC153" s="16" t="s">
        <v>192</v>
      </c>
      <c r="AD153" s="16" t="s">
        <v>191</v>
      </c>
      <c r="AE153" s="16" t="s">
        <v>152</v>
      </c>
      <c r="AK153" s="7"/>
      <c r="AL153" s="7"/>
    </row>
    <row r="154" spans="1:38" x14ac:dyDescent="0.35">
      <c r="A154" s="2">
        <v>1</v>
      </c>
      <c r="B154" s="15">
        <v>0.16180555555555556</v>
      </c>
      <c r="C154" s="21" t="s">
        <v>131</v>
      </c>
      <c r="AF154" s="5" t="s">
        <v>226</v>
      </c>
      <c r="AG154" s="5" t="s">
        <v>200</v>
      </c>
      <c r="AH154" s="5" t="s">
        <v>209</v>
      </c>
      <c r="AK154" s="7"/>
      <c r="AL154" s="7"/>
    </row>
    <row r="155" spans="1:38" x14ac:dyDescent="0.35">
      <c r="A155" s="2">
        <v>1</v>
      </c>
      <c r="B155" s="15">
        <v>0.14652777777777778</v>
      </c>
      <c r="C155" s="21" t="s">
        <v>131</v>
      </c>
      <c r="Y155" s="16" t="s">
        <v>196</v>
      </c>
      <c r="Z155" s="16" t="s">
        <v>221</v>
      </c>
      <c r="AA155" s="16" t="s">
        <v>191</v>
      </c>
      <c r="AB155" s="16" t="s">
        <v>191</v>
      </c>
      <c r="AC155" s="16" t="s">
        <v>179</v>
      </c>
      <c r="AD155" s="16" t="s">
        <v>191</v>
      </c>
      <c r="AE155" s="16" t="s">
        <v>191</v>
      </c>
      <c r="AF155" s="5" t="s">
        <v>230</v>
      </c>
      <c r="AG155" s="5" t="s">
        <v>205</v>
      </c>
      <c r="AK155" s="7"/>
      <c r="AL155" s="7"/>
    </row>
    <row r="156" spans="1:38" x14ac:dyDescent="0.35">
      <c r="A156" s="2">
        <v>1</v>
      </c>
      <c r="B156" s="15">
        <v>0.13541666666666666</v>
      </c>
      <c r="C156" s="21" t="s">
        <v>131</v>
      </c>
      <c r="Y156" s="16" t="s">
        <v>189</v>
      </c>
      <c r="Z156" s="16" t="s">
        <v>226</v>
      </c>
      <c r="AA156" s="16" t="s">
        <v>208</v>
      </c>
      <c r="AC156" s="16" t="s">
        <v>196</v>
      </c>
      <c r="AD156" s="16" t="s">
        <v>191</v>
      </c>
      <c r="AE156" s="16" t="s">
        <v>191</v>
      </c>
      <c r="AF156" s="5" t="s">
        <v>208</v>
      </c>
      <c r="AG156" s="5" t="s">
        <v>194</v>
      </c>
      <c r="AH156" s="5" t="s">
        <v>191</v>
      </c>
      <c r="AI156" s="5" t="s">
        <v>212</v>
      </c>
      <c r="AJ156" s="5" t="s">
        <v>188</v>
      </c>
      <c r="AK156" s="7"/>
      <c r="AL156" s="7"/>
    </row>
    <row r="157" spans="1:38" x14ac:dyDescent="0.35">
      <c r="A157" s="2">
        <v>1</v>
      </c>
      <c r="B157" s="15">
        <v>0.12430555555555556</v>
      </c>
      <c r="C157" s="21" t="s">
        <v>131</v>
      </c>
      <c r="Y157" s="16" t="s">
        <v>206</v>
      </c>
      <c r="Z157" s="16" t="s">
        <v>201</v>
      </c>
      <c r="AA157" s="16" t="s">
        <v>225</v>
      </c>
      <c r="AB157" s="16" t="s">
        <v>191</v>
      </c>
      <c r="AC157" s="16" t="s">
        <v>192</v>
      </c>
      <c r="AD157" s="16" t="s">
        <v>191</v>
      </c>
      <c r="AE157" s="16" t="s">
        <v>191</v>
      </c>
      <c r="AK157" s="7"/>
      <c r="AL157" s="7"/>
    </row>
    <row r="158" spans="1:38" x14ac:dyDescent="0.35">
      <c r="A158" s="2">
        <v>1</v>
      </c>
      <c r="B158" s="15">
        <v>0.11874999999999999</v>
      </c>
      <c r="C158" s="21" t="s">
        <v>131</v>
      </c>
      <c r="Y158" s="16" t="s">
        <v>189</v>
      </c>
      <c r="Z158" s="16" t="s">
        <v>224</v>
      </c>
      <c r="AA158" s="16" t="s">
        <v>203</v>
      </c>
      <c r="AC158" s="16" t="s">
        <v>179</v>
      </c>
      <c r="AD158" s="16" t="s">
        <v>224</v>
      </c>
      <c r="AE158" s="16" t="s">
        <v>191</v>
      </c>
      <c r="AF158" s="5" t="s">
        <v>201</v>
      </c>
      <c r="AG158" s="5" t="s">
        <v>205</v>
      </c>
      <c r="AK158" s="7"/>
      <c r="AL158" s="7"/>
    </row>
    <row r="159" spans="1:38" x14ac:dyDescent="0.35">
      <c r="A159" s="2">
        <v>1</v>
      </c>
      <c r="B159" s="15">
        <v>0.10486111111111111</v>
      </c>
      <c r="C159" s="21" t="s">
        <v>131</v>
      </c>
      <c r="Y159" s="16" t="s">
        <v>196</v>
      </c>
      <c r="Z159" s="16" t="s">
        <v>204</v>
      </c>
      <c r="AA159" s="16" t="s">
        <v>190</v>
      </c>
      <c r="AB159" s="16" t="s">
        <v>152</v>
      </c>
      <c r="AC159" s="16" t="s">
        <v>192</v>
      </c>
      <c r="AD159" s="16" t="s">
        <v>191</v>
      </c>
      <c r="AE159" s="16" t="s">
        <v>152</v>
      </c>
      <c r="AK159" s="7"/>
      <c r="AL159" s="7"/>
    </row>
    <row r="160" spans="1:38" x14ac:dyDescent="0.35">
      <c r="A160" s="2">
        <v>1</v>
      </c>
      <c r="B160" s="15">
        <v>9.7222222222222224E-2</v>
      </c>
      <c r="C160" s="21" t="s">
        <v>131</v>
      </c>
      <c r="AF160" s="5" t="s">
        <v>222</v>
      </c>
      <c r="AG160" s="5" t="s">
        <v>200</v>
      </c>
      <c r="AK160" s="7"/>
      <c r="AL160" s="7"/>
    </row>
    <row r="161" spans="1:38" x14ac:dyDescent="0.35">
      <c r="A161" s="2">
        <v>1</v>
      </c>
      <c r="B161" s="15">
        <v>8.4027777777777785E-2</v>
      </c>
      <c r="C161" s="21" t="s">
        <v>131</v>
      </c>
      <c r="AF161" s="5" t="s">
        <v>210</v>
      </c>
      <c r="AG161" s="5" t="s">
        <v>194</v>
      </c>
      <c r="AH161" s="5" t="s">
        <v>186</v>
      </c>
      <c r="AI161" s="5" t="s">
        <v>222</v>
      </c>
      <c r="AJ161" s="5" t="s">
        <v>200</v>
      </c>
      <c r="AK161" s="7"/>
      <c r="AL161" s="7"/>
    </row>
    <row r="162" spans="1:38" x14ac:dyDescent="0.35">
      <c r="A162" s="2">
        <v>1</v>
      </c>
      <c r="B162" s="15">
        <v>7.7777777777777779E-2</v>
      </c>
      <c r="C162" s="21" t="s">
        <v>131</v>
      </c>
      <c r="AF162" s="5" t="s">
        <v>210</v>
      </c>
      <c r="AG162" s="5" t="s">
        <v>211</v>
      </c>
      <c r="AK162" s="7"/>
      <c r="AL162" s="7"/>
    </row>
    <row r="163" spans="1:38" x14ac:dyDescent="0.35">
      <c r="A163" s="2">
        <v>1</v>
      </c>
      <c r="B163" s="15">
        <v>5.5555555555555552E-2</v>
      </c>
      <c r="C163" s="21" t="s">
        <v>131</v>
      </c>
      <c r="Y163" s="16" t="s">
        <v>182</v>
      </c>
      <c r="Z163" s="16" t="s">
        <v>148</v>
      </c>
      <c r="AD163" s="16" t="s">
        <v>220</v>
      </c>
      <c r="AE163" s="16" t="s">
        <v>134</v>
      </c>
      <c r="AF163" s="5" t="s">
        <v>216</v>
      </c>
      <c r="AG163" s="5" t="s">
        <v>194</v>
      </c>
      <c r="AH163" s="5" t="s">
        <v>219</v>
      </c>
      <c r="AI163" s="5" t="s">
        <v>232</v>
      </c>
      <c r="AJ163" s="5" t="s">
        <v>200</v>
      </c>
      <c r="AK163" s="7"/>
      <c r="AL163" s="7"/>
    </row>
    <row r="164" spans="1:38" x14ac:dyDescent="0.35">
      <c r="A164" s="2">
        <v>1</v>
      </c>
      <c r="B164" s="15">
        <v>2.4305555555555556E-2</v>
      </c>
      <c r="C164" s="21" t="s">
        <v>131</v>
      </c>
      <c r="Y164" s="16" t="s">
        <v>189</v>
      </c>
      <c r="Z164" s="16" t="s">
        <v>204</v>
      </c>
      <c r="AA164" s="16" t="s">
        <v>191</v>
      </c>
      <c r="AC164" s="16" t="s">
        <v>196</v>
      </c>
      <c r="AD164" s="16" t="s">
        <v>191</v>
      </c>
      <c r="AE164" s="16" t="s">
        <v>191</v>
      </c>
      <c r="AF164" s="5" t="s">
        <v>231</v>
      </c>
      <c r="AG164" s="5" t="s">
        <v>194</v>
      </c>
      <c r="AH164" s="5" t="s">
        <v>191</v>
      </c>
      <c r="AI164" s="5" t="s">
        <v>202</v>
      </c>
      <c r="AJ164" s="5" t="s">
        <v>205</v>
      </c>
      <c r="AK164" s="7"/>
      <c r="AL164" s="7"/>
    </row>
    <row r="165" spans="1:38" x14ac:dyDescent="0.35">
      <c r="A165" s="2">
        <v>1</v>
      </c>
      <c r="B165" s="15">
        <v>1.3888888888888888E-2</v>
      </c>
      <c r="C165" s="21" t="s">
        <v>131</v>
      </c>
      <c r="AF165" s="5" t="s">
        <v>193</v>
      </c>
      <c r="AG165" s="5" t="s">
        <v>200</v>
      </c>
      <c r="AH165" s="5" t="s">
        <v>207</v>
      </c>
      <c r="AK165" s="7"/>
      <c r="AL165" s="7"/>
    </row>
    <row r="166" spans="1:38" x14ac:dyDescent="0.35">
      <c r="A166" s="2">
        <v>2</v>
      </c>
      <c r="B166" s="15">
        <v>0.82777777777777772</v>
      </c>
      <c r="C166" s="21" t="s">
        <v>131</v>
      </c>
      <c r="AF166" s="5" t="s">
        <v>231</v>
      </c>
      <c r="AG166" s="5" t="s">
        <v>194</v>
      </c>
      <c r="AH166" s="5" t="s">
        <v>191</v>
      </c>
      <c r="AI166" s="5" t="s">
        <v>215</v>
      </c>
      <c r="AJ166" s="5" t="s">
        <v>211</v>
      </c>
      <c r="AK166" s="7"/>
      <c r="AL166" s="7"/>
    </row>
    <row r="167" spans="1:38" x14ac:dyDescent="0.35">
      <c r="A167" s="2">
        <v>2</v>
      </c>
      <c r="B167" s="15">
        <v>0.8208333333333333</v>
      </c>
      <c r="C167" s="21" t="s">
        <v>131</v>
      </c>
      <c r="Y167" s="16" t="s">
        <v>196</v>
      </c>
      <c r="Z167" s="16" t="s">
        <v>233</v>
      </c>
      <c r="AA167" s="16" t="s">
        <v>195</v>
      </c>
      <c r="AB167" s="16" t="s">
        <v>191</v>
      </c>
      <c r="AC167" s="16" t="s">
        <v>192</v>
      </c>
      <c r="AD167" s="16" t="s">
        <v>191</v>
      </c>
      <c r="AE167" s="16" t="s">
        <v>134</v>
      </c>
      <c r="AF167" s="5" t="s">
        <v>216</v>
      </c>
      <c r="AG167" s="5" t="s">
        <v>211</v>
      </c>
      <c r="AK167" s="7"/>
      <c r="AL167" s="7"/>
    </row>
    <row r="168" spans="1:38" x14ac:dyDescent="0.35">
      <c r="A168" s="2">
        <v>2</v>
      </c>
      <c r="B168" s="15">
        <v>0.81944444444444442</v>
      </c>
      <c r="C168" s="21" t="s">
        <v>131</v>
      </c>
      <c r="Y168" s="16" t="s">
        <v>196</v>
      </c>
      <c r="Z168" s="16" t="s">
        <v>202</v>
      </c>
      <c r="AA168" s="16" t="s">
        <v>216</v>
      </c>
      <c r="AB168" s="16" t="s">
        <v>191</v>
      </c>
      <c r="AC168" s="16" t="s">
        <v>196</v>
      </c>
      <c r="AD168" s="16" t="s">
        <v>191</v>
      </c>
      <c r="AE168" s="16" t="s">
        <v>152</v>
      </c>
      <c r="AF168" s="5" t="s">
        <v>197</v>
      </c>
      <c r="AG168" s="5" t="s">
        <v>205</v>
      </c>
      <c r="AK168" s="7"/>
      <c r="AL168" s="7"/>
    </row>
    <row r="169" spans="1:38" x14ac:dyDescent="0.35">
      <c r="A169" s="2">
        <v>2</v>
      </c>
      <c r="B169" s="15">
        <v>0.77638888888888891</v>
      </c>
      <c r="C169" s="21" t="s">
        <v>131</v>
      </c>
      <c r="Y169" s="16" t="s">
        <v>196</v>
      </c>
      <c r="Z169" s="16" t="s">
        <v>202</v>
      </c>
      <c r="AA169" s="16" t="s">
        <v>216</v>
      </c>
      <c r="AB169" s="16" t="s">
        <v>191</v>
      </c>
      <c r="AC169" s="16" t="s">
        <v>192</v>
      </c>
      <c r="AD169" s="16" t="s">
        <v>191</v>
      </c>
      <c r="AE169" s="16" t="s">
        <v>191</v>
      </c>
      <c r="AK169" s="7"/>
      <c r="AL169" s="7"/>
    </row>
    <row r="170" spans="1:38" x14ac:dyDescent="0.35">
      <c r="A170" s="2">
        <v>2</v>
      </c>
      <c r="B170" s="15">
        <v>0.76597222222222228</v>
      </c>
      <c r="C170" s="21" t="s">
        <v>131</v>
      </c>
      <c r="Y170" s="16" t="s">
        <v>196</v>
      </c>
      <c r="Z170" s="16" t="s">
        <v>210</v>
      </c>
      <c r="AA170" s="16" t="s">
        <v>216</v>
      </c>
      <c r="AB170" s="16" t="s">
        <v>191</v>
      </c>
      <c r="AC170" s="16" t="s">
        <v>192</v>
      </c>
      <c r="AD170" s="16" t="s">
        <v>191</v>
      </c>
      <c r="AE170" s="16" t="s">
        <v>191</v>
      </c>
      <c r="AF170" s="5" t="s">
        <v>203</v>
      </c>
      <c r="AG170" s="5" t="s">
        <v>200</v>
      </c>
      <c r="AH170" s="5" t="s">
        <v>207</v>
      </c>
      <c r="AK170" s="7"/>
      <c r="AL170" s="7"/>
    </row>
    <row r="171" spans="1:38" x14ac:dyDescent="0.35">
      <c r="A171" s="2">
        <v>2</v>
      </c>
      <c r="B171" s="15">
        <v>0.75555555555555554</v>
      </c>
      <c r="C171" s="21" t="s">
        <v>131</v>
      </c>
      <c r="AF171" s="5" t="s">
        <v>212</v>
      </c>
      <c r="AG171" s="5" t="s">
        <v>194</v>
      </c>
      <c r="AH171" s="5" t="s">
        <v>191</v>
      </c>
      <c r="AI171" s="5" t="s">
        <v>208</v>
      </c>
      <c r="AJ171" s="5" t="s">
        <v>205</v>
      </c>
      <c r="AK171" s="7"/>
      <c r="AL171" s="7"/>
    </row>
    <row r="172" spans="1:38" x14ac:dyDescent="0.35">
      <c r="A172" s="2">
        <v>2</v>
      </c>
      <c r="B172" s="15">
        <v>0.75069444444444444</v>
      </c>
      <c r="C172" s="21" t="s">
        <v>131</v>
      </c>
      <c r="Y172" s="16" t="s">
        <v>189</v>
      </c>
      <c r="Z172" s="16" t="s">
        <v>227</v>
      </c>
      <c r="AA172" s="16" t="s">
        <v>191</v>
      </c>
      <c r="AC172" s="16" t="s">
        <v>192</v>
      </c>
      <c r="AD172" s="16" t="s">
        <v>228</v>
      </c>
      <c r="AE172" s="16" t="s">
        <v>191</v>
      </c>
      <c r="AF172" s="5" t="s">
        <v>225</v>
      </c>
      <c r="AG172" s="5" t="s">
        <v>188</v>
      </c>
      <c r="AK172" s="7"/>
      <c r="AL172" s="7"/>
    </row>
    <row r="173" spans="1:38" x14ac:dyDescent="0.35">
      <c r="A173" s="2">
        <v>2</v>
      </c>
      <c r="B173" s="15">
        <v>0.73888888888888893</v>
      </c>
      <c r="C173" s="21" t="s">
        <v>131</v>
      </c>
      <c r="Y173" s="16" t="s">
        <v>196</v>
      </c>
      <c r="Z173" s="16" t="s">
        <v>224</v>
      </c>
      <c r="AA173" s="16" t="s">
        <v>208</v>
      </c>
      <c r="AB173" s="16" t="s">
        <v>152</v>
      </c>
      <c r="AC173" s="16" t="s">
        <v>192</v>
      </c>
      <c r="AD173" s="16" t="s">
        <v>191</v>
      </c>
      <c r="AE173" s="16" t="s">
        <v>191</v>
      </c>
      <c r="AF173" s="5" t="s">
        <v>227</v>
      </c>
      <c r="AG173" s="5" t="s">
        <v>200</v>
      </c>
      <c r="AH173" s="5" t="s">
        <v>226</v>
      </c>
      <c r="AK173" s="7"/>
      <c r="AL173" s="7"/>
    </row>
    <row r="174" spans="1:38" x14ac:dyDescent="0.35">
      <c r="A174" s="2">
        <v>2</v>
      </c>
      <c r="B174" s="15">
        <v>0.71736111111111112</v>
      </c>
      <c r="C174" s="21" t="s">
        <v>131</v>
      </c>
      <c r="AF174" s="5" t="s">
        <v>214</v>
      </c>
      <c r="AG174" s="5" t="s">
        <v>211</v>
      </c>
      <c r="AK174" s="7"/>
      <c r="AL174" s="7"/>
    </row>
    <row r="175" spans="1:38" x14ac:dyDescent="0.35">
      <c r="A175" s="2">
        <v>2</v>
      </c>
      <c r="B175" s="15">
        <v>0.70277777777777772</v>
      </c>
      <c r="C175" s="21" t="s">
        <v>131</v>
      </c>
      <c r="Y175" s="16" t="s">
        <v>189</v>
      </c>
      <c r="Z175" s="16" t="s">
        <v>215</v>
      </c>
      <c r="AA175" s="16" t="s">
        <v>191</v>
      </c>
      <c r="AC175" s="16" t="s">
        <v>196</v>
      </c>
      <c r="AD175" s="16" t="s">
        <v>191</v>
      </c>
      <c r="AE175" s="16" t="s">
        <v>191</v>
      </c>
      <c r="AF175" s="5" t="s">
        <v>195</v>
      </c>
      <c r="AG175" s="5" t="s">
        <v>194</v>
      </c>
      <c r="AH175" s="5" t="s">
        <v>215</v>
      </c>
      <c r="AI175" s="5" t="s">
        <v>186</v>
      </c>
      <c r="AJ175" s="5" t="s">
        <v>188</v>
      </c>
      <c r="AK175" s="7"/>
      <c r="AL175" s="7"/>
    </row>
    <row r="176" spans="1:38" x14ac:dyDescent="0.35">
      <c r="A176" s="2">
        <v>2</v>
      </c>
      <c r="B176" s="15">
        <v>0.69444444444444442</v>
      </c>
      <c r="C176" s="21" t="s">
        <v>131</v>
      </c>
      <c r="Y176" s="16" t="s">
        <v>196</v>
      </c>
      <c r="Z176" s="16" t="s">
        <v>217</v>
      </c>
      <c r="AA176" s="16" t="s">
        <v>199</v>
      </c>
      <c r="AB176" s="16" t="s">
        <v>191</v>
      </c>
      <c r="AC176" s="16" t="s">
        <v>192</v>
      </c>
      <c r="AD176" s="16" t="s">
        <v>191</v>
      </c>
      <c r="AE176" s="16" t="s">
        <v>191</v>
      </c>
      <c r="AF176" s="5" t="s">
        <v>199</v>
      </c>
      <c r="AG176" s="5" t="s">
        <v>194</v>
      </c>
      <c r="AH176" s="5" t="s">
        <v>186</v>
      </c>
      <c r="AI176" s="5" t="s">
        <v>215</v>
      </c>
      <c r="AJ176" s="5" t="s">
        <v>200</v>
      </c>
      <c r="AK176" s="7"/>
      <c r="AL176" s="7"/>
    </row>
    <row r="177" spans="1:38" x14ac:dyDescent="0.35">
      <c r="A177" s="2">
        <v>2</v>
      </c>
      <c r="B177" s="15">
        <v>0.6694444444444444</v>
      </c>
      <c r="C177" s="21" t="s">
        <v>131</v>
      </c>
      <c r="AF177" s="5" t="s">
        <v>215</v>
      </c>
      <c r="AG177" s="5" t="s">
        <v>218</v>
      </c>
      <c r="AK177" s="7"/>
      <c r="AL177" s="7"/>
    </row>
    <row r="178" spans="1:38" x14ac:dyDescent="0.35">
      <c r="A178" s="2">
        <v>2</v>
      </c>
      <c r="B178" s="15">
        <v>0.6694444444444444</v>
      </c>
      <c r="C178" s="21" t="s">
        <v>131</v>
      </c>
      <c r="Y178" s="16" t="s">
        <v>196</v>
      </c>
      <c r="Z178" s="16" t="s">
        <v>215</v>
      </c>
      <c r="AA178" s="16" t="s">
        <v>203</v>
      </c>
      <c r="AB178" s="16" t="s">
        <v>152</v>
      </c>
      <c r="AC178" s="16" t="s">
        <v>192</v>
      </c>
      <c r="AD178" s="16" t="s">
        <v>191</v>
      </c>
      <c r="AE178" s="16" t="s">
        <v>152</v>
      </c>
      <c r="AK178" s="7"/>
      <c r="AL178" s="7"/>
    </row>
    <row r="179" spans="1:38" x14ac:dyDescent="0.35">
      <c r="A179" s="2">
        <v>2</v>
      </c>
      <c r="B179" s="15">
        <v>0.66111111111111109</v>
      </c>
      <c r="C179" s="21" t="s">
        <v>131</v>
      </c>
      <c r="AF179" s="5" t="s">
        <v>203</v>
      </c>
      <c r="AG179" s="5" t="s">
        <v>205</v>
      </c>
      <c r="AK179" s="7"/>
      <c r="AL179" s="7"/>
    </row>
    <row r="180" spans="1:38" x14ac:dyDescent="0.35">
      <c r="A180" s="2">
        <v>2</v>
      </c>
      <c r="B180" s="15">
        <v>0.65833333333333333</v>
      </c>
      <c r="C180" s="21" t="s">
        <v>131</v>
      </c>
      <c r="Y180" s="16" t="s">
        <v>189</v>
      </c>
      <c r="Z180" s="16" t="s">
        <v>201</v>
      </c>
      <c r="AA180" s="16" t="s">
        <v>191</v>
      </c>
      <c r="AC180" s="16" t="s">
        <v>192</v>
      </c>
      <c r="AD180" s="16" t="s">
        <v>191</v>
      </c>
      <c r="AE180" s="16" t="s">
        <v>191</v>
      </c>
      <c r="AF180" s="5" t="s">
        <v>220</v>
      </c>
      <c r="AG180" s="5" t="s">
        <v>185</v>
      </c>
      <c r="AH180" s="5" t="s">
        <v>201</v>
      </c>
      <c r="AK180" s="7"/>
      <c r="AL180" s="7"/>
    </row>
    <row r="181" spans="1:38" x14ac:dyDescent="0.35">
      <c r="A181" s="2">
        <v>2</v>
      </c>
      <c r="B181" s="15">
        <v>0.63194444444444442</v>
      </c>
      <c r="C181" s="21" t="s">
        <v>156</v>
      </c>
      <c r="Y181" s="16" t="s">
        <v>189</v>
      </c>
      <c r="Z181" s="16" t="s">
        <v>204</v>
      </c>
      <c r="AA181" s="16" t="s">
        <v>220</v>
      </c>
      <c r="AB181" s="16" t="s">
        <v>152</v>
      </c>
      <c r="AC181" s="16" t="s">
        <v>179</v>
      </c>
      <c r="AD181" s="16" t="s">
        <v>191</v>
      </c>
      <c r="AE181" s="16" t="s">
        <v>191</v>
      </c>
      <c r="AK181" s="7"/>
      <c r="AL181" s="7"/>
    </row>
    <row r="182" spans="1:38" x14ac:dyDescent="0.35">
      <c r="A182" s="2">
        <v>2</v>
      </c>
      <c r="B182" s="15">
        <v>0.58472222222222225</v>
      </c>
      <c r="C182" s="21" t="s">
        <v>156</v>
      </c>
      <c r="Y182" s="16" t="s">
        <v>196</v>
      </c>
      <c r="Z182" s="16" t="s">
        <v>197</v>
      </c>
      <c r="AA182" s="16" t="s">
        <v>191</v>
      </c>
      <c r="AB182" s="16" t="s">
        <v>152</v>
      </c>
      <c r="AC182" s="16" t="s">
        <v>192</v>
      </c>
      <c r="AD182" s="16" t="s">
        <v>191</v>
      </c>
      <c r="AE182" s="16" t="s">
        <v>191</v>
      </c>
      <c r="AK182" s="7"/>
      <c r="AL182" s="7"/>
    </row>
    <row r="183" spans="1:38" x14ac:dyDescent="0.35">
      <c r="A183" s="2">
        <v>2</v>
      </c>
      <c r="B183" s="15">
        <v>0.55902777777777779</v>
      </c>
      <c r="C183" s="21" t="s">
        <v>131</v>
      </c>
      <c r="Y183" s="16" t="s">
        <v>189</v>
      </c>
      <c r="Z183" s="16" t="s">
        <v>213</v>
      </c>
      <c r="AA183" s="16" t="s">
        <v>208</v>
      </c>
      <c r="AC183" s="16" t="s">
        <v>179</v>
      </c>
      <c r="AD183" s="16" t="s">
        <v>191</v>
      </c>
      <c r="AE183" s="16" t="s">
        <v>191</v>
      </c>
      <c r="AF183" s="5" t="s">
        <v>212</v>
      </c>
      <c r="AG183" s="5" t="s">
        <v>194</v>
      </c>
      <c r="AH183" s="5" t="s">
        <v>213</v>
      </c>
      <c r="AI183" s="5" t="s">
        <v>227</v>
      </c>
      <c r="AJ183" s="5" t="s">
        <v>200</v>
      </c>
      <c r="AK183" s="7"/>
      <c r="AL183" s="7"/>
    </row>
    <row r="184" spans="1:38" x14ac:dyDescent="0.35">
      <c r="A184" s="2">
        <v>2</v>
      </c>
      <c r="B184" s="15">
        <v>0.54861111111111116</v>
      </c>
      <c r="C184" s="21" t="s">
        <v>131</v>
      </c>
      <c r="AF184" s="5" t="s">
        <v>228</v>
      </c>
      <c r="AG184" s="5" t="s">
        <v>200</v>
      </c>
      <c r="AK184" s="7"/>
      <c r="AL184" s="7"/>
    </row>
    <row r="185" spans="1:38" x14ac:dyDescent="0.35">
      <c r="A185" s="2">
        <v>2</v>
      </c>
      <c r="B185" s="15">
        <v>0.53680555555555554</v>
      </c>
      <c r="C185" s="21" t="s">
        <v>131</v>
      </c>
      <c r="AF185" s="5" t="s">
        <v>212</v>
      </c>
      <c r="AG185" s="5" t="s">
        <v>211</v>
      </c>
      <c r="AH185" s="5" t="s">
        <v>213</v>
      </c>
    </row>
    <row r="186" spans="1:38" x14ac:dyDescent="0.35">
      <c r="A186" s="2">
        <v>2</v>
      </c>
      <c r="B186" s="15">
        <v>0.50694444444444442</v>
      </c>
      <c r="C186" s="21" t="s">
        <v>131</v>
      </c>
      <c r="Y186" s="16" t="s">
        <v>206</v>
      </c>
      <c r="Z186" s="16" t="s">
        <v>186</v>
      </c>
      <c r="AA186" s="16" t="s">
        <v>210</v>
      </c>
      <c r="AC186" s="16" t="s">
        <v>192</v>
      </c>
      <c r="AD186" s="16" t="s">
        <v>191</v>
      </c>
      <c r="AE186" s="16" t="s">
        <v>191</v>
      </c>
    </row>
    <row r="187" spans="1:38" x14ac:dyDescent="0.35">
      <c r="A187" s="2">
        <v>2</v>
      </c>
      <c r="B187" s="15">
        <v>0.50138888888888888</v>
      </c>
      <c r="C187" s="21" t="s">
        <v>131</v>
      </c>
      <c r="Y187" s="16" t="s">
        <v>189</v>
      </c>
      <c r="Z187" s="16" t="s">
        <v>207</v>
      </c>
      <c r="AA187" s="16" t="s">
        <v>191</v>
      </c>
      <c r="AC187" s="16" t="s">
        <v>192</v>
      </c>
      <c r="AD187" s="16" t="s">
        <v>191</v>
      </c>
      <c r="AE187" s="16" t="s">
        <v>191</v>
      </c>
      <c r="AF187" s="5" t="s">
        <v>229</v>
      </c>
      <c r="AG187" s="5" t="s">
        <v>194</v>
      </c>
      <c r="AH187" s="5" t="s">
        <v>224</v>
      </c>
      <c r="AI187" s="5" t="s">
        <v>193</v>
      </c>
      <c r="AJ187" s="5" t="s">
        <v>188</v>
      </c>
    </row>
    <row r="188" spans="1:38" x14ac:dyDescent="0.35">
      <c r="A188" s="2">
        <v>2</v>
      </c>
      <c r="B188" s="15">
        <v>0.49236111111111114</v>
      </c>
      <c r="C188" s="21" t="s">
        <v>131</v>
      </c>
      <c r="Y188" s="16" t="s">
        <v>196</v>
      </c>
      <c r="Z188" s="16" t="s">
        <v>217</v>
      </c>
      <c r="AA188" s="16" t="s">
        <v>222</v>
      </c>
      <c r="AB188" s="16" t="s">
        <v>191</v>
      </c>
      <c r="AC188" s="16" t="s">
        <v>196</v>
      </c>
      <c r="AD188" s="16" t="s">
        <v>191</v>
      </c>
      <c r="AE188" s="16" t="s">
        <v>152</v>
      </c>
    </row>
    <row r="189" spans="1:38" x14ac:dyDescent="0.35">
      <c r="A189" s="2">
        <v>2</v>
      </c>
      <c r="B189" s="15">
        <v>0.47083333333333333</v>
      </c>
      <c r="C189" s="21" t="s">
        <v>131</v>
      </c>
      <c r="Y189" s="16" t="s">
        <v>189</v>
      </c>
      <c r="Z189" s="16" t="s">
        <v>225</v>
      </c>
      <c r="AA189" s="16" t="s">
        <v>203</v>
      </c>
      <c r="AC189" s="16" t="s">
        <v>179</v>
      </c>
      <c r="AD189" s="16" t="s">
        <v>191</v>
      </c>
      <c r="AE189" s="16" t="s">
        <v>191</v>
      </c>
      <c r="AF189" s="5" t="s">
        <v>197</v>
      </c>
      <c r="AG189" s="5" t="s">
        <v>194</v>
      </c>
      <c r="AH189" s="5" t="s">
        <v>202</v>
      </c>
      <c r="AI189" s="5" t="s">
        <v>201</v>
      </c>
      <c r="AJ189" s="5" t="s">
        <v>211</v>
      </c>
    </row>
    <row r="190" spans="1:38" x14ac:dyDescent="0.35">
      <c r="A190" s="2">
        <v>2</v>
      </c>
      <c r="B190" s="15">
        <v>0.45902777777777776</v>
      </c>
      <c r="C190" s="21" t="s">
        <v>131</v>
      </c>
      <c r="Y190" s="16" t="s">
        <v>182</v>
      </c>
      <c r="AF190" s="5" t="s">
        <v>199</v>
      </c>
      <c r="AG190" s="5" t="s">
        <v>188</v>
      </c>
    </row>
    <row r="191" spans="1:38" x14ac:dyDescent="0.35">
      <c r="A191" s="2">
        <v>2</v>
      </c>
      <c r="B191" s="15">
        <v>0.45347222222222222</v>
      </c>
      <c r="C191" s="21" t="s">
        <v>131</v>
      </c>
      <c r="Y191" s="16" t="s">
        <v>189</v>
      </c>
      <c r="Z191" s="16" t="s">
        <v>220</v>
      </c>
      <c r="AA191" s="16" t="s">
        <v>212</v>
      </c>
      <c r="AC191" s="16" t="s">
        <v>196</v>
      </c>
      <c r="AD191" s="16" t="s">
        <v>220</v>
      </c>
      <c r="AE191" s="16" t="s">
        <v>191</v>
      </c>
      <c r="AF191" s="5" t="s">
        <v>208</v>
      </c>
      <c r="AG191" s="5" t="s">
        <v>211</v>
      </c>
    </row>
    <row r="192" spans="1:38" x14ac:dyDescent="0.35">
      <c r="A192" s="2">
        <v>2</v>
      </c>
      <c r="B192" s="15">
        <v>0.44097222222222221</v>
      </c>
      <c r="C192" s="21" t="s">
        <v>131</v>
      </c>
      <c r="AF192" s="5" t="s">
        <v>198</v>
      </c>
      <c r="AG192" s="5" t="s">
        <v>194</v>
      </c>
      <c r="AH192" s="5" t="s">
        <v>191</v>
      </c>
      <c r="AI192" s="5" t="s">
        <v>199</v>
      </c>
      <c r="AJ192" s="5" t="s">
        <v>188</v>
      </c>
    </row>
    <row r="193" spans="1:36" x14ac:dyDescent="0.35">
      <c r="A193" s="2">
        <v>2</v>
      </c>
      <c r="B193" s="15">
        <v>0.4375</v>
      </c>
      <c r="C193" s="21" t="s">
        <v>131</v>
      </c>
      <c r="Y193" s="16" t="s">
        <v>189</v>
      </c>
      <c r="Z193" s="16" t="s">
        <v>219</v>
      </c>
      <c r="AA193" s="16" t="s">
        <v>191</v>
      </c>
      <c r="AC193" s="16" t="s">
        <v>179</v>
      </c>
      <c r="AD193" s="16" t="s">
        <v>191</v>
      </c>
      <c r="AE193" s="16" t="s">
        <v>191</v>
      </c>
      <c r="AF193" s="5" t="s">
        <v>229</v>
      </c>
      <c r="AG193" s="5" t="s">
        <v>194</v>
      </c>
      <c r="AH193" s="5" t="s">
        <v>219</v>
      </c>
      <c r="AI193" s="5" t="s">
        <v>212</v>
      </c>
      <c r="AJ193" s="5" t="s">
        <v>188</v>
      </c>
    </row>
    <row r="194" spans="1:36" x14ac:dyDescent="0.35">
      <c r="A194" s="2">
        <v>2</v>
      </c>
      <c r="B194" s="15">
        <v>0.43194444444444446</v>
      </c>
      <c r="C194" s="21" t="s">
        <v>131</v>
      </c>
      <c r="Y194" s="16" t="s">
        <v>196</v>
      </c>
      <c r="Z194" s="16" t="s">
        <v>209</v>
      </c>
      <c r="AA194" s="16" t="s">
        <v>191</v>
      </c>
      <c r="AB194" s="16" t="s">
        <v>191</v>
      </c>
      <c r="AC194" s="16" t="s">
        <v>179</v>
      </c>
      <c r="AD194" s="16" t="s">
        <v>191</v>
      </c>
      <c r="AE194" s="16" t="s">
        <v>191</v>
      </c>
      <c r="AF194" s="5" t="s">
        <v>184</v>
      </c>
      <c r="AG194" s="5" t="s">
        <v>188</v>
      </c>
    </row>
    <row r="195" spans="1:36" x14ac:dyDescent="0.35">
      <c r="A195" s="2">
        <v>2</v>
      </c>
      <c r="B195" s="15">
        <v>0.42569444444444443</v>
      </c>
      <c r="C195" s="21" t="s">
        <v>131</v>
      </c>
      <c r="Y195" s="16" t="s">
        <v>189</v>
      </c>
      <c r="Z195" s="16" t="s">
        <v>230</v>
      </c>
      <c r="AA195" s="16" t="s">
        <v>203</v>
      </c>
      <c r="AC195" s="16" t="s">
        <v>179</v>
      </c>
      <c r="AD195" s="16" t="s">
        <v>226</v>
      </c>
      <c r="AE195" s="16" t="s">
        <v>191</v>
      </c>
    </row>
    <row r="196" spans="1:36" x14ac:dyDescent="0.35">
      <c r="A196" s="2">
        <v>2</v>
      </c>
      <c r="B196" s="15">
        <v>0.41805555555555557</v>
      </c>
      <c r="C196" s="21" t="s">
        <v>131</v>
      </c>
      <c r="Y196" s="16" t="s">
        <v>206</v>
      </c>
      <c r="Z196" s="16" t="s">
        <v>223</v>
      </c>
      <c r="AA196" s="16" t="s">
        <v>187</v>
      </c>
      <c r="AC196" s="16" t="s">
        <v>179</v>
      </c>
      <c r="AD196" s="16" t="s">
        <v>191</v>
      </c>
      <c r="AE196" s="16" t="s">
        <v>191</v>
      </c>
    </row>
    <row r="197" spans="1:36" x14ac:dyDescent="0.35">
      <c r="A197" s="2">
        <v>2</v>
      </c>
      <c r="B197" s="15">
        <v>0.41180555555555554</v>
      </c>
      <c r="C197" s="21" t="s">
        <v>131</v>
      </c>
      <c r="Y197" s="16" t="s">
        <v>189</v>
      </c>
      <c r="Z197" s="16" t="s">
        <v>230</v>
      </c>
      <c r="AA197" s="16" t="s">
        <v>191</v>
      </c>
      <c r="AC197" s="16" t="s">
        <v>179</v>
      </c>
      <c r="AD197" s="16" t="s">
        <v>191</v>
      </c>
      <c r="AE197" s="16" t="s">
        <v>191</v>
      </c>
      <c r="AF197" s="5" t="s">
        <v>229</v>
      </c>
      <c r="AG197" s="5" t="s">
        <v>200</v>
      </c>
      <c r="AH197" s="5" t="s">
        <v>226</v>
      </c>
    </row>
    <row r="198" spans="1:36" x14ac:dyDescent="0.35">
      <c r="A198" s="2">
        <v>2</v>
      </c>
      <c r="B198" s="15">
        <v>0.40486111111111112</v>
      </c>
      <c r="C198" s="21" t="s">
        <v>131</v>
      </c>
      <c r="AF198" s="5" t="s">
        <v>183</v>
      </c>
      <c r="AG198" s="5" t="s">
        <v>211</v>
      </c>
    </row>
    <row r="199" spans="1:36" x14ac:dyDescent="0.35">
      <c r="A199" s="2">
        <v>2</v>
      </c>
      <c r="B199" s="15">
        <v>0.39930555555555558</v>
      </c>
      <c r="C199" s="21" t="s">
        <v>131</v>
      </c>
      <c r="AF199" s="5" t="s">
        <v>216</v>
      </c>
      <c r="AG199" s="5" t="s">
        <v>200</v>
      </c>
    </row>
    <row r="200" spans="1:36" x14ac:dyDescent="0.35">
      <c r="A200" s="2">
        <v>2</v>
      </c>
      <c r="B200" s="15">
        <v>0.39444444444444443</v>
      </c>
      <c r="C200" s="21" t="s">
        <v>131</v>
      </c>
      <c r="AF200" s="5" t="s">
        <v>221</v>
      </c>
      <c r="AG200" s="5" t="s">
        <v>205</v>
      </c>
    </row>
    <row r="201" spans="1:36" x14ac:dyDescent="0.35">
      <c r="A201" s="2">
        <v>2</v>
      </c>
      <c r="B201" s="15">
        <v>0.3888888888888889</v>
      </c>
      <c r="C201" s="21" t="s">
        <v>131</v>
      </c>
      <c r="Y201" s="16" t="s">
        <v>189</v>
      </c>
      <c r="Z201" s="16" t="s">
        <v>222</v>
      </c>
      <c r="AA201" s="16" t="s">
        <v>191</v>
      </c>
      <c r="AC201" s="16" t="s">
        <v>179</v>
      </c>
      <c r="AD201" s="16" t="s">
        <v>191</v>
      </c>
      <c r="AE201" s="16" t="s">
        <v>191</v>
      </c>
      <c r="AF201" s="5" t="s">
        <v>217</v>
      </c>
      <c r="AG201" s="5" t="s">
        <v>194</v>
      </c>
      <c r="AH201" s="5" t="s">
        <v>191</v>
      </c>
      <c r="AI201" s="5" t="s">
        <v>186</v>
      </c>
      <c r="AJ201" s="5" t="s">
        <v>218</v>
      </c>
    </row>
    <row r="202" spans="1:36" x14ac:dyDescent="0.35">
      <c r="A202" s="2">
        <v>2</v>
      </c>
      <c r="B202" s="15">
        <v>0.37777777777777777</v>
      </c>
      <c r="C202" s="21" t="s">
        <v>131</v>
      </c>
      <c r="Y202" s="16" t="s">
        <v>196</v>
      </c>
      <c r="Z202" s="16" t="s">
        <v>186</v>
      </c>
      <c r="AA202" s="16" t="s">
        <v>210</v>
      </c>
      <c r="AB202" s="16" t="s">
        <v>152</v>
      </c>
      <c r="AC202" s="16" t="s">
        <v>192</v>
      </c>
      <c r="AD202" s="16" t="s">
        <v>191</v>
      </c>
      <c r="AE202" s="16" t="s">
        <v>191</v>
      </c>
      <c r="AF202" s="5" t="s">
        <v>222</v>
      </c>
      <c r="AG202" s="5" t="s">
        <v>188</v>
      </c>
    </row>
    <row r="203" spans="1:36" x14ac:dyDescent="0.35">
      <c r="A203" s="2">
        <v>2</v>
      </c>
      <c r="B203" s="15">
        <v>0.34583333333333333</v>
      </c>
      <c r="C203" s="21" t="s">
        <v>131</v>
      </c>
      <c r="Y203" s="16" t="s">
        <v>196</v>
      </c>
      <c r="Z203" s="16" t="s">
        <v>215</v>
      </c>
      <c r="AA203" s="16" t="s">
        <v>228</v>
      </c>
      <c r="AB203" s="16" t="s">
        <v>152</v>
      </c>
      <c r="AC203" s="16" t="s">
        <v>192</v>
      </c>
      <c r="AD203" s="16" t="s">
        <v>191</v>
      </c>
      <c r="AE203" s="16" t="s">
        <v>191</v>
      </c>
      <c r="AF203" s="5" t="s">
        <v>195</v>
      </c>
      <c r="AG203" s="5" t="s">
        <v>211</v>
      </c>
    </row>
    <row r="204" spans="1:36" x14ac:dyDescent="0.35">
      <c r="A204" s="2">
        <v>2</v>
      </c>
      <c r="B204" s="15">
        <v>0.33611111111111114</v>
      </c>
      <c r="C204" s="21" t="s">
        <v>131</v>
      </c>
      <c r="Y204" s="16" t="s">
        <v>182</v>
      </c>
      <c r="Z204" s="16" t="s">
        <v>132</v>
      </c>
      <c r="AD204" s="16" t="s">
        <v>228</v>
      </c>
      <c r="AF204" s="5" t="s">
        <v>198</v>
      </c>
      <c r="AG204" s="5" t="s">
        <v>185</v>
      </c>
      <c r="AH204" s="5" t="s">
        <v>214</v>
      </c>
    </row>
    <row r="205" spans="1:36" x14ac:dyDescent="0.35">
      <c r="A205" s="2">
        <v>2</v>
      </c>
      <c r="B205" s="15">
        <v>0.31944444444444442</v>
      </c>
      <c r="C205" s="21" t="s">
        <v>131</v>
      </c>
      <c r="AF205" s="5" t="s">
        <v>198</v>
      </c>
      <c r="AG205" s="5" t="s">
        <v>194</v>
      </c>
      <c r="AH205" s="5" t="s">
        <v>212</v>
      </c>
      <c r="AI205" s="5" t="s">
        <v>224</v>
      </c>
      <c r="AJ205" s="5" t="s">
        <v>200</v>
      </c>
    </row>
    <row r="206" spans="1:36" x14ac:dyDescent="0.35">
      <c r="A206" s="2">
        <v>2</v>
      </c>
      <c r="B206" s="15">
        <v>0.30625000000000002</v>
      </c>
      <c r="C206" s="21" t="s">
        <v>131</v>
      </c>
      <c r="Y206" s="16" t="s">
        <v>196</v>
      </c>
      <c r="Z206" s="16" t="s">
        <v>204</v>
      </c>
      <c r="AA206" s="16" t="s">
        <v>187</v>
      </c>
      <c r="AB206" s="16" t="s">
        <v>152</v>
      </c>
      <c r="AC206" s="16" t="s">
        <v>192</v>
      </c>
      <c r="AD206" s="16" t="s">
        <v>191</v>
      </c>
      <c r="AE206" s="16" t="s">
        <v>191</v>
      </c>
      <c r="AF206" s="5" t="s">
        <v>184</v>
      </c>
      <c r="AG206" s="5" t="s">
        <v>194</v>
      </c>
      <c r="AH206" s="5" t="s">
        <v>197</v>
      </c>
      <c r="AI206" s="5" t="s">
        <v>184</v>
      </c>
      <c r="AJ206" s="5" t="s">
        <v>188</v>
      </c>
    </row>
    <row r="207" spans="1:36" x14ac:dyDescent="0.35">
      <c r="A207" s="2">
        <v>2</v>
      </c>
      <c r="B207" s="15">
        <v>0.29722222222222222</v>
      </c>
      <c r="C207" s="21" t="s">
        <v>131</v>
      </c>
      <c r="Y207" s="16" t="s">
        <v>189</v>
      </c>
      <c r="Z207" s="16" t="s">
        <v>224</v>
      </c>
      <c r="AA207" s="16" t="s">
        <v>216</v>
      </c>
      <c r="AC207" s="16" t="s">
        <v>192</v>
      </c>
      <c r="AD207" s="16" t="s">
        <v>191</v>
      </c>
      <c r="AE207" s="16" t="s">
        <v>191</v>
      </c>
      <c r="AF207" s="5" t="s">
        <v>203</v>
      </c>
      <c r="AG207" s="5" t="s">
        <v>194</v>
      </c>
      <c r="AH207" s="5" t="s">
        <v>202</v>
      </c>
      <c r="AI207" s="5" t="s">
        <v>204</v>
      </c>
      <c r="AJ207" s="5" t="s">
        <v>200</v>
      </c>
    </row>
    <row r="208" spans="1:36" x14ac:dyDescent="0.35">
      <c r="A208" s="2">
        <v>2</v>
      </c>
      <c r="B208" s="15">
        <v>0.28055555555555556</v>
      </c>
      <c r="C208" s="21" t="s">
        <v>131</v>
      </c>
      <c r="AF208" s="5" t="s">
        <v>203</v>
      </c>
      <c r="AG208" s="5" t="s">
        <v>194</v>
      </c>
      <c r="AH208" s="5" t="s">
        <v>191</v>
      </c>
      <c r="AI208" s="5" t="s">
        <v>204</v>
      </c>
      <c r="AJ208" s="5" t="s">
        <v>205</v>
      </c>
    </row>
    <row r="209" spans="1:36" x14ac:dyDescent="0.35">
      <c r="A209" s="2">
        <v>2</v>
      </c>
      <c r="B209" s="15">
        <v>0.27291666666666664</v>
      </c>
      <c r="C209" s="21" t="s">
        <v>131</v>
      </c>
      <c r="Y209" s="16" t="s">
        <v>196</v>
      </c>
      <c r="Z209" s="16" t="s">
        <v>220</v>
      </c>
      <c r="AA209" s="16" t="s">
        <v>195</v>
      </c>
      <c r="AB209" s="16" t="s">
        <v>152</v>
      </c>
      <c r="AC209" s="16" t="s">
        <v>192</v>
      </c>
      <c r="AD209" s="16" t="s">
        <v>191</v>
      </c>
      <c r="AE209" s="16" t="s">
        <v>191</v>
      </c>
    </row>
    <row r="210" spans="1:36" x14ac:dyDescent="0.35">
      <c r="A210" s="2">
        <v>2</v>
      </c>
      <c r="B210" s="15">
        <v>0.26319444444444445</v>
      </c>
      <c r="C210" s="21" t="s">
        <v>131</v>
      </c>
      <c r="AF210" s="5" t="s">
        <v>203</v>
      </c>
      <c r="AG210" s="5" t="s">
        <v>211</v>
      </c>
    </row>
    <row r="211" spans="1:36" x14ac:dyDescent="0.35">
      <c r="A211" s="2">
        <v>2</v>
      </c>
      <c r="B211" s="15">
        <v>0.2590277777777778</v>
      </c>
      <c r="C211" s="21" t="s">
        <v>131</v>
      </c>
      <c r="Y211" s="16" t="s">
        <v>189</v>
      </c>
      <c r="Z211" s="16" t="s">
        <v>199</v>
      </c>
      <c r="AA211" s="16" t="s">
        <v>191</v>
      </c>
      <c r="AC211" s="16" t="s">
        <v>179</v>
      </c>
      <c r="AD211" s="16" t="s">
        <v>191</v>
      </c>
      <c r="AE211" s="16" t="s">
        <v>191</v>
      </c>
    </row>
    <row r="212" spans="1:36" x14ac:dyDescent="0.35">
      <c r="A212" s="2">
        <v>2</v>
      </c>
      <c r="B212" s="15">
        <v>0.25277777777777777</v>
      </c>
      <c r="C212" s="21" t="s">
        <v>131</v>
      </c>
      <c r="AF212" s="5" t="s">
        <v>195</v>
      </c>
      <c r="AG212" s="5" t="s">
        <v>200</v>
      </c>
      <c r="AH212" s="5" t="s">
        <v>233</v>
      </c>
    </row>
    <row r="213" spans="1:36" x14ac:dyDescent="0.35">
      <c r="A213" s="2">
        <v>2</v>
      </c>
      <c r="B213" s="15">
        <v>0.24166666666666667</v>
      </c>
      <c r="C213" s="21" t="s">
        <v>131</v>
      </c>
      <c r="AF213" s="5" t="s">
        <v>208</v>
      </c>
      <c r="AG213" s="5" t="s">
        <v>188</v>
      </c>
    </row>
    <row r="214" spans="1:36" x14ac:dyDescent="0.35">
      <c r="A214" s="2">
        <v>2</v>
      </c>
      <c r="B214" s="15">
        <v>0.23819444444444443</v>
      </c>
      <c r="C214" s="21" t="s">
        <v>131</v>
      </c>
      <c r="Y214" s="16" t="s">
        <v>206</v>
      </c>
      <c r="Z214" s="16" t="s">
        <v>204</v>
      </c>
      <c r="AA214" s="16" t="s">
        <v>191</v>
      </c>
      <c r="AC214" s="16" t="s">
        <v>196</v>
      </c>
      <c r="AD214" s="16" t="s">
        <v>191</v>
      </c>
      <c r="AE214" s="16" t="s">
        <v>191</v>
      </c>
    </row>
    <row r="215" spans="1:36" x14ac:dyDescent="0.35">
      <c r="A215" s="2">
        <v>2</v>
      </c>
      <c r="B215" s="15">
        <v>0.2326388888888889</v>
      </c>
      <c r="C215" s="21" t="s">
        <v>131</v>
      </c>
      <c r="Y215" s="16" t="s">
        <v>189</v>
      </c>
      <c r="Z215" s="16" t="s">
        <v>187</v>
      </c>
      <c r="AA215" s="16" t="s">
        <v>191</v>
      </c>
      <c r="AC215" s="16" t="s">
        <v>192</v>
      </c>
      <c r="AD215" s="16" t="s">
        <v>219</v>
      </c>
      <c r="AE215" s="16" t="s">
        <v>191</v>
      </c>
      <c r="AF215" s="5" t="s">
        <v>229</v>
      </c>
      <c r="AG215" s="5" t="s">
        <v>200</v>
      </c>
    </row>
    <row r="216" spans="1:36" x14ac:dyDescent="0.35">
      <c r="A216" s="2">
        <v>2</v>
      </c>
      <c r="B216" s="15">
        <v>0.20208333333333334</v>
      </c>
      <c r="C216" s="21" t="s">
        <v>131</v>
      </c>
      <c r="AF216" s="5" t="s">
        <v>193</v>
      </c>
      <c r="AG216" s="5" t="s">
        <v>194</v>
      </c>
      <c r="AH216" s="5" t="s">
        <v>191</v>
      </c>
      <c r="AI216" s="5" t="s">
        <v>186</v>
      </c>
      <c r="AJ216" s="5" t="s">
        <v>205</v>
      </c>
    </row>
    <row r="217" spans="1:36" x14ac:dyDescent="0.35">
      <c r="A217" s="2">
        <v>2</v>
      </c>
      <c r="B217" s="15">
        <v>0.19791666666666666</v>
      </c>
      <c r="C217" s="21" t="s">
        <v>131</v>
      </c>
      <c r="Y217" s="16" t="s">
        <v>182</v>
      </c>
      <c r="Z217" s="16" t="s">
        <v>132</v>
      </c>
      <c r="AF217" s="5" t="s">
        <v>190</v>
      </c>
      <c r="AG217" s="5" t="s">
        <v>218</v>
      </c>
    </row>
    <row r="218" spans="1:36" x14ac:dyDescent="0.35">
      <c r="A218" s="2">
        <v>2</v>
      </c>
      <c r="B218" s="15">
        <v>0.19444444444444445</v>
      </c>
      <c r="C218" s="21" t="s">
        <v>131</v>
      </c>
      <c r="Y218" s="16" t="s">
        <v>189</v>
      </c>
      <c r="Z218" s="16" t="s">
        <v>190</v>
      </c>
      <c r="AA218" s="16" t="s">
        <v>191</v>
      </c>
      <c r="AC218" s="16" t="s">
        <v>196</v>
      </c>
      <c r="AD218" s="16" t="s">
        <v>190</v>
      </c>
      <c r="AE218" s="16" t="s">
        <v>191</v>
      </c>
    </row>
    <row r="219" spans="1:36" x14ac:dyDescent="0.35">
      <c r="A219" s="2">
        <v>2</v>
      </c>
      <c r="B219" s="15">
        <v>0.18680555555555556</v>
      </c>
      <c r="C219" s="21" t="s">
        <v>131</v>
      </c>
      <c r="Y219" s="16" t="s">
        <v>196</v>
      </c>
      <c r="Z219" s="16" t="s">
        <v>186</v>
      </c>
      <c r="AA219" s="16" t="s">
        <v>187</v>
      </c>
      <c r="AB219" s="16" t="s">
        <v>191</v>
      </c>
      <c r="AC219" s="16" t="s">
        <v>179</v>
      </c>
      <c r="AD219" s="16" t="s">
        <v>191</v>
      </c>
      <c r="AE219" s="16" t="s">
        <v>191</v>
      </c>
      <c r="AF219" s="5" t="s">
        <v>190</v>
      </c>
      <c r="AG219" s="5" t="s">
        <v>194</v>
      </c>
      <c r="AH219" s="5" t="s">
        <v>217</v>
      </c>
      <c r="AI219" s="5" t="s">
        <v>199</v>
      </c>
      <c r="AJ219" s="5" t="s">
        <v>188</v>
      </c>
    </row>
    <row r="220" spans="1:36" x14ac:dyDescent="0.35">
      <c r="A220" s="2">
        <v>2</v>
      </c>
      <c r="B220" s="15">
        <v>0.17152777777777778</v>
      </c>
      <c r="C220" s="21" t="s">
        <v>131</v>
      </c>
      <c r="Y220" s="16" t="s">
        <v>189</v>
      </c>
      <c r="Z220" s="16" t="s">
        <v>202</v>
      </c>
      <c r="AA220" s="16" t="s">
        <v>216</v>
      </c>
      <c r="AC220" s="16" t="s">
        <v>192</v>
      </c>
      <c r="AD220" s="16" t="s">
        <v>191</v>
      </c>
      <c r="AE220" s="16" t="s">
        <v>191</v>
      </c>
    </row>
    <row r="221" spans="1:36" x14ac:dyDescent="0.35">
      <c r="A221" s="2">
        <v>2</v>
      </c>
      <c r="B221" s="15">
        <v>0.16041666666666668</v>
      </c>
      <c r="C221" s="21" t="s">
        <v>131</v>
      </c>
      <c r="Y221" s="16" t="s">
        <v>196</v>
      </c>
      <c r="Z221" s="16" t="s">
        <v>201</v>
      </c>
      <c r="AA221" s="16" t="s">
        <v>234</v>
      </c>
      <c r="AB221" s="16" t="s">
        <v>152</v>
      </c>
      <c r="AC221" s="16" t="s">
        <v>192</v>
      </c>
      <c r="AD221" s="16" t="s">
        <v>191</v>
      </c>
      <c r="AE221" s="16" t="s">
        <v>191</v>
      </c>
    </row>
    <row r="222" spans="1:36" x14ac:dyDescent="0.35">
      <c r="A222" s="2">
        <v>2</v>
      </c>
      <c r="B222" s="15">
        <v>0.15555555555555556</v>
      </c>
      <c r="C222" s="21" t="s">
        <v>131</v>
      </c>
      <c r="Y222" s="16" t="s">
        <v>189</v>
      </c>
      <c r="Z222" s="16" t="s">
        <v>202</v>
      </c>
      <c r="AA222" s="16" t="s">
        <v>203</v>
      </c>
      <c r="AC222" s="16" t="s">
        <v>179</v>
      </c>
      <c r="AD222" s="16" t="s">
        <v>191</v>
      </c>
      <c r="AE222" s="16" t="s">
        <v>191</v>
      </c>
      <c r="AF222" s="5" t="s">
        <v>229</v>
      </c>
      <c r="AG222" s="5" t="s">
        <v>194</v>
      </c>
      <c r="AH222" s="5" t="s">
        <v>191</v>
      </c>
      <c r="AI222" s="5" t="s">
        <v>197</v>
      </c>
      <c r="AJ222" s="5" t="s">
        <v>188</v>
      </c>
    </row>
    <row r="223" spans="1:36" x14ac:dyDescent="0.35">
      <c r="A223" s="2">
        <v>2</v>
      </c>
      <c r="B223" s="15">
        <v>0.14722222222222223</v>
      </c>
      <c r="C223" s="21" t="s">
        <v>131</v>
      </c>
      <c r="Y223" s="16" t="s">
        <v>196</v>
      </c>
      <c r="Z223" s="16" t="s">
        <v>201</v>
      </c>
      <c r="AA223" s="16" t="s">
        <v>210</v>
      </c>
      <c r="AB223" s="16" t="s">
        <v>191</v>
      </c>
      <c r="AC223" s="16" t="s">
        <v>192</v>
      </c>
      <c r="AD223" s="16" t="s">
        <v>191</v>
      </c>
      <c r="AE223" s="16" t="s">
        <v>191</v>
      </c>
    </row>
    <row r="224" spans="1:36" x14ac:dyDescent="0.35">
      <c r="A224" s="2">
        <v>2</v>
      </c>
      <c r="B224" s="15">
        <v>0.13819444444444445</v>
      </c>
      <c r="C224" s="21" t="s">
        <v>131</v>
      </c>
      <c r="Y224" s="16" t="s">
        <v>196</v>
      </c>
      <c r="Z224" s="16" t="s">
        <v>197</v>
      </c>
      <c r="AA224" s="16" t="s">
        <v>222</v>
      </c>
      <c r="AB224" s="16" t="s">
        <v>191</v>
      </c>
      <c r="AC224" s="16" t="s">
        <v>179</v>
      </c>
      <c r="AD224" s="16" t="s">
        <v>191</v>
      </c>
      <c r="AE224" s="16" t="s">
        <v>191</v>
      </c>
      <c r="AF224" s="5" t="s">
        <v>222</v>
      </c>
      <c r="AG224" s="5" t="s">
        <v>194</v>
      </c>
      <c r="AH224" s="5" t="s">
        <v>214</v>
      </c>
      <c r="AI224" s="5" t="s">
        <v>210</v>
      </c>
      <c r="AJ224" s="5" t="s">
        <v>200</v>
      </c>
    </row>
    <row r="225" spans="1:36" x14ac:dyDescent="0.35">
      <c r="A225" s="2">
        <v>2</v>
      </c>
      <c r="B225" s="15">
        <v>0.12638888888888888</v>
      </c>
      <c r="C225" s="21" t="s">
        <v>131</v>
      </c>
      <c r="AF225" s="5" t="s">
        <v>210</v>
      </c>
      <c r="AG225" s="5" t="s">
        <v>205</v>
      </c>
      <c r="AH225" s="5" t="s">
        <v>228</v>
      </c>
    </row>
    <row r="226" spans="1:36" x14ac:dyDescent="0.35">
      <c r="A226" s="2">
        <v>2</v>
      </c>
      <c r="B226" s="15">
        <v>0.12152777777777778</v>
      </c>
      <c r="C226" s="21" t="s">
        <v>131</v>
      </c>
      <c r="AF226" s="5" t="s">
        <v>212</v>
      </c>
      <c r="AG226" s="5" t="s">
        <v>194</v>
      </c>
      <c r="AH226" s="5" t="s">
        <v>191</v>
      </c>
      <c r="AI226" s="5" t="s">
        <v>208</v>
      </c>
      <c r="AJ226" s="5" t="s">
        <v>188</v>
      </c>
    </row>
    <row r="227" spans="1:36" x14ac:dyDescent="0.35">
      <c r="A227" s="2">
        <v>2</v>
      </c>
      <c r="B227" s="15">
        <v>0.11874999999999999</v>
      </c>
      <c r="C227" s="21" t="s">
        <v>131</v>
      </c>
      <c r="Y227" s="16" t="s">
        <v>206</v>
      </c>
      <c r="Z227" s="16" t="s">
        <v>228</v>
      </c>
      <c r="AA227" s="16" t="s">
        <v>198</v>
      </c>
      <c r="AC227" s="16" t="s">
        <v>179</v>
      </c>
      <c r="AD227" s="16" t="s">
        <v>191</v>
      </c>
      <c r="AE227" s="16" t="s">
        <v>191</v>
      </c>
    </row>
    <row r="228" spans="1:36" x14ac:dyDescent="0.35">
      <c r="A228" s="2">
        <v>2</v>
      </c>
      <c r="B228" s="15">
        <v>0.11666666666666667</v>
      </c>
      <c r="C228" s="21" t="s">
        <v>131</v>
      </c>
      <c r="Y228" s="16" t="s">
        <v>196</v>
      </c>
      <c r="Z228" s="16" t="s">
        <v>198</v>
      </c>
      <c r="AA228" s="16" t="s">
        <v>191</v>
      </c>
      <c r="AB228" s="16" t="s">
        <v>152</v>
      </c>
      <c r="AC228" s="16" t="s">
        <v>192</v>
      </c>
      <c r="AD228" s="16" t="s">
        <v>191</v>
      </c>
      <c r="AE228" s="16" t="s">
        <v>191</v>
      </c>
      <c r="AF228" s="5" t="s">
        <v>227</v>
      </c>
      <c r="AG228" s="5" t="s">
        <v>205</v>
      </c>
    </row>
    <row r="229" spans="1:36" x14ac:dyDescent="0.35">
      <c r="A229" s="2">
        <v>2</v>
      </c>
      <c r="B229" s="15">
        <v>9.4444444444444442E-2</v>
      </c>
      <c r="C229" s="21" t="s">
        <v>131</v>
      </c>
      <c r="Y229" s="16" t="s">
        <v>196</v>
      </c>
      <c r="Z229" s="16" t="s">
        <v>207</v>
      </c>
      <c r="AA229" s="16" t="s">
        <v>228</v>
      </c>
      <c r="AB229" s="16" t="s">
        <v>152</v>
      </c>
      <c r="AC229" s="16" t="s">
        <v>179</v>
      </c>
      <c r="AD229" s="16" t="s">
        <v>191</v>
      </c>
      <c r="AE229" s="16" t="s">
        <v>191</v>
      </c>
    </row>
    <row r="230" spans="1:36" x14ac:dyDescent="0.35">
      <c r="A230" s="2">
        <v>2</v>
      </c>
      <c r="B230" s="15">
        <v>7.7083333333333337E-2</v>
      </c>
      <c r="C230" s="21" t="s">
        <v>131</v>
      </c>
      <c r="Y230" s="16" t="s">
        <v>189</v>
      </c>
      <c r="Z230" s="16" t="s">
        <v>209</v>
      </c>
      <c r="AA230" s="16" t="s">
        <v>191</v>
      </c>
      <c r="AC230" s="16" t="s">
        <v>196</v>
      </c>
      <c r="AD230" s="16" t="s">
        <v>191</v>
      </c>
      <c r="AE230" s="16" t="s">
        <v>191</v>
      </c>
      <c r="AF230" s="5" t="s">
        <v>199</v>
      </c>
      <c r="AG230" s="5" t="s">
        <v>194</v>
      </c>
      <c r="AH230" s="5" t="s">
        <v>209</v>
      </c>
      <c r="AI230" s="5" t="s">
        <v>230</v>
      </c>
      <c r="AJ230" s="5" t="s">
        <v>205</v>
      </c>
    </row>
    <row r="231" spans="1:36" x14ac:dyDescent="0.35">
      <c r="A231" s="2">
        <v>2</v>
      </c>
      <c r="B231" s="15">
        <v>6.9444444444444448E-2</v>
      </c>
      <c r="C231" s="21" t="s">
        <v>131</v>
      </c>
      <c r="Y231" s="16" t="s">
        <v>189</v>
      </c>
      <c r="Z231" s="16" t="s">
        <v>209</v>
      </c>
      <c r="AA231" s="16" t="s">
        <v>191</v>
      </c>
      <c r="AC231" s="16" t="s">
        <v>179</v>
      </c>
      <c r="AD231" s="16" t="s">
        <v>221</v>
      </c>
      <c r="AE231" s="16" t="s">
        <v>191</v>
      </c>
    </row>
    <row r="232" spans="1:36" x14ac:dyDescent="0.35">
      <c r="A232" s="2">
        <v>2</v>
      </c>
      <c r="B232" s="15">
        <v>5.8333333333333334E-2</v>
      </c>
      <c r="C232" s="21" t="s">
        <v>131</v>
      </c>
      <c r="AF232" s="5" t="s">
        <v>184</v>
      </c>
      <c r="AG232" s="5" t="s">
        <v>188</v>
      </c>
    </row>
    <row r="233" spans="1:36" x14ac:dyDescent="0.35">
      <c r="A233" s="2">
        <v>2</v>
      </c>
      <c r="B233" s="15">
        <v>5.7638888888888892E-2</v>
      </c>
      <c r="C233" s="21" t="s">
        <v>131</v>
      </c>
      <c r="Y233" s="16" t="s">
        <v>189</v>
      </c>
      <c r="Z233" s="16" t="s">
        <v>190</v>
      </c>
      <c r="AA233" s="16" t="s">
        <v>216</v>
      </c>
      <c r="AC233" s="16" t="s">
        <v>192</v>
      </c>
      <c r="AD233" s="16" t="s">
        <v>191</v>
      </c>
      <c r="AE233" s="16" t="s">
        <v>191</v>
      </c>
      <c r="AF233" s="5" t="s">
        <v>183</v>
      </c>
      <c r="AG233" s="5" t="s">
        <v>194</v>
      </c>
      <c r="AH233" s="5" t="s">
        <v>191</v>
      </c>
      <c r="AI233" s="5" t="s">
        <v>203</v>
      </c>
      <c r="AJ233" s="5" t="s">
        <v>188</v>
      </c>
    </row>
    <row r="234" spans="1:36" x14ac:dyDescent="0.35">
      <c r="A234" s="2">
        <v>2</v>
      </c>
      <c r="B234" s="15">
        <v>5.1388888888888887E-2</v>
      </c>
      <c r="C234" s="21" t="s">
        <v>131</v>
      </c>
      <c r="Y234" s="16" t="s">
        <v>206</v>
      </c>
      <c r="Z234" s="16" t="s">
        <v>217</v>
      </c>
      <c r="AA234" s="16" t="s">
        <v>187</v>
      </c>
      <c r="AC234" s="16" t="s">
        <v>192</v>
      </c>
      <c r="AD234" s="16" t="s">
        <v>191</v>
      </c>
      <c r="AE234" s="16" t="s">
        <v>191</v>
      </c>
    </row>
    <row r="235" spans="1:36" x14ac:dyDescent="0.35">
      <c r="A235" s="2">
        <v>2</v>
      </c>
      <c r="B235" s="15">
        <v>4.7222222222222221E-2</v>
      </c>
      <c r="C235" s="21" t="s">
        <v>131</v>
      </c>
      <c r="AF235" s="5" t="s">
        <v>193</v>
      </c>
      <c r="AG235" s="5" t="s">
        <v>194</v>
      </c>
      <c r="AH235" s="5" t="s">
        <v>191</v>
      </c>
      <c r="AI235" s="5" t="s">
        <v>186</v>
      </c>
      <c r="AJ235" s="5" t="s">
        <v>188</v>
      </c>
    </row>
    <row r="236" spans="1:36" x14ac:dyDescent="0.35">
      <c r="A236" s="2">
        <v>2</v>
      </c>
      <c r="B236" s="15">
        <v>4.4444444444444446E-2</v>
      </c>
      <c r="C236" s="21" t="s">
        <v>131</v>
      </c>
      <c r="Y236" s="16" t="s">
        <v>196</v>
      </c>
      <c r="Z236" s="16" t="s">
        <v>217</v>
      </c>
      <c r="AA236" s="16" t="s">
        <v>198</v>
      </c>
      <c r="AB236" s="16" t="s">
        <v>152</v>
      </c>
      <c r="AC236" s="16" t="s">
        <v>196</v>
      </c>
      <c r="AD236" s="16" t="s">
        <v>191</v>
      </c>
      <c r="AE236" s="16" t="s">
        <v>235</v>
      </c>
      <c r="AF236" s="5" t="s">
        <v>199</v>
      </c>
      <c r="AG236" s="5" t="s">
        <v>211</v>
      </c>
    </row>
    <row r="237" spans="1:36" x14ac:dyDescent="0.35">
      <c r="A237" s="2">
        <v>2</v>
      </c>
      <c r="B237" s="15">
        <v>3.0555555555555555E-2</v>
      </c>
      <c r="C237" s="21" t="s">
        <v>131</v>
      </c>
      <c r="Y237" s="16" t="s">
        <v>189</v>
      </c>
      <c r="Z237" s="16" t="s">
        <v>204</v>
      </c>
      <c r="AA237" s="16" t="s">
        <v>198</v>
      </c>
      <c r="AC237" s="16" t="s">
        <v>179</v>
      </c>
      <c r="AD237" s="16" t="s">
        <v>191</v>
      </c>
      <c r="AE237" s="16" t="s">
        <v>191</v>
      </c>
      <c r="AF237" s="5" t="s">
        <v>215</v>
      </c>
      <c r="AG237" s="5" t="s">
        <v>188</v>
      </c>
    </row>
    <row r="238" spans="1:36" x14ac:dyDescent="0.35">
      <c r="A238" s="2">
        <v>2</v>
      </c>
      <c r="B238" s="15">
        <v>1.7361111111111112E-2</v>
      </c>
      <c r="C238" s="21" t="s">
        <v>131</v>
      </c>
      <c r="Y238" s="16" t="s">
        <v>189</v>
      </c>
      <c r="Z238" s="16" t="s">
        <v>197</v>
      </c>
      <c r="AA238" s="16" t="s">
        <v>220</v>
      </c>
      <c r="AC238" s="16" t="s">
        <v>192</v>
      </c>
      <c r="AD238" s="16" t="s">
        <v>191</v>
      </c>
      <c r="AE238" s="16" t="s">
        <v>191</v>
      </c>
      <c r="AF238" s="5" t="s">
        <v>187</v>
      </c>
      <c r="AG238" s="5" t="s">
        <v>185</v>
      </c>
      <c r="AH238" s="5" t="s">
        <v>204</v>
      </c>
    </row>
    <row r="239" spans="1:36" x14ac:dyDescent="0.35">
      <c r="A239" s="2">
        <v>2</v>
      </c>
      <c r="B239" s="15">
        <v>1.2500000000000001E-2</v>
      </c>
      <c r="C239" s="21" t="s">
        <v>131</v>
      </c>
      <c r="AF239" s="5" t="s">
        <v>184</v>
      </c>
      <c r="AG239" s="5" t="s">
        <v>211</v>
      </c>
    </row>
    <row r="240" spans="1:36" x14ac:dyDescent="0.35">
      <c r="A240" s="2">
        <v>2</v>
      </c>
      <c r="B240" s="15">
        <v>4.8611111111111112E-3</v>
      </c>
      <c r="C240" s="21" t="s">
        <v>131</v>
      </c>
      <c r="Y240" s="16" t="s">
        <v>189</v>
      </c>
      <c r="Z240" s="16" t="s">
        <v>219</v>
      </c>
      <c r="AA240" s="16" t="s">
        <v>216</v>
      </c>
      <c r="AC240" s="16" t="s">
        <v>179</v>
      </c>
      <c r="AD240" s="16" t="s">
        <v>202</v>
      </c>
      <c r="AE240" s="16" t="s">
        <v>152</v>
      </c>
      <c r="AF240" s="5" t="s">
        <v>184</v>
      </c>
      <c r="AG240" s="5" t="s">
        <v>188</v>
      </c>
      <c r="AH240" s="5" t="s">
        <v>201</v>
      </c>
    </row>
    <row r="241" spans="1:36" x14ac:dyDescent="0.35">
      <c r="A241" s="2">
        <v>3</v>
      </c>
      <c r="B241" s="15">
        <v>0.82499999999999996</v>
      </c>
      <c r="C241" s="21" t="s">
        <v>131</v>
      </c>
      <c r="AF241" s="5" t="s">
        <v>215</v>
      </c>
      <c r="AG241" s="5" t="s">
        <v>188</v>
      </c>
    </row>
    <row r="242" spans="1:36" x14ac:dyDescent="0.35">
      <c r="A242" s="2">
        <v>3</v>
      </c>
      <c r="B242" s="15">
        <v>0.82499999999999996</v>
      </c>
      <c r="C242" s="21" t="s">
        <v>131</v>
      </c>
      <c r="Y242" s="16" t="s">
        <v>189</v>
      </c>
      <c r="Z242" s="16" t="s">
        <v>187</v>
      </c>
      <c r="AA242" s="16" t="s">
        <v>195</v>
      </c>
      <c r="AC242" s="16" t="s">
        <v>192</v>
      </c>
      <c r="AD242" s="16" t="s">
        <v>233</v>
      </c>
      <c r="AE242" s="16" t="s">
        <v>152</v>
      </c>
      <c r="AF242" s="5" t="s">
        <v>217</v>
      </c>
      <c r="AG242" s="5" t="s">
        <v>211</v>
      </c>
    </row>
    <row r="243" spans="1:36" x14ac:dyDescent="0.35">
      <c r="A243" s="2">
        <v>3</v>
      </c>
      <c r="B243" s="15">
        <v>0.81111111111111112</v>
      </c>
      <c r="C243" s="21" t="s">
        <v>131</v>
      </c>
      <c r="Y243" s="16" t="s">
        <v>189</v>
      </c>
      <c r="Z243" s="16" t="s">
        <v>215</v>
      </c>
      <c r="AA243" s="16" t="s">
        <v>191</v>
      </c>
      <c r="AC243" s="16" t="s">
        <v>192</v>
      </c>
      <c r="AD243" s="16" t="s">
        <v>233</v>
      </c>
      <c r="AE243" s="16" t="s">
        <v>152</v>
      </c>
      <c r="AF243" s="5" t="s">
        <v>186</v>
      </c>
      <c r="AG243" s="5" t="s">
        <v>218</v>
      </c>
    </row>
    <row r="244" spans="1:36" x14ac:dyDescent="0.35">
      <c r="A244" s="2">
        <v>3</v>
      </c>
      <c r="B244" s="15">
        <v>0.80486111111111114</v>
      </c>
      <c r="C244" s="21" t="s">
        <v>131</v>
      </c>
      <c r="Y244" s="16" t="s">
        <v>196</v>
      </c>
      <c r="Z244" s="16" t="s">
        <v>186</v>
      </c>
      <c r="AA244" s="16" t="s">
        <v>199</v>
      </c>
      <c r="AB244" s="16" t="s">
        <v>191</v>
      </c>
      <c r="AC244" s="16" t="s">
        <v>192</v>
      </c>
      <c r="AD244" s="16" t="s">
        <v>191</v>
      </c>
      <c r="AE244" s="16" t="s">
        <v>191</v>
      </c>
    </row>
    <row r="245" spans="1:36" x14ac:dyDescent="0.35">
      <c r="A245" s="2">
        <v>3</v>
      </c>
      <c r="B245" s="15">
        <v>0.7944444444444444</v>
      </c>
      <c r="C245" s="21" t="s">
        <v>131</v>
      </c>
      <c r="AF245" s="5" t="s">
        <v>199</v>
      </c>
      <c r="AG245" s="5" t="s">
        <v>194</v>
      </c>
      <c r="AH245" s="5" t="s">
        <v>191</v>
      </c>
      <c r="AI245" s="5" t="s">
        <v>220</v>
      </c>
      <c r="AJ245" s="5" t="s">
        <v>188</v>
      </c>
    </row>
    <row r="246" spans="1:36" x14ac:dyDescent="0.35">
      <c r="A246" s="2">
        <v>3</v>
      </c>
      <c r="B246" s="15">
        <v>0.79027777777777775</v>
      </c>
      <c r="C246" s="21" t="s">
        <v>131</v>
      </c>
      <c r="Y246" s="16" t="s">
        <v>189</v>
      </c>
      <c r="Z246" s="16" t="s">
        <v>202</v>
      </c>
      <c r="AA246" s="16" t="s">
        <v>203</v>
      </c>
      <c r="AC246" s="16" t="s">
        <v>179</v>
      </c>
      <c r="AD246" s="16" t="s">
        <v>191</v>
      </c>
      <c r="AE246" s="16" t="s">
        <v>191</v>
      </c>
      <c r="AF246" s="5" t="s">
        <v>216</v>
      </c>
      <c r="AG246" s="5" t="s">
        <v>211</v>
      </c>
    </row>
    <row r="247" spans="1:36" x14ac:dyDescent="0.35">
      <c r="A247" s="2">
        <v>3</v>
      </c>
      <c r="B247" s="15">
        <v>0.77430555555555558</v>
      </c>
      <c r="C247" s="21" t="s">
        <v>131</v>
      </c>
      <c r="AF247" s="5" t="s">
        <v>184</v>
      </c>
      <c r="AG247" s="5" t="s">
        <v>205</v>
      </c>
      <c r="AH247" s="5" t="s">
        <v>209</v>
      </c>
    </row>
    <row r="248" spans="1:36" x14ac:dyDescent="0.35">
      <c r="A248" s="2">
        <v>3</v>
      </c>
      <c r="B248" s="15">
        <v>0.76736111111111116</v>
      </c>
      <c r="C248" s="21" t="s">
        <v>131</v>
      </c>
      <c r="AF248" s="5" t="s">
        <v>212</v>
      </c>
      <c r="AG248" s="5" t="s">
        <v>194</v>
      </c>
      <c r="AH248" s="5" t="s">
        <v>207</v>
      </c>
      <c r="AI248" s="5" t="s">
        <v>208</v>
      </c>
      <c r="AJ248" s="5" t="s">
        <v>188</v>
      </c>
    </row>
    <row r="249" spans="1:36" x14ac:dyDescent="0.35">
      <c r="A249" s="2">
        <v>3</v>
      </c>
      <c r="B249" s="15">
        <v>0.76388888888888884</v>
      </c>
      <c r="C249" s="21" t="s">
        <v>131</v>
      </c>
      <c r="Y249" s="16" t="s">
        <v>196</v>
      </c>
      <c r="Z249" s="16" t="s">
        <v>221</v>
      </c>
      <c r="AA249" s="16" t="s">
        <v>187</v>
      </c>
      <c r="AB249" s="16" t="s">
        <v>152</v>
      </c>
      <c r="AC249" s="16" t="s">
        <v>179</v>
      </c>
      <c r="AD249" s="16" t="s">
        <v>191</v>
      </c>
      <c r="AE249" s="16" t="s">
        <v>191</v>
      </c>
      <c r="AF249" s="5" t="s">
        <v>187</v>
      </c>
      <c r="AG249" s="5" t="s">
        <v>205</v>
      </c>
      <c r="AH249" s="5" t="s">
        <v>221</v>
      </c>
    </row>
    <row r="250" spans="1:36" x14ac:dyDescent="0.35">
      <c r="A250" s="2">
        <v>3</v>
      </c>
      <c r="B250" s="15">
        <v>0.75347222222222221</v>
      </c>
      <c r="C250" s="21" t="s">
        <v>131</v>
      </c>
      <c r="Y250" s="16" t="s">
        <v>189</v>
      </c>
      <c r="Z250" s="16" t="s">
        <v>223</v>
      </c>
      <c r="AA250" s="16" t="s">
        <v>222</v>
      </c>
      <c r="AC250" s="16" t="s">
        <v>179</v>
      </c>
      <c r="AD250" s="16" t="s">
        <v>191</v>
      </c>
      <c r="AE250" s="16" t="s">
        <v>191</v>
      </c>
    </row>
    <row r="251" spans="1:36" x14ac:dyDescent="0.35">
      <c r="A251" s="2">
        <v>3</v>
      </c>
      <c r="B251" s="15">
        <v>0.73402777777777772</v>
      </c>
      <c r="C251" s="21" t="s">
        <v>156</v>
      </c>
      <c r="Y251" s="16" t="s">
        <v>196</v>
      </c>
      <c r="Z251" s="16" t="s">
        <v>219</v>
      </c>
      <c r="AA251" s="16" t="s">
        <v>193</v>
      </c>
      <c r="AB251" s="16" t="s">
        <v>152</v>
      </c>
      <c r="AC251" s="16" t="s">
        <v>196</v>
      </c>
      <c r="AD251" s="16" t="s">
        <v>191</v>
      </c>
      <c r="AE251" s="16" t="s">
        <v>152</v>
      </c>
    </row>
    <row r="252" spans="1:36" x14ac:dyDescent="0.35">
      <c r="A252" s="2">
        <v>3</v>
      </c>
      <c r="B252" s="15">
        <v>0.72291666666666665</v>
      </c>
      <c r="C252" s="21" t="s">
        <v>156</v>
      </c>
      <c r="Y252" s="16" t="s">
        <v>196</v>
      </c>
      <c r="Z252" s="16" t="s">
        <v>184</v>
      </c>
      <c r="AA252" s="16" t="s">
        <v>191</v>
      </c>
      <c r="AB252" s="16" t="s">
        <v>152</v>
      </c>
      <c r="AC252" s="16" t="s">
        <v>192</v>
      </c>
      <c r="AD252" s="16" t="s">
        <v>191</v>
      </c>
      <c r="AE252" s="16" t="s">
        <v>191</v>
      </c>
    </row>
    <row r="253" spans="1:36" x14ac:dyDescent="0.35">
      <c r="A253" s="2">
        <v>3</v>
      </c>
      <c r="B253" s="15">
        <v>0.70138888888888884</v>
      </c>
      <c r="C253" s="21" t="s">
        <v>156</v>
      </c>
      <c r="Y253" s="16" t="s">
        <v>189</v>
      </c>
      <c r="Z253" s="16" t="s">
        <v>224</v>
      </c>
      <c r="AA253" s="16" t="s">
        <v>195</v>
      </c>
      <c r="AB253" s="16" t="s">
        <v>152</v>
      </c>
      <c r="AC253" s="16" t="s">
        <v>192</v>
      </c>
      <c r="AD253" s="16" t="s">
        <v>191</v>
      </c>
      <c r="AE253" s="16" t="s">
        <v>134</v>
      </c>
    </row>
    <row r="254" spans="1:36" x14ac:dyDescent="0.35">
      <c r="A254" s="2">
        <v>3</v>
      </c>
      <c r="B254" s="15">
        <v>0.6694444444444444</v>
      </c>
      <c r="C254" s="21" t="s">
        <v>131</v>
      </c>
      <c r="Y254" s="16" t="s">
        <v>189</v>
      </c>
      <c r="Z254" s="16" t="s">
        <v>216</v>
      </c>
      <c r="AA254" s="16" t="s">
        <v>191</v>
      </c>
      <c r="AC254" s="16" t="s">
        <v>179</v>
      </c>
      <c r="AD254" s="16" t="s">
        <v>191</v>
      </c>
      <c r="AE254" s="16" t="s">
        <v>191</v>
      </c>
      <c r="AF254" s="5" t="s">
        <v>210</v>
      </c>
      <c r="AG254" s="5" t="s">
        <v>194</v>
      </c>
      <c r="AH254" s="5" t="s">
        <v>227</v>
      </c>
      <c r="AI254" s="5" t="s">
        <v>226</v>
      </c>
      <c r="AJ254" s="5" t="s">
        <v>200</v>
      </c>
    </row>
    <row r="255" spans="1:36" x14ac:dyDescent="0.35">
      <c r="A255" s="2">
        <v>3</v>
      </c>
      <c r="B255" s="15">
        <v>0.66319444444444442</v>
      </c>
      <c r="C255" s="21" t="s">
        <v>131</v>
      </c>
      <c r="AF255" s="5" t="s">
        <v>210</v>
      </c>
      <c r="AG255" s="5" t="s">
        <v>188</v>
      </c>
    </row>
    <row r="256" spans="1:36" x14ac:dyDescent="0.35">
      <c r="A256" s="2">
        <v>3</v>
      </c>
      <c r="B256" s="15">
        <v>0.65833333333333333</v>
      </c>
      <c r="C256" s="21" t="s">
        <v>131</v>
      </c>
      <c r="Y256" s="16" t="s">
        <v>189</v>
      </c>
      <c r="Z256" s="16" t="s">
        <v>187</v>
      </c>
      <c r="AA256" s="16" t="s">
        <v>191</v>
      </c>
      <c r="AC256" s="16" t="s">
        <v>192</v>
      </c>
      <c r="AD256" s="16" t="s">
        <v>213</v>
      </c>
      <c r="AE256" s="16" t="s">
        <v>191</v>
      </c>
      <c r="AF256" s="5" t="s">
        <v>227</v>
      </c>
      <c r="AG256" s="5" t="s">
        <v>194</v>
      </c>
      <c r="AH256" s="5" t="s">
        <v>230</v>
      </c>
      <c r="AI256" s="5" t="s">
        <v>228</v>
      </c>
      <c r="AJ256" s="5" t="s">
        <v>188</v>
      </c>
    </row>
    <row r="257" spans="1:36" x14ac:dyDescent="0.35">
      <c r="A257" s="2">
        <v>3</v>
      </c>
      <c r="B257" s="15">
        <v>0.64583333333333337</v>
      </c>
      <c r="C257" s="21" t="s">
        <v>131</v>
      </c>
      <c r="Y257" s="16" t="s">
        <v>196</v>
      </c>
      <c r="Z257" s="16" t="s">
        <v>214</v>
      </c>
      <c r="AA257" s="16" t="s">
        <v>187</v>
      </c>
      <c r="AB257" s="16" t="s">
        <v>191</v>
      </c>
      <c r="AC257" s="16" t="s">
        <v>192</v>
      </c>
      <c r="AD257" s="16" t="s">
        <v>191</v>
      </c>
      <c r="AE257" s="16" t="s">
        <v>191</v>
      </c>
      <c r="AF257" s="5" t="s">
        <v>187</v>
      </c>
      <c r="AG257" s="5" t="s">
        <v>200</v>
      </c>
      <c r="AH257" s="5" t="s">
        <v>214</v>
      </c>
    </row>
    <row r="258" spans="1:36" x14ac:dyDescent="0.35">
      <c r="A258" s="2">
        <v>3</v>
      </c>
      <c r="B258" s="15">
        <v>0.63541666666666663</v>
      </c>
      <c r="C258" s="21" t="s">
        <v>131</v>
      </c>
      <c r="AF258" s="5" t="s">
        <v>226</v>
      </c>
      <c r="AG258" s="5" t="s">
        <v>194</v>
      </c>
      <c r="AH258" s="5" t="s">
        <v>191</v>
      </c>
      <c r="AI258" s="5" t="s">
        <v>187</v>
      </c>
      <c r="AJ258" s="5" t="s">
        <v>211</v>
      </c>
    </row>
    <row r="259" spans="1:36" x14ac:dyDescent="0.35">
      <c r="A259" s="2">
        <v>3</v>
      </c>
      <c r="B259" s="15">
        <v>0.62569444444444444</v>
      </c>
      <c r="C259" s="21" t="s">
        <v>131</v>
      </c>
      <c r="AF259" s="5" t="s">
        <v>226</v>
      </c>
      <c r="AG259" s="5" t="s">
        <v>205</v>
      </c>
      <c r="AH259" s="5" t="s">
        <v>183</v>
      </c>
    </row>
    <row r="260" spans="1:36" x14ac:dyDescent="0.35">
      <c r="A260" s="2">
        <v>3</v>
      </c>
      <c r="B260" s="15">
        <v>0.62361111111111112</v>
      </c>
      <c r="C260" s="21" t="s">
        <v>131</v>
      </c>
      <c r="Y260" s="16" t="s">
        <v>196</v>
      </c>
      <c r="Z260" s="16" t="s">
        <v>201</v>
      </c>
      <c r="AA260" s="16" t="s">
        <v>225</v>
      </c>
      <c r="AB260" s="16" t="s">
        <v>191</v>
      </c>
      <c r="AC260" s="16" t="s">
        <v>179</v>
      </c>
      <c r="AD260" s="16" t="s">
        <v>191</v>
      </c>
      <c r="AE260" s="16" t="s">
        <v>191</v>
      </c>
      <c r="AF260" s="5" t="s">
        <v>199</v>
      </c>
      <c r="AG260" s="5" t="s">
        <v>194</v>
      </c>
      <c r="AH260" s="5" t="s">
        <v>191</v>
      </c>
      <c r="AI260" s="5" t="s">
        <v>207</v>
      </c>
      <c r="AJ260" s="5" t="s">
        <v>218</v>
      </c>
    </row>
    <row r="261" spans="1:36" x14ac:dyDescent="0.35">
      <c r="A261" s="2">
        <v>3</v>
      </c>
      <c r="B261" s="15">
        <v>0.61597222222222225</v>
      </c>
      <c r="C261" s="21" t="s">
        <v>131</v>
      </c>
      <c r="Y261" s="16" t="s">
        <v>189</v>
      </c>
      <c r="Z261" s="16" t="s">
        <v>207</v>
      </c>
      <c r="AA261" s="16" t="s">
        <v>191</v>
      </c>
      <c r="AC261" s="16" t="s">
        <v>179</v>
      </c>
      <c r="AD261" s="16" t="s">
        <v>191</v>
      </c>
      <c r="AE261" s="16" t="s">
        <v>134</v>
      </c>
      <c r="AF261" s="5" t="s">
        <v>212</v>
      </c>
      <c r="AG261" s="5" t="s">
        <v>200</v>
      </c>
      <c r="AH261" s="5" t="s">
        <v>225</v>
      </c>
    </row>
    <row r="262" spans="1:36" x14ac:dyDescent="0.35">
      <c r="A262" s="2">
        <v>3</v>
      </c>
      <c r="B262" s="15">
        <v>0.60763888888888884</v>
      </c>
      <c r="C262" s="21" t="s">
        <v>131</v>
      </c>
      <c r="AF262" s="5" t="s">
        <v>195</v>
      </c>
      <c r="AG262" s="5" t="s">
        <v>185</v>
      </c>
      <c r="AH262" s="5" t="s">
        <v>207</v>
      </c>
    </row>
    <row r="263" spans="1:36" x14ac:dyDescent="0.35">
      <c r="A263" s="7">
        <v>3</v>
      </c>
      <c r="B263" s="14">
        <v>0.57986111111111116</v>
      </c>
      <c r="C263" s="21" t="s">
        <v>131</v>
      </c>
      <c r="AF263" s="5" t="s">
        <v>193</v>
      </c>
      <c r="AG263" s="5" t="s">
        <v>194</v>
      </c>
      <c r="AH263" s="5" t="s">
        <v>191</v>
      </c>
      <c r="AI263" s="5" t="s">
        <v>203</v>
      </c>
      <c r="AJ263" s="5" t="s">
        <v>188</v>
      </c>
    </row>
    <row r="264" spans="1:36" x14ac:dyDescent="0.35">
      <c r="A264" s="2">
        <v>3</v>
      </c>
      <c r="B264" s="15">
        <v>0.57708333333333328</v>
      </c>
      <c r="C264" s="21" t="s">
        <v>131</v>
      </c>
      <c r="Y264" s="16" t="s">
        <v>196</v>
      </c>
      <c r="Z264" s="16" t="s">
        <v>223</v>
      </c>
      <c r="AA264" s="16" t="s">
        <v>198</v>
      </c>
      <c r="AB264" s="16" t="s">
        <v>191</v>
      </c>
      <c r="AC264" s="16" t="s">
        <v>179</v>
      </c>
      <c r="AD264" s="16" t="s">
        <v>191</v>
      </c>
      <c r="AE264" s="16" t="s">
        <v>191</v>
      </c>
    </row>
    <row r="265" spans="1:36" x14ac:dyDescent="0.35">
      <c r="A265" s="7">
        <v>3</v>
      </c>
      <c r="B265" s="15">
        <v>0.56458333333333333</v>
      </c>
      <c r="C265" s="21" t="s">
        <v>131</v>
      </c>
      <c r="Y265" s="16" t="s">
        <v>189</v>
      </c>
      <c r="Z265" s="16" t="s">
        <v>233</v>
      </c>
      <c r="AA265" s="16" t="s">
        <v>191</v>
      </c>
      <c r="AC265" s="16" t="s">
        <v>192</v>
      </c>
      <c r="AD265" s="16" t="s">
        <v>191</v>
      </c>
      <c r="AE265" s="16" t="s">
        <v>191</v>
      </c>
      <c r="AF265" s="5" t="s">
        <v>216</v>
      </c>
      <c r="AG265" s="5" t="s">
        <v>205</v>
      </c>
    </row>
    <row r="266" spans="1:36" x14ac:dyDescent="0.35">
      <c r="A266" s="2">
        <v>3</v>
      </c>
      <c r="B266" s="15">
        <v>0.55208333333333337</v>
      </c>
      <c r="C266" s="21" t="s">
        <v>131</v>
      </c>
      <c r="Y266" s="16" t="s">
        <v>206</v>
      </c>
      <c r="Z266" s="16" t="s">
        <v>217</v>
      </c>
      <c r="AA266" s="16" t="s">
        <v>184</v>
      </c>
      <c r="AC266" s="16" t="s">
        <v>196</v>
      </c>
      <c r="AD266" s="16" t="s">
        <v>191</v>
      </c>
      <c r="AE266" s="16" t="s">
        <v>191</v>
      </c>
    </row>
    <row r="267" spans="1:36" x14ac:dyDescent="0.35">
      <c r="A267" s="2">
        <v>3</v>
      </c>
      <c r="B267" s="15">
        <v>0.55069444444444449</v>
      </c>
      <c r="C267" s="21" t="s">
        <v>131</v>
      </c>
      <c r="Y267" s="16" t="s">
        <v>206</v>
      </c>
      <c r="Z267" s="16" t="s">
        <v>215</v>
      </c>
      <c r="AA267" s="16" t="s">
        <v>203</v>
      </c>
      <c r="AC267" s="16" t="s">
        <v>192</v>
      </c>
      <c r="AD267" s="16" t="s">
        <v>191</v>
      </c>
      <c r="AE267" s="16" t="s">
        <v>191</v>
      </c>
    </row>
    <row r="268" spans="1:36" x14ac:dyDescent="0.35">
      <c r="A268" s="7">
        <v>3</v>
      </c>
      <c r="B268" s="14">
        <v>0.5444444444444444</v>
      </c>
      <c r="C268" s="21" t="s">
        <v>131</v>
      </c>
      <c r="Y268" s="16" t="s">
        <v>196</v>
      </c>
      <c r="Z268" s="16" t="s">
        <v>197</v>
      </c>
      <c r="AA268" s="16" t="s">
        <v>222</v>
      </c>
      <c r="AB268" s="16" t="s">
        <v>191</v>
      </c>
      <c r="AC268" s="16" t="s">
        <v>179</v>
      </c>
      <c r="AD268" s="16" t="s">
        <v>191</v>
      </c>
      <c r="AE268" s="16" t="s">
        <v>191</v>
      </c>
    </row>
    <row r="269" spans="1:36" x14ac:dyDescent="0.35">
      <c r="A269" s="7">
        <v>3</v>
      </c>
      <c r="B269" s="14">
        <v>0.53125</v>
      </c>
      <c r="C269" s="21" t="s">
        <v>131</v>
      </c>
      <c r="Y269" s="16" t="s">
        <v>196</v>
      </c>
      <c r="Z269" s="16" t="s">
        <v>214</v>
      </c>
      <c r="AA269" s="16" t="s">
        <v>191</v>
      </c>
      <c r="AB269" s="16" t="s">
        <v>191</v>
      </c>
      <c r="AC269" s="16" t="s">
        <v>179</v>
      </c>
      <c r="AD269" s="16" t="s">
        <v>191</v>
      </c>
      <c r="AE269" s="16" t="s">
        <v>191</v>
      </c>
      <c r="AF269" s="5" t="s">
        <v>220</v>
      </c>
      <c r="AG269" s="5" t="s">
        <v>218</v>
      </c>
    </row>
    <row r="270" spans="1:36" x14ac:dyDescent="0.35">
      <c r="A270" s="2">
        <v>3</v>
      </c>
      <c r="B270" s="15">
        <v>0.51666666666666672</v>
      </c>
      <c r="C270" s="21" t="s">
        <v>131</v>
      </c>
      <c r="Y270" s="16" t="s">
        <v>189</v>
      </c>
      <c r="Z270" s="16" t="s">
        <v>219</v>
      </c>
      <c r="AA270" s="16" t="s">
        <v>208</v>
      </c>
      <c r="AC270" s="16" t="s">
        <v>179</v>
      </c>
      <c r="AD270" s="16" t="s">
        <v>191</v>
      </c>
      <c r="AE270" s="16" t="s">
        <v>191</v>
      </c>
      <c r="AF270" s="5" t="s">
        <v>228</v>
      </c>
      <c r="AG270" s="5" t="s">
        <v>194</v>
      </c>
      <c r="AH270" s="5" t="s">
        <v>191</v>
      </c>
      <c r="AI270" s="5" t="s">
        <v>227</v>
      </c>
      <c r="AJ270" s="5" t="s">
        <v>188</v>
      </c>
    </row>
    <row r="271" spans="1:36" x14ac:dyDescent="0.35">
      <c r="A271" s="7">
        <v>3</v>
      </c>
      <c r="B271" s="15">
        <v>0.50972222222222219</v>
      </c>
      <c r="C271" s="21" t="s">
        <v>131</v>
      </c>
      <c r="Y271" s="16" t="s">
        <v>196</v>
      </c>
      <c r="Z271" s="16" t="s">
        <v>214</v>
      </c>
      <c r="AA271" s="16" t="s">
        <v>199</v>
      </c>
      <c r="AB271" s="16" t="s">
        <v>191</v>
      </c>
      <c r="AC271" s="16" t="s">
        <v>192</v>
      </c>
      <c r="AD271" s="16" t="s">
        <v>191</v>
      </c>
      <c r="AE271" s="16" t="s">
        <v>191</v>
      </c>
    </row>
    <row r="272" spans="1:36" x14ac:dyDescent="0.35">
      <c r="A272" s="7">
        <v>3</v>
      </c>
      <c r="B272" s="15">
        <v>0.50138888888888888</v>
      </c>
      <c r="C272" s="21" t="s">
        <v>131</v>
      </c>
      <c r="Y272" s="16" t="s">
        <v>189</v>
      </c>
      <c r="Z272" s="16" t="s">
        <v>199</v>
      </c>
      <c r="AA272" s="16" t="s">
        <v>191</v>
      </c>
      <c r="AC272" s="16" t="s">
        <v>192</v>
      </c>
      <c r="AD272" s="16" t="s">
        <v>191</v>
      </c>
      <c r="AE272" s="16" t="s">
        <v>191</v>
      </c>
    </row>
    <row r="273" spans="1:36" x14ac:dyDescent="0.35">
      <c r="A273" s="7">
        <v>3</v>
      </c>
      <c r="B273" s="15">
        <v>0.40972222222222221</v>
      </c>
      <c r="C273" s="21" t="s">
        <v>156</v>
      </c>
      <c r="Y273" s="16" t="s">
        <v>196</v>
      </c>
      <c r="Z273" s="16" t="s">
        <v>209</v>
      </c>
      <c r="AA273" s="16" t="s">
        <v>225</v>
      </c>
      <c r="AB273" s="16" t="s">
        <v>152</v>
      </c>
      <c r="AC273" s="16" t="s">
        <v>179</v>
      </c>
      <c r="AD273" s="16" t="s">
        <v>191</v>
      </c>
      <c r="AE273" s="16" t="s">
        <v>152</v>
      </c>
    </row>
    <row r="274" spans="1:36" x14ac:dyDescent="0.35">
      <c r="A274" s="2">
        <v>3</v>
      </c>
      <c r="B274" s="15">
        <v>0.39097222222222222</v>
      </c>
      <c r="C274" s="21" t="s">
        <v>131</v>
      </c>
      <c r="AF274" s="5" t="s">
        <v>210</v>
      </c>
      <c r="AG274" s="5" t="s">
        <v>194</v>
      </c>
      <c r="AH274" s="5" t="s">
        <v>191</v>
      </c>
      <c r="AI274" s="5" t="s">
        <v>220</v>
      </c>
      <c r="AJ274" s="5" t="s">
        <v>205</v>
      </c>
    </row>
    <row r="275" spans="1:36" x14ac:dyDescent="0.35">
      <c r="A275" s="7">
        <v>3</v>
      </c>
      <c r="B275" s="15">
        <v>0.38055555555555554</v>
      </c>
      <c r="C275" s="21" t="s">
        <v>131</v>
      </c>
      <c r="Y275" s="16" t="s">
        <v>189</v>
      </c>
      <c r="Z275" s="16" t="s">
        <v>228</v>
      </c>
      <c r="AA275" s="16" t="s">
        <v>191</v>
      </c>
      <c r="AC275" s="16" t="s">
        <v>192</v>
      </c>
      <c r="AD275" s="16" t="s">
        <v>191</v>
      </c>
      <c r="AE275" s="16" t="s">
        <v>191</v>
      </c>
      <c r="AF275" s="5" t="s">
        <v>231</v>
      </c>
      <c r="AG275" s="5" t="s">
        <v>205</v>
      </c>
    </row>
    <row r="276" spans="1:36" x14ac:dyDescent="0.35">
      <c r="A276" s="2">
        <v>3</v>
      </c>
      <c r="B276" s="15">
        <v>0.37361111111111112</v>
      </c>
      <c r="C276" s="21" t="s">
        <v>131</v>
      </c>
      <c r="Y276" s="16" t="s">
        <v>196</v>
      </c>
      <c r="Z276" s="16" t="s">
        <v>219</v>
      </c>
      <c r="AA276" s="16" t="s">
        <v>193</v>
      </c>
      <c r="AB276" s="16" t="s">
        <v>191</v>
      </c>
      <c r="AC276" s="16" t="s">
        <v>179</v>
      </c>
      <c r="AD276" s="16" t="s">
        <v>191</v>
      </c>
      <c r="AE276" s="16" t="s">
        <v>191</v>
      </c>
      <c r="AF276" s="5" t="s">
        <v>193</v>
      </c>
      <c r="AG276" s="5" t="s">
        <v>200</v>
      </c>
      <c r="AH276" s="5" t="s">
        <v>215</v>
      </c>
    </row>
    <row r="277" spans="1:36" x14ac:dyDescent="0.35">
      <c r="A277" s="7">
        <v>3</v>
      </c>
      <c r="B277" s="15">
        <v>0.33124999999999999</v>
      </c>
      <c r="C277" s="21" t="s">
        <v>131</v>
      </c>
      <c r="Y277" s="16" t="s">
        <v>182</v>
      </c>
      <c r="Z277" s="16" t="s">
        <v>148</v>
      </c>
      <c r="AD277" s="16" t="s">
        <v>215</v>
      </c>
      <c r="AE277" s="16" t="s">
        <v>134</v>
      </c>
      <c r="AF277" s="5" t="s">
        <v>201</v>
      </c>
      <c r="AG277" s="5" t="s">
        <v>200</v>
      </c>
      <c r="AH277" s="5" t="s">
        <v>215</v>
      </c>
    </row>
    <row r="278" spans="1:36" x14ac:dyDescent="0.35">
      <c r="A278" s="2">
        <v>3</v>
      </c>
      <c r="B278" s="15">
        <v>0.30833333333333335</v>
      </c>
      <c r="C278" s="21" t="s">
        <v>131</v>
      </c>
      <c r="Y278" s="16" t="s">
        <v>196</v>
      </c>
      <c r="Z278" s="16" t="s">
        <v>215</v>
      </c>
      <c r="AA278" s="16" t="s">
        <v>216</v>
      </c>
      <c r="AB278" s="16" t="s">
        <v>191</v>
      </c>
      <c r="AC278" s="16" t="s">
        <v>196</v>
      </c>
      <c r="AD278" s="16" t="s">
        <v>191</v>
      </c>
      <c r="AE278" s="16" t="s">
        <v>191</v>
      </c>
    </row>
    <row r="279" spans="1:36" x14ac:dyDescent="0.35">
      <c r="A279" s="7">
        <v>3</v>
      </c>
      <c r="B279" s="15">
        <v>0.30416666666666664</v>
      </c>
      <c r="C279" s="21" t="s">
        <v>131</v>
      </c>
      <c r="Y279" s="16" t="s">
        <v>189</v>
      </c>
      <c r="Z279" s="16" t="s">
        <v>183</v>
      </c>
      <c r="AA279" s="16" t="s">
        <v>191</v>
      </c>
      <c r="AB279" s="16" t="s">
        <v>191</v>
      </c>
      <c r="AC279" s="16" t="s">
        <v>192</v>
      </c>
      <c r="AD279" s="16" t="s">
        <v>217</v>
      </c>
      <c r="AE279" s="16" t="s">
        <v>191</v>
      </c>
      <c r="AF279" s="5" t="s">
        <v>199</v>
      </c>
      <c r="AG279" s="5" t="s">
        <v>194</v>
      </c>
      <c r="AH279" s="5" t="s">
        <v>195</v>
      </c>
      <c r="AI279" s="5" t="s">
        <v>225</v>
      </c>
      <c r="AJ279" s="5" t="s">
        <v>205</v>
      </c>
    </row>
    <row r="280" spans="1:36" x14ac:dyDescent="0.35">
      <c r="A280" s="2">
        <v>3</v>
      </c>
      <c r="B280" s="15">
        <v>0.28125</v>
      </c>
      <c r="C280" s="21" t="s">
        <v>131</v>
      </c>
      <c r="Y280" s="16" t="s">
        <v>196</v>
      </c>
      <c r="Z280" s="16" t="s">
        <v>203</v>
      </c>
      <c r="AA280" s="16" t="s">
        <v>187</v>
      </c>
      <c r="AB280" s="16" t="s">
        <v>152</v>
      </c>
      <c r="AC280" s="16" t="s">
        <v>179</v>
      </c>
      <c r="AD280" s="16" t="s">
        <v>191</v>
      </c>
      <c r="AE280" s="16" t="s">
        <v>134</v>
      </c>
      <c r="AF280" s="5" t="s">
        <v>195</v>
      </c>
      <c r="AG280" s="5" t="s">
        <v>188</v>
      </c>
    </row>
    <row r="281" spans="1:36" x14ac:dyDescent="0.35">
      <c r="A281" s="7">
        <v>3</v>
      </c>
      <c r="B281" s="14">
        <v>0.26666666666666666</v>
      </c>
      <c r="C281" s="21" t="s">
        <v>131</v>
      </c>
      <c r="Y281" s="16" t="s">
        <v>189</v>
      </c>
      <c r="Z281" s="16" t="s">
        <v>221</v>
      </c>
      <c r="AA281" s="16" t="s">
        <v>222</v>
      </c>
      <c r="AC281" s="16" t="s">
        <v>179</v>
      </c>
      <c r="AD281" s="16" t="s">
        <v>191</v>
      </c>
      <c r="AE281" s="16" t="s">
        <v>191</v>
      </c>
    </row>
    <row r="282" spans="1:36" x14ac:dyDescent="0.35">
      <c r="A282" s="2">
        <v>3</v>
      </c>
      <c r="B282" s="15">
        <v>0.25138888888888888</v>
      </c>
      <c r="C282" s="21" t="s">
        <v>131</v>
      </c>
      <c r="Y282" s="16" t="s">
        <v>196</v>
      </c>
      <c r="Z282" s="16" t="s">
        <v>221</v>
      </c>
      <c r="AA282" s="16" t="s">
        <v>199</v>
      </c>
      <c r="AB282" s="16" t="s">
        <v>191</v>
      </c>
      <c r="AC282" s="16" t="s">
        <v>192</v>
      </c>
      <c r="AD282" s="16" t="s">
        <v>191</v>
      </c>
      <c r="AE282" s="16" t="s">
        <v>191</v>
      </c>
      <c r="AF282" s="5" t="s">
        <v>230</v>
      </c>
      <c r="AG282" s="5" t="s">
        <v>205</v>
      </c>
    </row>
    <row r="283" spans="1:36" x14ac:dyDescent="0.35">
      <c r="A283" s="7">
        <v>3</v>
      </c>
      <c r="B283" s="15">
        <v>0.2361111111111111</v>
      </c>
      <c r="C283" s="21" t="s">
        <v>131</v>
      </c>
      <c r="Y283" s="16" t="s">
        <v>189</v>
      </c>
      <c r="Z283" s="16" t="s">
        <v>212</v>
      </c>
      <c r="AA283" s="16" t="s">
        <v>191</v>
      </c>
      <c r="AC283" s="16" t="s">
        <v>196</v>
      </c>
      <c r="AD283" s="16" t="s">
        <v>191</v>
      </c>
      <c r="AE283" s="16" t="s">
        <v>191</v>
      </c>
      <c r="AF283" s="5" t="s">
        <v>199</v>
      </c>
      <c r="AG283" s="5" t="s">
        <v>194</v>
      </c>
      <c r="AH283" s="5" t="s">
        <v>191</v>
      </c>
      <c r="AI283" s="5" t="s">
        <v>219</v>
      </c>
      <c r="AJ283" s="5" t="s">
        <v>188</v>
      </c>
    </row>
    <row r="284" spans="1:36" x14ac:dyDescent="0.35">
      <c r="A284" s="7">
        <v>3</v>
      </c>
      <c r="B284" s="15">
        <v>0.20902777777777778</v>
      </c>
      <c r="C284" s="21" t="s">
        <v>131</v>
      </c>
      <c r="Y284" s="16" t="s">
        <v>206</v>
      </c>
      <c r="Z284" s="16" t="s">
        <v>217</v>
      </c>
      <c r="AA284" s="16" t="s">
        <v>210</v>
      </c>
      <c r="AB284" s="16" t="s">
        <v>191</v>
      </c>
      <c r="AC284" s="16" t="s">
        <v>192</v>
      </c>
      <c r="AD284" s="16" t="s">
        <v>191</v>
      </c>
      <c r="AE284" s="16" t="s">
        <v>191</v>
      </c>
    </row>
    <row r="285" spans="1:36" x14ac:dyDescent="0.35">
      <c r="A285" s="2">
        <v>3</v>
      </c>
      <c r="B285" s="15">
        <v>0.20277777777777778</v>
      </c>
      <c r="C285" s="21" t="s">
        <v>131</v>
      </c>
      <c r="Y285" s="16" t="s">
        <v>189</v>
      </c>
      <c r="Z285" s="16" t="s">
        <v>216</v>
      </c>
      <c r="AA285" s="16" t="s">
        <v>191</v>
      </c>
      <c r="AC285" s="16" t="s">
        <v>179</v>
      </c>
      <c r="AD285" s="16" t="s">
        <v>191</v>
      </c>
      <c r="AE285" s="16" t="s">
        <v>191</v>
      </c>
    </row>
    <row r="286" spans="1:36" x14ac:dyDescent="0.35">
      <c r="A286" s="7">
        <v>3</v>
      </c>
      <c r="B286" s="15">
        <v>9.583333333333334E-2</v>
      </c>
      <c r="C286" s="21" t="s">
        <v>131</v>
      </c>
      <c r="Y286" s="16" t="s">
        <v>196</v>
      </c>
      <c r="Z286" s="16" t="s">
        <v>186</v>
      </c>
      <c r="AA286" s="16" t="s">
        <v>191</v>
      </c>
      <c r="AB286" s="16" t="s">
        <v>191</v>
      </c>
      <c r="AC286" s="16" t="s">
        <v>196</v>
      </c>
      <c r="AD286" s="16" t="s">
        <v>191</v>
      </c>
      <c r="AE286" s="16" t="s">
        <v>152</v>
      </c>
      <c r="AF286" s="5" t="s">
        <v>201</v>
      </c>
      <c r="AG286" s="5" t="s">
        <v>205</v>
      </c>
    </row>
    <row r="287" spans="1:36" x14ac:dyDescent="0.35">
      <c r="B287" s="15"/>
    </row>
    <row r="288" spans="1:36" x14ac:dyDescent="0.35">
      <c r="B288" s="15"/>
    </row>
    <row r="289" spans="1:2" x14ac:dyDescent="0.35">
      <c r="A289" s="7"/>
      <c r="B289" s="15"/>
    </row>
    <row r="290" spans="1:2" x14ac:dyDescent="0.35">
      <c r="B290" s="15"/>
    </row>
    <row r="291" spans="1:2" x14ac:dyDescent="0.35">
      <c r="B291" s="15"/>
    </row>
    <row r="292" spans="1:2" x14ac:dyDescent="0.35">
      <c r="A292" s="7"/>
      <c r="B292" s="15"/>
    </row>
    <row r="293" spans="1:2" x14ac:dyDescent="0.35">
      <c r="A293" s="7"/>
      <c r="B293" s="15"/>
    </row>
    <row r="294" spans="1:2" x14ac:dyDescent="0.35">
      <c r="B294" s="15"/>
    </row>
    <row r="295" spans="1:2" x14ac:dyDescent="0.35">
      <c r="A295" s="7"/>
      <c r="B295" s="15"/>
    </row>
    <row r="296" spans="1:2" x14ac:dyDescent="0.35">
      <c r="B296" s="15"/>
    </row>
    <row r="297" spans="1:2" x14ac:dyDescent="0.35">
      <c r="A297" s="7"/>
      <c r="B297" s="15"/>
    </row>
    <row r="298" spans="1:2" x14ac:dyDescent="0.35">
      <c r="A298" s="7"/>
      <c r="B298" s="15"/>
    </row>
    <row r="299" spans="1:2" x14ac:dyDescent="0.35">
      <c r="B299" s="15"/>
    </row>
    <row r="300" spans="1:2" x14ac:dyDescent="0.35">
      <c r="A300" s="7"/>
      <c r="B300" s="14"/>
    </row>
    <row r="301" spans="1:2" x14ac:dyDescent="0.35">
      <c r="B301" s="15"/>
    </row>
    <row r="302" spans="1:2" x14ac:dyDescent="0.35">
      <c r="B302" s="15"/>
    </row>
    <row r="303" spans="1:2" x14ac:dyDescent="0.35">
      <c r="A303" s="7"/>
      <c r="B303" s="14"/>
    </row>
    <row r="304" spans="1:2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A2" sqref="A2:XFD39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x14ac:dyDescent="0.35">
      <c r="A2" s="8">
        <v>21</v>
      </c>
      <c r="B2" s="8" t="s">
        <v>236</v>
      </c>
      <c r="C2" s="8" t="s">
        <v>132</v>
      </c>
      <c r="D2" s="8" t="s">
        <v>196</v>
      </c>
      <c r="E2" s="8">
        <v>13.816666666667</v>
      </c>
      <c r="F2" s="8" t="s">
        <v>130</v>
      </c>
      <c r="G2" s="19" t="s">
        <v>275</v>
      </c>
      <c r="H2" s="9">
        <f>COUNTIFS(Tracking!E:E,A2,Tracking!D:D,C2,Tracking!C:C,"5v5")</f>
        <v>2</v>
      </c>
      <c r="I2" s="9">
        <f>COUNTIFS(Tracking!E:E,A2,Tracking!D:D,C2,Tracking!N:N,"y",Tracking!C:C,"5v5")</f>
        <v>0</v>
      </c>
      <c r="J2" s="9">
        <f>COUNTIFS(Tracking!E:E,A2,Tracking!D:D,C2,Tracking!M:M,"y",Tracking!C:C,"5v5")</f>
        <v>2</v>
      </c>
      <c r="K2" s="9">
        <f t="shared" ref="K2:K37" si="0">L2+M2+N2</f>
        <v>5</v>
      </c>
      <c r="L2" s="9">
        <f>COUNTIFS(Tracking!G:G,A2,Tracking!D:D,C2,Tracking!C:C,"5v5")</f>
        <v>3</v>
      </c>
      <c r="M2" s="9">
        <f>COUNTIFS(Tracking!H:H,A2,Tracking!D:D,C2,Tracking!C:C,"5v5")</f>
        <v>0</v>
      </c>
      <c r="N2" s="9">
        <f>COUNTIFS(Tracking!I:I,A2,Tracking!D:D,C2,Tracking!C:C,"5v5")</f>
        <v>2</v>
      </c>
      <c r="O2" s="9">
        <f>COUNTIFS(Tracking!G:G,A2,Tracking!D:D,C2,Tracking!C:C,"5v5",Tracking!M:M,"y")</f>
        <v>1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0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0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1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0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1</v>
      </c>
      <c r="V2" s="9">
        <f>COUNTIFS(Tracking!E:E,A2,Tracking!D:D,C2,Tracking!C:C,"5v5",Tracking!P:P,"r")</f>
        <v>2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3</v>
      </c>
      <c r="X2" s="9">
        <f>COUNTIFS(Tracking!E:E,A2,Tracking!D:D,C2,Tracking!C:C,"5v5",Tracking!P:P,"f")</f>
        <v>0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0</v>
      </c>
      <c r="Z2" s="9">
        <f>COUNTIFS(Tracking!E:E,A2,Tracking!D:D,C2,Tracking!C:C,"5v5",Tracking!P:P,"c")</f>
        <v>0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1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0</v>
      </c>
      <c r="AC2" s="11">
        <f>COUNTIFS(Tracking!Z:Z,A2&amp;C2,Tracking!C:C,"5v5")-AE2</f>
        <v>5</v>
      </c>
      <c r="AD2" s="11">
        <f>COUNTIFS(Tracking!Z:Z,A2&amp;C2,Tracking!C:C,"5v5",Tracking!Y:Y,"C")</f>
        <v>5</v>
      </c>
      <c r="AE2" s="11">
        <f>COUNTIFS(Tracking!Z:Z,A2&amp;C2,Tracking!C:C,"5v5",Tracking!Y:Y,"F")</f>
        <v>3</v>
      </c>
      <c r="AF2" s="11">
        <f>COUNTIFS(Tracking!Z:Z,A2&amp;C2,Tracking!C:C,"5v5",Tracking!Y:Y,"C",Tracking!AB:AB,"Y")</f>
        <v>2</v>
      </c>
      <c r="AG2" s="11">
        <f>COUNTIFS(Tracking!AD:AD,A2&amp;C2,Tracking!C:C,"5v5")</f>
        <v>1</v>
      </c>
      <c r="AH2" s="11">
        <f>COUNTIFS(Tracking!Z:Z,A2&amp;C2,Tracking!C:C,"5v5",Tracking!Y:Y,"C",Tracking!AE:AE,"Y")</f>
        <v>2</v>
      </c>
      <c r="AI2" s="11">
        <f>COUNTIFS(Tracking!Z:Z,A2&amp;C2,Tracking!C:C,"5v5",Tracking!Y:Y,"D",Tracking!AE:AE,"Y")</f>
        <v>0</v>
      </c>
      <c r="AJ2" s="11">
        <f>COUNTIFS(Tracking!AH:AH,A2&amp;C2)</f>
        <v>1</v>
      </c>
      <c r="AK2" s="5">
        <f>COUNTIFS(Tracking!AI:AI,A2&amp;C2,Tracking!C:C,"5v5")+AL2</f>
        <v>3</v>
      </c>
      <c r="AL2" s="5">
        <f>COUNTIFS(Tracking!AF:AF,A2&amp;C2,Tracking!C:C,"5v5")-AT2</f>
        <v>3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1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1</v>
      </c>
      <c r="AO2" s="5">
        <f>COUNTIFS(Tracking!AF:AF,A2&amp;C2,Tracking!C:C,"5v5",Tracking!AG:AG,"CEX")+COUNTIFS(Tracking!AI:AI,A2&amp;C2,Tracking!C:C,"5v5",Tracking!AJ:AJ,"CEX")</f>
        <v>1</v>
      </c>
      <c r="AP2" s="5">
        <f>COUNTIFS(Tracking!AF:AF,A2&amp;C2,Tracking!C:C,"5v5",Tracking!AG:AG,"PEX")</f>
        <v>0</v>
      </c>
      <c r="AQ2" s="5">
        <f>COUNTIFS(Tracking!AF:AF,A2&amp;C2,Tracking!C:C,"5v5",Tracking!AG:AG,"CLE")+COUNTIFS(Tracking!AI:AI,A2&amp;C2,Tracking!C:C,"5v5",Tracking!AJ:AJ,"CLE")</f>
        <v>0</v>
      </c>
      <c r="AR2" s="5">
        <f>COUNTIFS(Tracking!AF:AF,A2&amp;C2,Tracking!C:C,"5v5",Tracking!AG:AG,"MEX")</f>
        <v>1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2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1</v>
      </c>
      <c r="AV2" s="5">
        <f>COUNTIFS(Tracking!AF:AF,A2&amp;C2,Tracking!C:C,"5v5",Tracking!AG:AG,"FEX")+COUNTIFS(Tracking!AI:AI,A2&amp;C2,Tracking!C:C,"5v5",Tracking!AJ:AJ,"FEX")</f>
        <v>0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1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0</v>
      </c>
      <c r="AY2" s="1">
        <f>COUNTIFS(Tracking!AA:AA,A2&amp;C2,Tracking!C:C,"5v5")</f>
        <v>0</v>
      </c>
      <c r="AZ2" s="1">
        <f>COUNTIFS(Tracking!AA:AA,A2&amp;C2,Tracking!C:C,"5v5",Tracking!Y:Y,"C")</f>
        <v>0</v>
      </c>
      <c r="BA2" s="1">
        <f>COUNTIFS(Tracking!AA:AA,A2&amp;C2,Tracking!C:C,"5v5",Tracking!Y:Y,"F")</f>
        <v>0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0</v>
      </c>
      <c r="BD2" s="1">
        <f>COUNTIFS(Tracking!AA:AA,A2&amp;C2,Tracking!C:C,"5v5",Tracking!Y:Y,"D",Tracking!AE:AE,"Y")</f>
        <v>0</v>
      </c>
      <c r="BE2" s="10">
        <f>COUNTIFS(Tracking!Z:Z,A2&amp;C2,Tracking!C:C,"5v4")</f>
        <v>0</v>
      </c>
      <c r="BF2" s="10">
        <f>COUNTIFS(Tracking!Z:Z,A2&amp;C2,Tracking!C:C,"5v4",Tracking!Y:Y,"C")</f>
        <v>0</v>
      </c>
      <c r="BG2" s="10">
        <f>COUNTIFS(Tracking!Z:Z,A2&amp;C2,Tracking!C:C,"5v4",Tracking!AB:AB,"Y")</f>
        <v>0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0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9</v>
      </c>
      <c r="BL2" s="10">
        <f>COUNTIFS(Tracking!G:G,A2,Tracking!D:D,C2,Tracking!C:C,"5v4")</f>
        <v>8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2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1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0</v>
      </c>
      <c r="BS2" s="12">
        <f>COUNTIFS(Tracking!E:E,A2,Tracking!D:D,C2,Tracking!C:C,"5v5",Tracking!F:F,"r")</f>
        <v>0</v>
      </c>
      <c r="BT2" s="12">
        <f>COUNTIFS(Tracking!E:E,A2,Tracking!D:D,C2,Tracking!C:C,"5v5",Tracking!F:F,"t")</f>
        <v>0</v>
      </c>
      <c r="BU2" s="12">
        <f>COUNTIFS(Tracking!G:G,A2,Tracking!D:D,C2,Tracking!C:C,"5v5",Tracking!F:F,"o")</f>
        <v>1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1</v>
      </c>
      <c r="BX2" s="12">
        <f>COUNTIFS(Tracking!E:E,A2,Tracking!D:D,C2,Tracking!C:C,"5v5",Tracking!Q:Q,"OZ")</f>
        <v>0</v>
      </c>
      <c r="BY2" s="12">
        <f>COUNTIFS(Tracking!E:E,A2,Tracking!D:D,C2,Tracking!C:C,"5v5",Tracking!Q:Q,"nZ")</f>
        <v>1</v>
      </c>
      <c r="BZ2" s="12">
        <f>COUNTIFS(Tracking!E:E,A2,Tracking!D:D,C2,Tracking!C:C,"5v5",Tracking!Q:Q,"dZ")</f>
        <v>1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2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0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3</v>
      </c>
      <c r="CD2" s="12">
        <f>COUNTIFS(Tracking!E:E,A2,Tracking!D:D,C2,Tracking!C:C,"5v5",Tracking!R:R,"dz exit")</f>
        <v>1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1</v>
      </c>
      <c r="CI2" s="12">
        <f>COUNTIFS(Tracking!E:E,A2,Tracking!D:D,C2,Tracking!C:C,"5v5",Tracking!R:R,"controlled breakout")</f>
        <v>0</v>
      </c>
      <c r="CJ2" s="2">
        <f t="shared" ref="CJ2:CJ37" si="1">CK2+CL2+CM2+CN2+CO2+CP2</f>
        <v>1.2550000000000001</v>
      </c>
      <c r="CK2" s="2">
        <f>(0.075*H2)+(0.07*L2)+(0.055*M2)+(0.055*N2)+(0.095*J2)+(0.09*O2)+(0.05*P2)+(0.05*R2)+(0.05*S2)+(0.05*AB2)</f>
        <v>0.79999999999999993</v>
      </c>
      <c r="CL2" s="2">
        <f t="shared" ref="CL2:CL37" si="2">(0.045*AD2)-(0.045*AE2)+(0.055*AH2)+(0.035*AI2)</f>
        <v>0.19999999999999996</v>
      </c>
      <c r="CM2" s="2">
        <f>(0.025*(AY2-AZ2))+(0.035*BA2)-(0.015*BB2)-(0.015*BC2)+(0.015*(AY2-(BD2+BC2)))</f>
        <v>0</v>
      </c>
      <c r="CN2" s="2">
        <f t="shared" ref="CN2:CN37" si="3">(0.035*AN2)+(0.025*AS2)-(0.035*AT2)-(0.035*AV2)</f>
        <v>8.5000000000000006E-2</v>
      </c>
      <c r="CO2" s="2">
        <f t="shared" ref="CO2:CO37" si="4">(0.015*AJ2)+(0.045*AG2)</f>
        <v>0.06</v>
      </c>
      <c r="CP2" s="2">
        <f t="shared" ref="CP2:CP37" si="5">(0.055*BM2)+(0.055*BN2)+(0.035*BO2)+(0.035*BQ2)+(0.055*BH2)+(0.035*BI2)+(0.035*BG2)</f>
        <v>0.11</v>
      </c>
      <c r="CQ2" s="2">
        <f t="shared" ref="CQ2:CQ37" si="6">CK2+CL2+CM2+CN2+CO2</f>
        <v>1.145</v>
      </c>
    </row>
    <row r="3" spans="1:126" x14ac:dyDescent="0.35">
      <c r="A3" s="8">
        <v>23</v>
      </c>
      <c r="B3" s="8" t="s">
        <v>237</v>
      </c>
      <c r="C3" s="8" t="s">
        <v>132</v>
      </c>
      <c r="D3" s="8" t="s">
        <v>196</v>
      </c>
      <c r="E3" s="8">
        <v>11.45</v>
      </c>
      <c r="F3" s="8" t="s">
        <v>130</v>
      </c>
      <c r="G3" s="19" t="s">
        <v>275</v>
      </c>
      <c r="H3" s="9">
        <f>COUNTIFS(Tracking!E:E,A3,Tracking!D:D,C3,Tracking!C:C,"5v5")</f>
        <v>2</v>
      </c>
      <c r="I3" s="9">
        <f>COUNTIFS(Tracking!E:E,A3,Tracking!D:D,C3,Tracking!N:N,"y",Tracking!C:C,"5v5")</f>
        <v>1</v>
      </c>
      <c r="J3" s="9">
        <f>COUNTIFS(Tracking!E:E,A3,Tracking!D:D,C3,Tracking!M:M,"y",Tracking!C:C,"5v5")</f>
        <v>1</v>
      </c>
      <c r="K3" s="9">
        <f t="shared" si="0"/>
        <v>3</v>
      </c>
      <c r="L3" s="9">
        <f>COUNTIFS(Tracking!G:G,A3,Tracking!D:D,C3,Tracking!C:C,"5v5")</f>
        <v>1</v>
      </c>
      <c r="M3" s="9">
        <f>COUNTIFS(Tracking!H:H,A3,Tracking!D:D,C3,Tracking!C:C,"5v5")</f>
        <v>1</v>
      </c>
      <c r="N3" s="9">
        <f>COUNTIFS(Tracking!I:I,A3,Tracking!D:D,C3,Tracking!C:C,"5v5")</f>
        <v>1</v>
      </c>
      <c r="O3" s="9">
        <f>COUNTIFS(Tracking!G:G,A3,Tracking!D:D,C3,Tracking!C:C,"5v5",Tracking!M:M,"y")</f>
        <v>0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1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0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0</v>
      </c>
      <c r="V3" s="9">
        <f>COUNTIFS(Tracking!E:E,A3,Tracking!D:D,C3,Tracking!C:C,"5v5",Tracking!P:P,"r")</f>
        <v>0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0</v>
      </c>
      <c r="X3" s="9">
        <f>COUNTIFS(Tracking!E:E,A3,Tracking!D:D,C3,Tracking!C:C,"5v5",Tracking!P:P,"f")</f>
        <v>1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2</v>
      </c>
      <c r="Z3" s="9">
        <f>COUNTIFS(Tracking!E:E,A3,Tracking!D:D,C3,Tracking!C:C,"5v5",Tracking!P:P,"c")</f>
        <v>1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1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0</v>
      </c>
      <c r="AC3" s="11">
        <f>COUNTIFS(Tracking!Z:Z,A3&amp;C3,Tracking!C:C,"5v5")-AE3</f>
        <v>1</v>
      </c>
      <c r="AD3" s="11">
        <f>COUNTIFS(Tracking!Z:Z,A3&amp;C3,Tracking!C:C,"5v5",Tracking!Y:Y,"C")</f>
        <v>0</v>
      </c>
      <c r="AE3" s="11">
        <f>COUNTIFS(Tracking!Z:Z,A3&amp;C3,Tracking!C:C,"5v5",Tracking!Y:Y,"F")</f>
        <v>1</v>
      </c>
      <c r="AF3" s="11">
        <f>COUNTIFS(Tracking!Z:Z,A3&amp;C3,Tracking!C:C,"5v5",Tracking!Y:Y,"C",Tracking!AB:AB,"Y")</f>
        <v>0</v>
      </c>
      <c r="AG3" s="11">
        <f>COUNTIFS(Tracking!AD:AD,A3&amp;C3,Tracking!C:C,"5v5")</f>
        <v>2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0</v>
      </c>
      <c r="AJ3" s="11">
        <f>COUNTIFS(Tracking!AH:AH,A3&amp;C3)</f>
        <v>2</v>
      </c>
      <c r="AK3" s="5">
        <f>COUNTIFS(Tracking!AI:AI,A3&amp;C3,Tracking!C:C,"5v5")+AL3</f>
        <v>2</v>
      </c>
      <c r="AL3" s="5">
        <f>COUNTIFS(Tracking!AF:AF,A3&amp;C3,Tracking!C:C,"5v5")-AT3</f>
        <v>1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1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1</v>
      </c>
      <c r="AO3" s="5">
        <f>COUNTIFS(Tracking!AF:AF,A3&amp;C3,Tracking!C:C,"5v5",Tracking!AG:AG,"CEX")+COUNTIFS(Tracking!AI:AI,A3&amp;C3,Tracking!C:C,"5v5",Tracking!AJ:AJ,"CEX")</f>
        <v>0</v>
      </c>
      <c r="AP3" s="5">
        <f>COUNTIFS(Tracking!AF:AF,A3&amp;C3,Tracking!C:C,"5v5",Tracking!AG:AG,"PEX")</f>
        <v>0</v>
      </c>
      <c r="AQ3" s="5">
        <f>COUNTIFS(Tracking!AF:AF,A3&amp;C3,Tracking!C:C,"5v5",Tracking!AG:AG,"CLE")+COUNTIFS(Tracking!AI:AI,A3&amp;C3,Tracking!C:C,"5v5",Tracking!AJ:AJ,"CLE")</f>
        <v>0</v>
      </c>
      <c r="AR3" s="5">
        <f>COUNTIFS(Tracking!AF:AF,A3&amp;C3,Tracking!C:C,"5v5",Tracking!AG:AG,"MEX")</f>
        <v>0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1</v>
      </c>
      <c r="AT3" s="5">
        <f>COUNTIFS(Tracking!AF:AF,A3&amp;C3,Tracking!C:C,"5v5",Tracking!AG:AG,"BOT")+COUNTIFS(Tracking!AF:AF,A3&amp;C3,Tracking!C:C,"5v5",Tracking!AG:AG,"FEX")</f>
        <v>1</v>
      </c>
      <c r="AU3" s="5">
        <f>COUNTIFS(Tracking!AF:AF,A3&amp;C3,Tracking!C:C,"5v5",Tracking!AG:AG,"EXC")</f>
        <v>1</v>
      </c>
      <c r="AV3" s="5">
        <f>COUNTIFS(Tracking!AF:AF,A3&amp;C3,Tracking!C:C,"5v5",Tracking!AG:AG,"FEX")+COUNTIFS(Tracking!AI:AI,A3&amp;C3,Tracking!C:C,"5v5",Tracking!AJ:AJ,"FEX")</f>
        <v>1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0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1</v>
      </c>
      <c r="AY3" s="1">
        <f>COUNTIFS(Tracking!AA:AA,A3&amp;C3,Tracking!C:C,"5v5")</f>
        <v>2</v>
      </c>
      <c r="AZ3" s="1">
        <f>COUNTIFS(Tracking!AA:AA,A3&amp;C3,Tracking!C:C,"5v5",Tracking!Y:Y,"C")</f>
        <v>2</v>
      </c>
      <c r="BA3" s="1">
        <f>COUNTIFS(Tracking!AA:AA,A3&amp;C3,Tracking!C:C,"5v5",Tracking!Y:Y,"F")</f>
        <v>0</v>
      </c>
      <c r="BB3" s="1">
        <f>COUNTIFS(Tracking!AA:AA,A3&amp;C3,Tracking!C:C,"5v5",Tracking!AB:AB,"Y")</f>
        <v>2</v>
      </c>
      <c r="BC3" s="1">
        <f>COUNTIFS(Tracking!AA:AA,A3&amp;C3,Tracking!C:C,"5v5",Tracking!Y:Y,"C",Tracking!AE:AE,"Y")</f>
        <v>0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0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1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0</v>
      </c>
      <c r="BV3" s="12">
        <f>COUNTIFS(Tracking!E:E,A2,Tracking!D:D,C3,Tracking!C:C,"5v5",Tracking!F:F,"r")</f>
        <v>0</v>
      </c>
      <c r="BW3" s="12">
        <f>COUNTIFS(Tracking!G:G,A3,Tracking!D:D,C3,Tracking!C:C,"5v5",Tracking!F:F,"T")</f>
        <v>0</v>
      </c>
      <c r="BX3" s="12">
        <f>COUNTIFS(Tracking!E:E,A3,Tracking!D:D,C3,Tracking!C:C,"5v5",Tracking!Q:Q,"OZ")</f>
        <v>2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0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3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0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0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0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0.49000000000000005</v>
      </c>
      <c r="CK3" s="2">
        <f t="shared" ref="CK3:CK37" si="7">(0.075*H3)+(0.07*L3)+(0.055*M3)+(0.055*N3)+(0.095*J3)+(0.09*O3)+(0.05*P3)+(0.05*R3)+(0.05*S3)+(0.05*AB3)</f>
        <v>0.42500000000000004</v>
      </c>
      <c r="CL3" s="2">
        <f t="shared" si="2"/>
        <v>-4.4999999999999998E-2</v>
      </c>
      <c r="CM3" s="2">
        <f t="shared" ref="CM3" si="8">(0.025*(AY3-AZ3))+(0.035*BA3)-(0.015*BB3)-(0.015*BC3)+(0.015*(AY3-(BD3+BC3)))</f>
        <v>0</v>
      </c>
      <c r="CN3" s="2">
        <f t="shared" si="3"/>
        <v>-1.0000000000000002E-2</v>
      </c>
      <c r="CO3" s="2">
        <f t="shared" si="4"/>
        <v>0.12</v>
      </c>
      <c r="CP3" s="2">
        <f t="shared" si="5"/>
        <v>0</v>
      </c>
      <c r="CQ3" s="2">
        <f t="shared" si="6"/>
        <v>0.49000000000000005</v>
      </c>
    </row>
    <row r="4" spans="1:126" x14ac:dyDescent="0.35">
      <c r="A4" s="8">
        <v>91</v>
      </c>
      <c r="B4" s="8" t="s">
        <v>238</v>
      </c>
      <c r="C4" s="8" t="s">
        <v>132</v>
      </c>
      <c r="D4" s="8" t="s">
        <v>179</v>
      </c>
      <c r="E4" s="8">
        <v>10.8</v>
      </c>
      <c r="F4" s="8" t="s">
        <v>130</v>
      </c>
      <c r="G4" s="19" t="s">
        <v>275</v>
      </c>
      <c r="H4" s="9">
        <f>COUNTIFS(Tracking!E:E,A4,Tracking!D:D,C4,Tracking!C:C,"5v5")</f>
        <v>1</v>
      </c>
      <c r="I4" s="9">
        <f>COUNTIFS(Tracking!E:E,A4,Tracking!D:D,C4,Tracking!N:N,"y",Tracking!C:C,"5v5")</f>
        <v>1</v>
      </c>
      <c r="J4" s="9">
        <f>COUNTIFS(Tracking!E:E,A4,Tracking!D:D,C4,Tracking!M:M,"y",Tracking!C:C,"5v5")</f>
        <v>1</v>
      </c>
      <c r="K4" s="9">
        <f t="shared" si="0"/>
        <v>3</v>
      </c>
      <c r="L4" s="9">
        <f>COUNTIFS(Tracking!G:G,A4,Tracking!D:D,C4,Tracking!C:C,"5v5")</f>
        <v>1</v>
      </c>
      <c r="M4" s="9">
        <f>COUNTIFS(Tracking!H:H,A4,Tracking!D:D,C4,Tracking!C:C,"5v5")</f>
        <v>2</v>
      </c>
      <c r="N4" s="9">
        <f>COUNTIFS(Tracking!I:I,A4,Tracking!D:D,C4,Tracking!C:C,"5v5")</f>
        <v>0</v>
      </c>
      <c r="O4" s="9">
        <f>COUNTIFS(Tracking!G:G,A4,Tracking!D:D,C4,Tracking!C:C,"5v5",Tracking!M:M,"y")</f>
        <v>1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0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0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0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0</v>
      </c>
      <c r="V4" s="9">
        <f>COUNTIFS(Tracking!E:E,A4,Tracking!D:D,C4,Tracking!C:C,"5v5",Tracking!P:P,"r")</f>
        <v>0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0</v>
      </c>
      <c r="X4" s="9">
        <f>COUNTIFS(Tracking!E:E,A4,Tracking!D:D,C4,Tracking!C:C,"5v5",Tracking!P:P,"f")</f>
        <v>0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2</v>
      </c>
      <c r="Z4" s="9">
        <f>COUNTIFS(Tracking!E:E,A4,Tracking!D:D,C4,Tracking!C:C,"5v5",Tracking!P:P,"c")</f>
        <v>1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1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1</v>
      </c>
      <c r="AC4" s="11">
        <f>COUNTIFS(Tracking!Z:Z,A4&amp;C4,Tracking!C:C,"5v5")-AE4</f>
        <v>3</v>
      </c>
      <c r="AD4" s="11">
        <f>COUNTIFS(Tracking!Z:Z,A4&amp;C4,Tracking!C:C,"5v5",Tracking!Y:Y,"C")</f>
        <v>3</v>
      </c>
      <c r="AE4" s="11">
        <f>COUNTIFS(Tracking!Z:Z,A4&amp;C4,Tracking!C:C,"5v5",Tracking!Y:Y,"F")</f>
        <v>0</v>
      </c>
      <c r="AF4" s="11">
        <f>COUNTIFS(Tracking!Z:Z,A4&amp;C4,Tracking!C:C,"5v5",Tracking!Y:Y,"C",Tracking!AB:AB,"Y")</f>
        <v>0</v>
      </c>
      <c r="AG4" s="11">
        <f>COUNTIFS(Tracking!AD:AD,A4&amp;C4,Tracking!C:C,"5v5")</f>
        <v>0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0</v>
      </c>
      <c r="AJ4" s="11">
        <f>COUNTIFS(Tracking!AH:AH,A4&amp;C4)</f>
        <v>3</v>
      </c>
      <c r="AK4" s="5">
        <f>COUNTIFS(Tracking!AI:AI,A4&amp;C4,Tracking!C:C,"5v5")+AL4</f>
        <v>1</v>
      </c>
      <c r="AL4" s="5">
        <f>COUNTIFS(Tracking!AF:AF,A4&amp;C4,Tracking!C:C,"5v5")-AT4</f>
        <v>1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0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0</v>
      </c>
      <c r="AO4" s="5">
        <f>COUNTIFS(Tracking!AF:AF,A4&amp;C4,Tracking!C:C,"5v5",Tracking!AG:AG,"CEX")+COUNTIFS(Tracking!AI:AI,A4&amp;C4,Tracking!C:C,"5v5",Tracking!AJ:AJ,"CEX")</f>
        <v>0</v>
      </c>
      <c r="AP4" s="5">
        <f>COUNTIFS(Tracking!AF:AF,A4&amp;C4,Tracking!C:C,"5v5",Tracking!AG:AG,"PEX")</f>
        <v>0</v>
      </c>
      <c r="AQ4" s="5">
        <f>COUNTIFS(Tracking!AF:AF,A4&amp;C4,Tracking!C:C,"5v5",Tracking!AG:AG,"CLE")+COUNTIFS(Tracking!AI:AI,A4&amp;C4,Tracking!C:C,"5v5",Tracking!AJ:AJ,"CLE")</f>
        <v>0</v>
      </c>
      <c r="AR4" s="5">
        <f>COUNTIFS(Tracking!AF:AF,A4&amp;C4,Tracking!C:C,"5v5",Tracking!AG:AG,"MEX")</f>
        <v>1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0</v>
      </c>
      <c r="AT4" s="5">
        <f>COUNTIFS(Tracking!AF:AF,A4&amp;C4,Tracking!C:C,"5v5",Tracking!AG:AG,"BOT")+COUNTIFS(Tracking!AF:AF,A4&amp;C4,Tracking!C:C,"5v5",Tracking!AG:AG,"FEX")</f>
        <v>1</v>
      </c>
      <c r="AU4" s="5">
        <f>COUNTIFS(Tracking!AF:AF,A4&amp;C4,Tracking!C:C,"5v5",Tracking!AG:AG,"EXC")</f>
        <v>0</v>
      </c>
      <c r="AV4" s="5">
        <f>COUNTIFS(Tracking!AF:AF,A4&amp;C4,Tracking!C:C,"5v5",Tracking!AG:AG,"FEX")+COUNTIFS(Tracking!AI:AI,A4&amp;C4,Tracking!C:C,"5v5",Tracking!AJ:AJ,"FEX")</f>
        <v>1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0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0</v>
      </c>
      <c r="AY4" s="1">
        <f>COUNTIFS(Tracking!AA:AA,A4&amp;C4,Tracking!C:C,"5v5")</f>
        <v>0</v>
      </c>
      <c r="AZ4" s="1">
        <f>COUNTIFS(Tracking!AA:AA,A4&amp;C4,Tracking!C:C,"5v5",Tracking!Y:Y,"C")</f>
        <v>0</v>
      </c>
      <c r="BA4" s="1">
        <f>COUNTIFS(Tracking!AA:AA,A4&amp;C4,Tracking!C:C,"5v5",Tracking!Y:Y,"F")</f>
        <v>0</v>
      </c>
      <c r="BB4" s="1">
        <f>COUNTIFS(Tracking!AA:AA,A4&amp;C4,Tracking!C:C,"5v5",Tracking!AB:AB,"Y")</f>
        <v>0</v>
      </c>
      <c r="BC4" s="1">
        <f>COUNTIFS(Tracking!AA:AA,A4&amp;C4,Tracking!C:C,"5v5",Tracking!Y:Y,"C",Tracking!AE:AE,"Y")</f>
        <v>0</v>
      </c>
      <c r="BD4" s="1">
        <f>COUNTIFS(Tracking!AA:AA,A4&amp;C4,Tracking!C:C,"5v5",Tracking!Y:Y,"D",Tracking!AE:AE,"Y")</f>
        <v>0</v>
      </c>
      <c r="BE4" s="10">
        <f>COUNTIFS(Tracking!Z:Z,A4&amp;C4,Tracking!C:C,"5v4")</f>
        <v>0</v>
      </c>
      <c r="BF4" s="10">
        <f>COUNTIFS(Tracking!Z:Z,A4&amp;C4,Tracking!C:C,"5v4",Tracking!Y:Y,"C")</f>
        <v>0</v>
      </c>
      <c r="BG4" s="10">
        <f>COUNTIFS(Tracking!Z:Z,A4&amp;C4,Tracking!C:C,"5v4",Tracking!AB:AB,"Y")</f>
        <v>0</v>
      </c>
      <c r="BH4" s="10">
        <f>COUNTIFS(Tracking!Z:Z,A4&amp;C4,Tracking!C:C,"4v5")</f>
        <v>0</v>
      </c>
      <c r="BI4" s="10">
        <f>COUNTIFS(Tracking!AA:AA,A4&amp;C4,Tracking!C:C,"5v4",Tracking!Y:Y,"D")+COUNTIFS(Tracking!AA:AA,A4&amp;C4,Tracking!C:C,"5v4",Tracking!Y:Y,"F")</f>
        <v>1</v>
      </c>
      <c r="BJ4" s="10">
        <f>COUNTIFS(Tracking!E:E,A4,Tracking!D:D,C4,Tracking!C:C,"5v4")</f>
        <v>0</v>
      </c>
      <c r="BK4" s="10">
        <f>COUNTIFS(Tracking!G:G,A4,Tracking!D:D,C4,Tracking!C:C,"5v4")+COUNTIFS(Tracking!H:H,A4,Tracking!D:D,C4,Tracking!C:C,"5v4")+COUNTIFS(Tracking!I:I,A4,Tracking!D:D,C4,Tracking!C:C,"5v4")</f>
        <v>0</v>
      </c>
      <c r="BL4" s="10">
        <f>COUNTIFS(Tracking!G:G,A4,Tracking!D:D,C4,Tracking!C:C,"5v4")</f>
        <v>0</v>
      </c>
      <c r="BM4" s="10">
        <f>COUNTIFS(Tracking!E:E,A4,Tracking!D:D,C4,Tracking!C:C,"5v4",Tracking!M:M,"Y")</f>
        <v>0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0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0</v>
      </c>
      <c r="BU4" s="12">
        <f>COUNTIFS(Tracking!G:G,A4,Tracking!D:D,C4,Tracking!C:C,"5v5",Tracking!F:F,"o")</f>
        <v>0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1</v>
      </c>
      <c r="BY4" s="12">
        <f>COUNTIFS(Tracking!E:E,A4,Tracking!D:D,C4,Tracking!C:C,"5v5",Tracking!Q:Q,"nZ")</f>
        <v>0</v>
      </c>
      <c r="BZ4" s="12">
        <f>COUNTIFS(Tracking!E:E,A4,Tracking!D:D,C4,Tracking!C:C,"5v5",Tracking!Q:Q,"dZ")</f>
        <v>0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3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0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0</v>
      </c>
      <c r="CD4" s="12">
        <f>COUNTIFS(Tracking!E:E,A4,Tracking!D:D,C4,Tracking!C:C,"5v5",Tracking!R:R,"dz exit")</f>
        <v>0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0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0</v>
      </c>
      <c r="CJ4" s="2">
        <f t="shared" si="1"/>
        <v>0.63500000000000001</v>
      </c>
      <c r="CK4" s="2">
        <f t="shared" si="7"/>
        <v>0.48999999999999994</v>
      </c>
      <c r="CL4" s="2">
        <f t="shared" si="2"/>
        <v>0.13500000000000001</v>
      </c>
      <c r="CM4" s="2">
        <f>(0.015*(AY4-AZ4))+(0.035*BA4)-(0.015*BB4)-(0.025*BC4)+(0.015*(AY4-(BD4+BC4)))</f>
        <v>0</v>
      </c>
      <c r="CN4" s="2">
        <f t="shared" si="3"/>
        <v>-7.0000000000000007E-2</v>
      </c>
      <c r="CO4" s="2">
        <f t="shared" si="4"/>
        <v>4.4999999999999998E-2</v>
      </c>
      <c r="CP4" s="2">
        <f t="shared" si="5"/>
        <v>3.5000000000000003E-2</v>
      </c>
      <c r="CQ4" s="2">
        <f t="shared" si="6"/>
        <v>0.6</v>
      </c>
    </row>
    <row r="5" spans="1:126" x14ac:dyDescent="0.35">
      <c r="A5" s="8">
        <v>51</v>
      </c>
      <c r="B5" s="8" t="s">
        <v>239</v>
      </c>
      <c r="C5" s="8" t="s">
        <v>132</v>
      </c>
      <c r="D5" s="8" t="s">
        <v>179</v>
      </c>
      <c r="E5" s="8">
        <v>7.9166666666666998</v>
      </c>
      <c r="F5" s="8" t="s">
        <v>130</v>
      </c>
      <c r="G5" s="19" t="s">
        <v>275</v>
      </c>
      <c r="H5" s="9">
        <f>COUNTIFS(Tracking!E:E,A5,Tracking!D:D,C5,Tracking!C:C,"5v5")</f>
        <v>0</v>
      </c>
      <c r="I5" s="9">
        <f>COUNTIFS(Tracking!E:E,A5,Tracking!D:D,C5,Tracking!N:N,"y",Tracking!C:C,"5v5")</f>
        <v>0</v>
      </c>
      <c r="J5" s="9">
        <f>COUNTIFS(Tracking!E:E,A5,Tracking!D:D,C5,Tracking!M:M,"y",Tracking!C:C,"5v5")</f>
        <v>0</v>
      </c>
      <c r="K5" s="9">
        <f t="shared" si="0"/>
        <v>0</v>
      </c>
      <c r="L5" s="9">
        <f>COUNTIFS(Tracking!G:G,A5,Tracking!D:D,C5,Tracking!C:C,"5v5")</f>
        <v>0</v>
      </c>
      <c r="M5" s="9">
        <f>COUNTIFS(Tracking!H:H,A5,Tracking!D:D,C5,Tracking!C:C,"5v5")</f>
        <v>0</v>
      </c>
      <c r="N5" s="9">
        <f>COUNTIFS(Tracking!I:I,A5,Tracking!D:D,C5,Tracking!C:C,"5v5")</f>
        <v>0</v>
      </c>
      <c r="O5" s="9">
        <f>COUNTIFS(Tracking!G:G,A5,Tracking!D:D,C5,Tracking!C:C,"5v5",Tracking!M:M,"y")</f>
        <v>0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0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0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0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0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0</v>
      </c>
      <c r="X5" s="9">
        <f>COUNTIFS(Tracking!E:E,A5,Tracking!D:D,C5,Tracking!C:C,"5v5",Tracking!P:P,"f")</f>
        <v>0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0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0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0</v>
      </c>
      <c r="AC5" s="11">
        <f>COUNTIFS(Tracking!Z:Z,A5&amp;C5,Tracking!C:C,"5v5")-AE5</f>
        <v>2</v>
      </c>
      <c r="AD5" s="11">
        <f>COUNTIFS(Tracking!Z:Z,A5&amp;C5,Tracking!C:C,"5v5",Tracking!Y:Y,"C")</f>
        <v>1</v>
      </c>
      <c r="AE5" s="11">
        <f>COUNTIFS(Tracking!Z:Z,A5&amp;C5,Tracking!C:C,"5v5",Tracking!Y:Y,"F")</f>
        <v>1</v>
      </c>
      <c r="AF5" s="11">
        <f>COUNTIFS(Tracking!Z:Z,A5&amp;C5,Tracking!C:C,"5v5",Tracking!Y:Y,"C",Tracking!AB:AB,"Y")</f>
        <v>0</v>
      </c>
      <c r="AG5" s="11">
        <f>COUNTIFS(Tracking!AD:AD,A5&amp;C5,Tracking!C:C,"5v5")</f>
        <v>0</v>
      </c>
      <c r="AH5" s="11">
        <f>COUNTIFS(Tracking!Z:Z,A5&amp;C5,Tracking!C:C,"5v5",Tracking!Y:Y,"C",Tracking!AE:AE,"Y")</f>
        <v>0</v>
      </c>
      <c r="AI5" s="11">
        <f>COUNTIFS(Tracking!Z:Z,A5&amp;C5,Tracking!C:C,"5v5",Tracking!Y:Y,"D",Tracking!AE:AE,"Y")</f>
        <v>0</v>
      </c>
      <c r="AJ5" s="11">
        <f>COUNTIFS(Tracking!AH:AH,A5&amp;C5)</f>
        <v>1</v>
      </c>
      <c r="AK5" s="5">
        <f>COUNTIFS(Tracking!AI:AI,A5&amp;C5,Tracking!C:C,"5v5")+AL5</f>
        <v>0</v>
      </c>
      <c r="AL5" s="5">
        <f>COUNTIFS(Tracking!AF:AF,A5&amp;C5,Tracking!C:C,"5v5")-AT5</f>
        <v>0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0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0</v>
      </c>
      <c r="AO5" s="5">
        <f>COUNTIFS(Tracking!AF:AF,A5&amp;C5,Tracking!C:C,"5v5",Tracking!AG:AG,"CEX")+COUNTIFS(Tracking!AI:AI,A5&amp;C5,Tracking!C:C,"5v5",Tracking!AJ:AJ,"CEX")</f>
        <v>0</v>
      </c>
      <c r="AP5" s="5">
        <f>COUNTIFS(Tracking!AF:AF,A5&amp;C5,Tracking!C:C,"5v5",Tracking!AG:AG,"PEX")</f>
        <v>0</v>
      </c>
      <c r="AQ5" s="5">
        <f>COUNTIFS(Tracking!AF:AF,A5&amp;C5,Tracking!C:C,"5v5",Tracking!AG:AG,"CLE")+COUNTIFS(Tracking!AI:AI,A5&amp;C5,Tracking!C:C,"5v5",Tracking!AJ:AJ,"CLE")</f>
        <v>0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0</v>
      </c>
      <c r="AT5" s="5">
        <f>COUNTIFS(Tracking!AF:AF,A5&amp;C5,Tracking!C:C,"5v5",Tracking!AG:AG,"BOT")+COUNTIFS(Tracking!AF:AF,A5&amp;C5,Tracking!C:C,"5v5",Tracking!AG:AG,"FEX")</f>
        <v>0</v>
      </c>
      <c r="AU5" s="5">
        <f>COUNTIFS(Tracking!AF:AF,A5&amp;C5,Tracking!C:C,"5v5",Tracking!AG:AG,"EXC")</f>
        <v>0</v>
      </c>
      <c r="AV5" s="5">
        <f>COUNTIFS(Tracking!AF:AF,A5&amp;C5,Tracking!C:C,"5v5",Tracking!AG:AG,"FEX")+COUNTIFS(Tracking!AI:AI,A5&amp;C5,Tracking!C:C,"5v5",Tracking!AJ:AJ,"FEX")</f>
        <v>0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0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0</v>
      </c>
      <c r="AY5" s="1">
        <f>COUNTIFS(Tracking!AA:AA,A5&amp;C5,Tracking!C:C,"5v5")</f>
        <v>0</v>
      </c>
      <c r="AZ5" s="1">
        <f>COUNTIFS(Tracking!AA:AA,A5&amp;C5,Tracking!C:C,"5v5",Tracking!Y:Y,"C")</f>
        <v>0</v>
      </c>
      <c r="BA5" s="1">
        <f>COUNTIFS(Tracking!AA:AA,A5&amp;C5,Tracking!C:C,"5v5",Tracking!Y:Y,"F")</f>
        <v>0</v>
      </c>
      <c r="BB5" s="1">
        <f>COUNTIFS(Tracking!AA:AA,A5&amp;C5,Tracking!C:C,"5v5",Tracking!AB:AB,"Y")</f>
        <v>0</v>
      </c>
      <c r="BC5" s="1">
        <f>COUNTIFS(Tracking!AA:AA,A5&amp;C5,Tracking!C:C,"5v5",Tracking!Y:Y,"C",Tracking!AE:AE,"Y")</f>
        <v>0</v>
      </c>
      <c r="BD5" s="1">
        <f>COUNTIFS(Tracking!AA:AA,A5&amp;C5,Tracking!C:C,"5v5",Tracking!Y:Y,"D",Tracking!AE:AE,"Y")</f>
        <v>0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0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0</v>
      </c>
      <c r="BL5" s="10">
        <f>COUNTIFS(Tracking!G:G,A5,Tracking!D:D,C5,Tracking!C:C,"5v4")</f>
        <v>0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0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0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0</v>
      </c>
      <c r="BY5" s="12">
        <f>COUNTIFS(Tracking!E:E,A5,Tracking!D:D,C5,Tracking!C:C,"5v5",Tracking!Q:Q,"nZ")</f>
        <v>0</v>
      </c>
      <c r="BZ5" s="12">
        <f>COUNTIFS(Tracking!E:E,A5,Tracking!D:D,C5,Tracking!C:C,"5v5",Tracking!Q:Q,"dZ")</f>
        <v>0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0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0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0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0</v>
      </c>
      <c r="CI5" s="12">
        <f>COUNTIFS(Tracking!E:E,A5,Tracking!D:D,C5,Tracking!C:C,"5v5",Tracking!R:R,"controlled breakout")</f>
        <v>0</v>
      </c>
      <c r="CJ5" s="2">
        <f t="shared" si="1"/>
        <v>1.4999999999999999E-2</v>
      </c>
      <c r="CK5" s="2">
        <f t="shared" si="7"/>
        <v>0</v>
      </c>
      <c r="CL5" s="2">
        <f t="shared" si="2"/>
        <v>0</v>
      </c>
      <c r="CM5" s="2">
        <f t="shared" ref="CM5:CM37" si="9">(0.015*(AY5-AZ5))+(0.035*BA5)-(0.015*BB5)-(0.025*BC5)+(0.015*(AY5-(BD5+BC5)))</f>
        <v>0</v>
      </c>
      <c r="CN5" s="2">
        <f t="shared" si="3"/>
        <v>0</v>
      </c>
      <c r="CO5" s="2">
        <f t="shared" si="4"/>
        <v>1.4999999999999999E-2</v>
      </c>
      <c r="CP5" s="2">
        <f t="shared" si="5"/>
        <v>0</v>
      </c>
      <c r="CQ5" s="2">
        <f t="shared" si="6"/>
        <v>1.4999999999999999E-2</v>
      </c>
    </row>
    <row r="6" spans="1:126" x14ac:dyDescent="0.35">
      <c r="A6" s="8">
        <v>3</v>
      </c>
      <c r="B6" s="8" t="s">
        <v>240</v>
      </c>
      <c r="C6" s="8" t="s">
        <v>132</v>
      </c>
      <c r="D6" s="8" t="s">
        <v>189</v>
      </c>
      <c r="E6" s="8">
        <v>12.7</v>
      </c>
      <c r="F6" s="8" t="s">
        <v>130</v>
      </c>
      <c r="G6" s="19" t="s">
        <v>275</v>
      </c>
      <c r="H6" s="9">
        <f>COUNTIFS(Tracking!E:E,A6,Tracking!D:D,C6,Tracking!C:C,"5v5")</f>
        <v>6</v>
      </c>
      <c r="I6" s="9">
        <f>COUNTIFS(Tracking!E:E,A6,Tracking!D:D,C6,Tracking!N:N,"y",Tracking!C:C,"5v5")</f>
        <v>2</v>
      </c>
      <c r="J6" s="9">
        <f>COUNTIFS(Tracking!E:E,A6,Tracking!D:D,C6,Tracking!M:M,"y",Tracking!C:C,"5v5")</f>
        <v>0</v>
      </c>
      <c r="K6" s="9">
        <f t="shared" si="0"/>
        <v>4</v>
      </c>
      <c r="L6" s="9">
        <f>COUNTIFS(Tracking!G:G,A6,Tracking!D:D,C6,Tracking!C:C,"5v5")</f>
        <v>2</v>
      </c>
      <c r="M6" s="9">
        <f>COUNTIFS(Tracking!H:H,A6,Tracking!D:D,C6,Tracking!C:C,"5v5")</f>
        <v>1</v>
      </c>
      <c r="N6" s="9">
        <f>COUNTIFS(Tracking!I:I,A6,Tracking!D:D,C6,Tracking!C:C,"5v5")</f>
        <v>1</v>
      </c>
      <c r="O6" s="9">
        <f>COUNTIFS(Tracking!G:G,A6,Tracking!D:D,C6,Tracking!C:C,"5v5",Tracking!M:M,"y")</f>
        <v>0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1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0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0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0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0</v>
      </c>
      <c r="V6" s="9">
        <f>COUNTIFS(Tracking!E:E,A6,Tracking!D:D,C6,Tracking!C:C,"5v5",Tracking!P:P,"r")</f>
        <v>0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0</v>
      </c>
      <c r="X6" s="9">
        <f>COUNTIFS(Tracking!E:E,A6,Tracking!D:D,C6,Tracking!C:C,"5v5",Tracking!P:P,"f")</f>
        <v>5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1</v>
      </c>
      <c r="Z6" s="9">
        <f>COUNTIFS(Tracking!E:E,A6,Tracking!D:D,C6,Tracking!C:C,"5v5",Tracking!P:P,"c")</f>
        <v>0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1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0</v>
      </c>
      <c r="AC6" s="11">
        <f>COUNTIFS(Tracking!Z:Z,A6&amp;C6,Tracking!C:C,"5v5")-AE6</f>
        <v>0</v>
      </c>
      <c r="AD6" s="11">
        <f>COUNTIFS(Tracking!Z:Z,A6&amp;C6,Tracking!C:C,"5v5",Tracking!Y:Y,"C")</f>
        <v>0</v>
      </c>
      <c r="AE6" s="11">
        <f>COUNTIFS(Tracking!Z:Z,A6&amp;C6,Tracking!C:C,"5v5",Tracking!Y:Y,"F")</f>
        <v>0</v>
      </c>
      <c r="AF6" s="11">
        <f>COUNTIFS(Tracking!Z:Z,A6&amp;C6,Tracking!C:C,"5v5",Tracking!Y:Y,"C",Tracking!AB:AB,"Y")</f>
        <v>0</v>
      </c>
      <c r="AG6" s="11">
        <f>COUNTIFS(Tracking!AD:AD,A6&amp;C6,Tracking!C:C,"5v5")</f>
        <v>0</v>
      </c>
      <c r="AH6" s="11">
        <f>COUNTIFS(Tracking!Z:Z,A6&amp;C6,Tracking!C:C,"5v5",Tracking!Y:Y,"C",Tracking!AE:AE,"Y")</f>
        <v>0</v>
      </c>
      <c r="AI6" s="11">
        <f>COUNTIFS(Tracking!Z:Z,A6&amp;C6,Tracking!C:C,"5v5",Tracking!Y:Y,"D",Tracking!AE:AE,"Y")</f>
        <v>0</v>
      </c>
      <c r="AJ6" s="11">
        <f>COUNTIFS(Tracking!AH:AH,A6&amp;C6)</f>
        <v>0</v>
      </c>
      <c r="AK6" s="5">
        <f>COUNTIFS(Tracking!AI:AI,A6&amp;C6,Tracking!C:C,"5v5")+AL6</f>
        <v>7</v>
      </c>
      <c r="AL6" s="5">
        <f>COUNTIFS(Tracking!AF:AF,A6&amp;C6,Tracking!C:C,"5v5")-AT6</f>
        <v>4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4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3</v>
      </c>
      <c r="AO6" s="5">
        <f>COUNTIFS(Tracking!AF:AF,A6&amp;C6,Tracking!C:C,"5v5",Tracking!AG:AG,"CEX")+COUNTIFS(Tracking!AI:AI,A6&amp;C6,Tracking!C:C,"5v5",Tracking!AJ:AJ,"CEX")</f>
        <v>0</v>
      </c>
      <c r="AP6" s="5">
        <f>COUNTIFS(Tracking!AF:AF,A6&amp;C6,Tracking!C:C,"5v5",Tracking!AG:AG,"PEX")</f>
        <v>1</v>
      </c>
      <c r="AQ6" s="5">
        <f>COUNTIFS(Tracking!AF:AF,A6&amp;C6,Tracking!C:C,"5v5",Tracking!AG:AG,"CLE")+COUNTIFS(Tracking!AI:AI,A6&amp;C6,Tracking!C:C,"5v5",Tracking!AJ:AJ,"CLE")</f>
        <v>1</v>
      </c>
      <c r="AR6" s="5">
        <f>COUNTIFS(Tracking!AF:AF,A6&amp;C6,Tracking!C:C,"5v5",Tracking!AG:AG,"MEX")</f>
        <v>2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2</v>
      </c>
      <c r="AT6" s="5">
        <f>COUNTIFS(Tracking!AF:AF,A6&amp;C6,Tracking!C:C,"5v5",Tracking!AG:AG,"BOT")+COUNTIFS(Tracking!AF:AF,A6&amp;C6,Tracking!C:C,"5v5",Tracking!AG:AG,"FEX")</f>
        <v>0</v>
      </c>
      <c r="AU6" s="5">
        <f>COUNTIFS(Tracking!AF:AF,A6&amp;C6,Tracking!C:C,"5v5",Tracking!AG:AG,"EXC")</f>
        <v>1</v>
      </c>
      <c r="AV6" s="5">
        <f>COUNTIFS(Tracking!AF:AF,A6&amp;C6,Tracking!C:C,"5v5",Tracking!AG:AG,"FEX")+COUNTIFS(Tracking!AI:AI,A6&amp;C6,Tracking!C:C,"5v5",Tracking!AJ:AJ,"FEX")</f>
        <v>0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1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3</v>
      </c>
      <c r="AY6" s="1">
        <f>COUNTIFS(Tracking!AA:AA,A6&amp;C6,Tracking!C:C,"5v5")</f>
        <v>5</v>
      </c>
      <c r="AZ6" s="1">
        <f>COUNTIFS(Tracking!AA:AA,A6&amp;C6,Tracking!C:C,"5v5",Tracking!Y:Y,"C")</f>
        <v>1</v>
      </c>
      <c r="BA6" s="1">
        <f>COUNTIFS(Tracking!AA:AA,A6&amp;C6,Tracking!C:C,"5v5",Tracking!Y:Y,"F")</f>
        <v>1</v>
      </c>
      <c r="BB6" s="1">
        <f>COUNTIFS(Tracking!AA:AA,A6&amp;C6,Tracking!C:C,"5v5",Tracking!AB:AB,"Y")</f>
        <v>1</v>
      </c>
      <c r="BC6" s="1">
        <f>COUNTIFS(Tracking!AA:AA,A6&amp;C6,Tracking!C:C,"5v5",Tracking!Y:Y,"C",Tracking!AE:AE,"Y")</f>
        <v>0</v>
      </c>
      <c r="BD6" s="1">
        <f>COUNTIFS(Tracking!AA:AA,A6&amp;C6,Tracking!C:C,"5v5",Tracking!Y:Y,"D",Tracking!AE:AE,"Y")</f>
        <v>0</v>
      </c>
      <c r="BE6" s="10">
        <f>COUNTIFS(Tracking!Z:Z,A6&amp;C6,Tracking!C:C,"5v4")</f>
        <v>0</v>
      </c>
      <c r="BF6" s="10">
        <f>COUNTIFS(Tracking!Z:Z,A6&amp;C6,Tracking!C:C,"5v4",Tracking!Y:Y,"C")</f>
        <v>0</v>
      </c>
      <c r="BG6" s="10">
        <f>COUNTIFS(Tracking!Z:Z,A6&amp;C6,Tracking!C:C,"5v4",Tracking!AB:AB,"Y")</f>
        <v>0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0</v>
      </c>
      <c r="BJ6" s="10">
        <f>COUNTIFS(Tracking!E:E,A6,Tracking!D:D,C6,Tracking!C:C,"5v4")</f>
        <v>0</v>
      </c>
      <c r="BK6" s="10">
        <f>COUNTIFS(Tracking!G:G,A6,Tracking!D:D,C6,Tracking!C:C,"5v4")+COUNTIFS(Tracking!H:H,A6,Tracking!D:D,C6,Tracking!C:C,"5v4")+COUNTIFS(Tracking!I:I,A6,Tracking!D:D,C6,Tracking!C:C,"5v4")</f>
        <v>0</v>
      </c>
      <c r="BL6" s="10">
        <f>COUNTIFS(Tracking!G:G,A6,Tracking!D:D,C6,Tracking!C:C,"5v4")</f>
        <v>0</v>
      </c>
      <c r="BM6" s="10">
        <f>COUNTIFS(Tracking!E:E,A6,Tracking!D:D,C6,Tracking!C:C,"5v4",Tracking!M:M,"Y")</f>
        <v>0</v>
      </c>
      <c r="BN6" s="10">
        <f>COUNTIFS(Tracking!G:G,A6,Tracking!D:D,C6,Tracking!C:C,"5v4",Tracking!M:M,"Y")</f>
        <v>0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0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0</v>
      </c>
      <c r="BU6" s="12">
        <f>COUNTIFS(Tracking!G:G,A6,Tracking!D:D,C6,Tracking!C:C,"5v5",Tracking!F:F,"o")</f>
        <v>1</v>
      </c>
      <c r="BV6" s="12">
        <f>COUNTIFS(Tracking!E:E,A5,Tracking!D:D,C6,Tracking!C:C,"5v5",Tracking!F:F,"r")</f>
        <v>0</v>
      </c>
      <c r="BW6" s="12">
        <f>COUNTIFS(Tracking!G:G,A6,Tracking!D:D,C6,Tracking!C:C,"5v5",Tracking!F:F,"T")</f>
        <v>1</v>
      </c>
      <c r="BX6" s="12">
        <f>COUNTIFS(Tracking!E:E,A6,Tracking!D:D,C6,Tracking!C:C,"5v5",Tracking!Q:Q,"OZ")</f>
        <v>6</v>
      </c>
      <c r="BY6" s="12">
        <f>COUNTIFS(Tracking!E:E,A6,Tracking!D:D,C6,Tracking!C:C,"5v5",Tracking!Q:Q,"nZ")</f>
        <v>0</v>
      </c>
      <c r="BZ6" s="12">
        <f>COUNTIFS(Tracking!E:E,A6,Tracking!D:D,C6,Tracking!C:C,"5v5",Tracking!Q:Q,"dZ")</f>
        <v>0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4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0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0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0</v>
      </c>
      <c r="CF6" s="12">
        <f>COUNTIFS(Tracking!E:E,A6,Tracking!D:D,C6,Tracking!C:C,"5v5",Tracking!R:R,"nz turnover")</f>
        <v>0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0</v>
      </c>
      <c r="CI6" s="12">
        <f>COUNTIFS(Tracking!E:E,A6,Tracking!D:D,C6,Tracking!C:C,"5v5",Tracking!R:R,"controlled breakout")</f>
        <v>0</v>
      </c>
      <c r="CJ6" s="2">
        <f t="shared" si="1"/>
        <v>1.0100000000000002</v>
      </c>
      <c r="CK6" s="2">
        <f t="shared" si="7"/>
        <v>0.70000000000000007</v>
      </c>
      <c r="CL6" s="2">
        <f t="shared" si="2"/>
        <v>0</v>
      </c>
      <c r="CM6" s="2">
        <f t="shared" si="9"/>
        <v>0.155</v>
      </c>
      <c r="CN6" s="2">
        <f t="shared" si="3"/>
        <v>0.15500000000000003</v>
      </c>
      <c r="CO6" s="2">
        <f t="shared" si="4"/>
        <v>0</v>
      </c>
      <c r="CP6" s="2">
        <f t="shared" si="5"/>
        <v>0</v>
      </c>
      <c r="CQ6" s="2">
        <f t="shared" si="6"/>
        <v>1.0100000000000002</v>
      </c>
    </row>
    <row r="7" spans="1:126" x14ac:dyDescent="0.35">
      <c r="A7" s="8">
        <v>10</v>
      </c>
      <c r="B7" s="8" t="s">
        <v>241</v>
      </c>
      <c r="C7" s="8" t="s">
        <v>132</v>
      </c>
      <c r="D7" s="8" t="s">
        <v>196</v>
      </c>
      <c r="E7" s="8">
        <v>11.666666666667</v>
      </c>
      <c r="F7" s="8" t="s">
        <v>130</v>
      </c>
      <c r="G7" s="19" t="s">
        <v>275</v>
      </c>
      <c r="H7" s="9">
        <f>COUNTIFS(Tracking!E:E,A7,Tracking!D:D,C7,Tracking!C:C,"5v5")</f>
        <v>5</v>
      </c>
      <c r="I7" s="9">
        <f>COUNTIFS(Tracking!E:E,A7,Tracking!D:D,C7,Tracking!N:N,"y",Tracking!C:C,"5v5")</f>
        <v>4</v>
      </c>
      <c r="J7" s="9">
        <f>COUNTIFS(Tracking!E:E,A7,Tracking!D:D,C7,Tracking!M:M,"y",Tracking!C:C,"5v5")</f>
        <v>3</v>
      </c>
      <c r="K7" s="9">
        <f t="shared" si="0"/>
        <v>4</v>
      </c>
      <c r="L7" s="9">
        <f>COUNTIFS(Tracking!G:G,A7,Tracking!D:D,C7,Tracking!C:C,"5v5")</f>
        <v>3</v>
      </c>
      <c r="M7" s="9">
        <f>COUNTIFS(Tracking!H:H,A7,Tracking!D:D,C7,Tracking!C:C,"5v5")</f>
        <v>0</v>
      </c>
      <c r="N7" s="9">
        <f>COUNTIFS(Tracking!I:I,A7,Tracking!D:D,C7,Tracking!C:C,"5v5")</f>
        <v>1</v>
      </c>
      <c r="O7" s="9">
        <f>COUNTIFS(Tracking!G:G,A7,Tracking!D:D,C7,Tracking!C:C,"5v5",Tracking!M:M,"y")</f>
        <v>1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1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1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0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0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1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1</v>
      </c>
      <c r="V7" s="9">
        <f>COUNTIFS(Tracking!E:E,A7,Tracking!D:D,C7,Tracking!C:C,"5v5",Tracking!P:P,"r")</f>
        <v>0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4</v>
      </c>
      <c r="X7" s="9">
        <f>COUNTIFS(Tracking!E:E,A7,Tracking!D:D,C7,Tracking!C:C,"5v5",Tracking!P:P,"f")</f>
        <v>2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0</v>
      </c>
      <c r="Z7" s="9">
        <f>COUNTIFS(Tracking!E:E,A7,Tracking!D:D,C7,Tracking!C:C,"5v5",Tracking!P:P,"c")</f>
        <v>1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0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1</v>
      </c>
      <c r="AC7" s="11">
        <f>COUNTIFS(Tracking!Z:Z,A7&amp;C7,Tracking!C:C,"5v5")-AE7</f>
        <v>4</v>
      </c>
      <c r="AD7" s="11">
        <f>COUNTIFS(Tracking!Z:Z,A7&amp;C7,Tracking!C:C,"5v5",Tracking!Y:Y,"C")</f>
        <v>3</v>
      </c>
      <c r="AE7" s="11">
        <f>COUNTIFS(Tracking!Z:Z,A7&amp;C7,Tracking!C:C,"5v5",Tracking!Y:Y,"F")</f>
        <v>1</v>
      </c>
      <c r="AF7" s="11">
        <f>COUNTIFS(Tracking!Z:Z,A7&amp;C7,Tracking!C:C,"5v5",Tracking!Y:Y,"C",Tracking!AB:AB,"Y")</f>
        <v>1</v>
      </c>
      <c r="AG7" s="11">
        <f>COUNTIFS(Tracking!AD:AD,A7&amp;C7,Tracking!C:C,"5v5")</f>
        <v>0</v>
      </c>
      <c r="AH7" s="11">
        <f>COUNTIFS(Tracking!Z:Z,A7&amp;C7,Tracking!C:C,"5v5",Tracking!Y:Y,"C",Tracking!AE:AE,"Y")</f>
        <v>1</v>
      </c>
      <c r="AI7" s="11">
        <f>COUNTIFS(Tracking!Z:Z,A7&amp;C7,Tracking!C:C,"5v5",Tracking!Y:Y,"D",Tracking!AE:AE,"Y")</f>
        <v>0</v>
      </c>
      <c r="AJ7" s="11">
        <f>COUNTIFS(Tracking!AH:AH,A7&amp;C7)</f>
        <v>2</v>
      </c>
      <c r="AK7" s="5">
        <f>COUNTIFS(Tracking!AI:AI,A7&amp;C7,Tracking!C:C,"5v5")+AL7</f>
        <v>3</v>
      </c>
      <c r="AL7" s="5">
        <f>COUNTIFS(Tracking!AF:AF,A7&amp;C7,Tracking!C:C,"5v5")-AT7</f>
        <v>2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2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1</v>
      </c>
      <c r="AO7" s="5">
        <f>COUNTIFS(Tracking!AF:AF,A7&amp;C7,Tracking!C:C,"5v5",Tracking!AG:AG,"CEX")+COUNTIFS(Tracking!AI:AI,A7&amp;C7,Tracking!C:C,"5v5",Tracking!AJ:AJ,"CEX")</f>
        <v>0</v>
      </c>
      <c r="AP7" s="5">
        <f>COUNTIFS(Tracking!AF:AF,A7&amp;C7,Tracking!C:C,"5v5",Tracking!AG:AG,"PEX")</f>
        <v>0</v>
      </c>
      <c r="AQ7" s="5">
        <f>COUNTIFS(Tracking!AF:AF,A7&amp;C7,Tracking!C:C,"5v5",Tracking!AG:AG,"CLE")+COUNTIFS(Tracking!AI:AI,A7&amp;C7,Tracking!C:C,"5v5",Tracking!AJ:AJ,"CLE")</f>
        <v>1</v>
      </c>
      <c r="AR7" s="5">
        <f>COUNTIFS(Tracking!AF:AF,A7&amp;C7,Tracking!C:C,"5v5",Tracking!AG:AG,"MEX")</f>
        <v>0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0</v>
      </c>
      <c r="AT7" s="5">
        <f>COUNTIFS(Tracking!AF:AF,A7&amp;C7,Tracking!C:C,"5v5",Tracking!AG:AG,"BOT")+COUNTIFS(Tracking!AF:AF,A7&amp;C7,Tracking!C:C,"5v5",Tracking!AG:AG,"FEX")</f>
        <v>0</v>
      </c>
      <c r="AU7" s="5">
        <f>COUNTIFS(Tracking!AF:AF,A7&amp;C7,Tracking!C:C,"5v5",Tracking!AG:AG,"EXC")</f>
        <v>1</v>
      </c>
      <c r="AV7" s="5">
        <f>COUNTIFS(Tracking!AF:AF,A7&amp;C7,Tracking!C:C,"5v5",Tracking!AG:AG,"FEX")+COUNTIFS(Tracking!AI:AI,A7&amp;C7,Tracking!C:C,"5v5",Tracking!AJ:AJ,"FEX")</f>
        <v>0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1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1</v>
      </c>
      <c r="AY7" s="1">
        <f>COUNTIFS(Tracking!AA:AA,A7&amp;C7,Tracking!C:C,"5v5")</f>
        <v>0</v>
      </c>
      <c r="AZ7" s="1">
        <f>COUNTIFS(Tracking!AA:AA,A7&amp;C7,Tracking!C:C,"5v5",Tracking!Y:Y,"C")</f>
        <v>0</v>
      </c>
      <c r="BA7" s="1">
        <f>COUNTIFS(Tracking!AA:AA,A7&amp;C7,Tracking!C:C,"5v5",Tracking!Y:Y,"F")</f>
        <v>0</v>
      </c>
      <c r="BB7" s="1">
        <f>COUNTIFS(Tracking!AA:AA,A7&amp;C7,Tracking!C:C,"5v5",Tracking!AB:AB,"Y")</f>
        <v>0</v>
      </c>
      <c r="BC7" s="1">
        <f>COUNTIFS(Tracking!AA:AA,A7&amp;C7,Tracking!C:C,"5v5",Tracking!Y:Y,"C",Tracking!AE:AE,"Y")</f>
        <v>0</v>
      </c>
      <c r="BD7" s="1">
        <f>COUNTIFS(Tracking!AA:AA,A7&amp;C7,Tracking!C:C,"5v5",Tracking!Y:Y,"D",Tracking!AE:AE,"Y")</f>
        <v>0</v>
      </c>
      <c r="BE7" s="10">
        <f>COUNTIFS(Tracking!Z:Z,A7&amp;C7,Tracking!C:C,"5v4")</f>
        <v>1</v>
      </c>
      <c r="BF7" s="10">
        <f>COUNTIFS(Tracking!Z:Z,A7&amp;C7,Tracking!C:C,"5v4",Tracking!Y:Y,"C")</f>
        <v>1</v>
      </c>
      <c r="BG7" s="10">
        <f>COUNTIFS(Tracking!Z:Z,A7&amp;C7,Tracking!C:C,"5v4",Tracking!AB:AB,"Y")</f>
        <v>1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0</v>
      </c>
      <c r="BJ7" s="10">
        <f>COUNTIFS(Tracking!E:E,A7,Tracking!D:D,C7,Tracking!C:C,"5v4")</f>
        <v>1</v>
      </c>
      <c r="BK7" s="10">
        <f>COUNTIFS(Tracking!G:G,A7,Tracking!D:D,C7,Tracking!C:C,"5v4")+COUNTIFS(Tracking!H:H,A7,Tracking!D:D,C7,Tracking!C:C,"5v4")+COUNTIFS(Tracking!I:I,A7,Tracking!D:D,C7,Tracking!C:C,"5v4")</f>
        <v>1</v>
      </c>
      <c r="BL7" s="10">
        <f>COUNTIFS(Tracking!G:G,A7,Tracking!D:D,C7,Tracking!C:C,"5v4")</f>
        <v>0</v>
      </c>
      <c r="BM7" s="10">
        <f>COUNTIFS(Tracking!E:E,A7,Tracking!D:D,C7,Tracking!C:C,"5v4",Tracking!M:M,"Y")</f>
        <v>1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0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0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5</v>
      </c>
      <c r="BU7" s="12">
        <f>COUNTIFS(Tracking!G:G,A7,Tracking!D:D,C7,Tracking!C:C,"5v5",Tracking!F:F,"o")</f>
        <v>0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0</v>
      </c>
      <c r="BX7" s="12">
        <f>COUNTIFS(Tracking!E:E,A7,Tracking!D:D,C7,Tracking!C:C,"5v5",Tracking!Q:Q,"OZ")</f>
        <v>4</v>
      </c>
      <c r="BY7" s="12">
        <f>COUNTIFS(Tracking!E:E,A7,Tracking!D:D,C7,Tracking!C:C,"5v5",Tracking!Q:Q,"nZ")</f>
        <v>0</v>
      </c>
      <c r="BZ7" s="12">
        <f>COUNTIFS(Tracking!E:E,A7,Tracking!D:D,C7,Tracking!C:C,"5v5",Tracking!Q:Q,"dZ")</f>
        <v>0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0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2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2</v>
      </c>
      <c r="CD7" s="12">
        <f>COUNTIFS(Tracking!E:E,A7,Tracking!D:D,C7,Tracking!C:C,"5v5",Tracking!R:R,"dz exit")</f>
        <v>0</v>
      </c>
      <c r="CE7" s="12">
        <f>COUNTIFS(Tracking!E:E,A7,Tracking!D:D,C7,Tracking!C:C,"5v5",Tracking!R:R,"dz counter")</f>
        <v>0</v>
      </c>
      <c r="CF7" s="12">
        <f>COUNTIFS(Tracking!E:E,A7,Tracking!D:D,C7,Tracking!C:C,"5v5",Tracking!R:R,"nz turnover")</f>
        <v>0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0</v>
      </c>
      <c r="CI7" s="12">
        <f>COUNTIFS(Tracking!E:E,A7,Tracking!D:D,C7,Tracking!C:C,"5v5",Tracking!R:R,"controlled breakout")</f>
        <v>0</v>
      </c>
      <c r="CJ7" s="2">
        <f t="shared" si="1"/>
        <v>1.4150000000000003</v>
      </c>
      <c r="CK7" s="2">
        <f t="shared" si="7"/>
        <v>1.1150000000000002</v>
      </c>
      <c r="CL7" s="2">
        <f t="shared" si="2"/>
        <v>0.14500000000000002</v>
      </c>
      <c r="CM7" s="2">
        <f t="shared" si="9"/>
        <v>0</v>
      </c>
      <c r="CN7" s="2">
        <f t="shared" si="3"/>
        <v>3.5000000000000003E-2</v>
      </c>
      <c r="CO7" s="2">
        <f t="shared" si="4"/>
        <v>0.03</v>
      </c>
      <c r="CP7" s="2">
        <f t="shared" si="5"/>
        <v>0.09</v>
      </c>
      <c r="CQ7" s="2">
        <f t="shared" si="6"/>
        <v>1.3250000000000002</v>
      </c>
    </row>
    <row r="8" spans="1:126" x14ac:dyDescent="0.35">
      <c r="A8" s="8">
        <v>71</v>
      </c>
      <c r="B8" s="8" t="s">
        <v>242</v>
      </c>
      <c r="C8" s="8" t="s">
        <v>132</v>
      </c>
      <c r="D8" s="8" t="s">
        <v>196</v>
      </c>
      <c r="E8" s="8">
        <v>14.383333333333001</v>
      </c>
      <c r="F8" s="8" t="s">
        <v>130</v>
      </c>
      <c r="G8" s="19" t="s">
        <v>275</v>
      </c>
      <c r="H8" s="9">
        <f>COUNTIFS(Tracking!E:E,A8,Tracking!D:D,C8,Tracking!C:C,"5v5")</f>
        <v>5</v>
      </c>
      <c r="I8" s="9">
        <f>COUNTIFS(Tracking!E:E,A8,Tracking!D:D,C8,Tracking!N:N,"y",Tracking!C:C,"5v5")</f>
        <v>4</v>
      </c>
      <c r="J8" s="9">
        <f>COUNTIFS(Tracking!E:E,A8,Tracking!D:D,C8,Tracking!M:M,"y",Tracking!C:C,"5v5")</f>
        <v>4</v>
      </c>
      <c r="K8" s="9">
        <f t="shared" si="0"/>
        <v>5</v>
      </c>
      <c r="L8" s="9">
        <f>COUNTIFS(Tracking!G:G,A8,Tracking!D:D,C8,Tracking!C:C,"5v5")</f>
        <v>3</v>
      </c>
      <c r="M8" s="9">
        <f>COUNTIFS(Tracking!H:H,A8,Tracking!D:D,C8,Tracking!C:C,"5v5")</f>
        <v>2</v>
      </c>
      <c r="N8" s="9">
        <f>COUNTIFS(Tracking!I:I,A8,Tracking!D:D,C8,Tracking!C:C,"5v5")</f>
        <v>0</v>
      </c>
      <c r="O8" s="9">
        <f>COUNTIFS(Tracking!G:G,A8,Tracking!D:D,C8,Tracking!C:C,"5v5",Tracking!M:M,"y")</f>
        <v>3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1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1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0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1</v>
      </c>
      <c r="V8" s="9">
        <f>COUNTIFS(Tracking!E:E,A8,Tracking!D:D,C8,Tracking!C:C,"5v5",Tracking!P:P,"r")</f>
        <v>2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1</v>
      </c>
      <c r="X8" s="9">
        <f>COUNTIFS(Tracking!E:E,A8,Tracking!D:D,C8,Tracking!C:C,"5v5",Tracking!P:P,"f")</f>
        <v>2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0</v>
      </c>
      <c r="Z8" s="9">
        <f>COUNTIFS(Tracking!E:E,A8,Tracking!D:D,C8,Tracking!C:C,"5v5",Tracking!P:P,"c")</f>
        <v>1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1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1</v>
      </c>
      <c r="AC8" s="11">
        <f>COUNTIFS(Tracking!Z:Z,A8&amp;C8,Tracking!C:C,"5v5")-AE8</f>
        <v>4</v>
      </c>
      <c r="AD8" s="11">
        <f>COUNTIFS(Tracking!Z:Z,A8&amp;C8,Tracking!C:C,"5v5",Tracking!Y:Y,"C")</f>
        <v>3</v>
      </c>
      <c r="AE8" s="11">
        <f>COUNTIFS(Tracking!Z:Z,A8&amp;C8,Tracking!C:C,"5v5",Tracking!Y:Y,"F")</f>
        <v>1</v>
      </c>
      <c r="AF8" s="11">
        <f>COUNTIFS(Tracking!Z:Z,A8&amp;C8,Tracking!C:C,"5v5",Tracking!Y:Y,"C",Tracking!AB:AB,"Y")</f>
        <v>1</v>
      </c>
      <c r="AG8" s="11">
        <f>COUNTIFS(Tracking!AD:AD,A8&amp;C8,Tracking!C:C,"5v5")</f>
        <v>0</v>
      </c>
      <c r="AH8" s="11">
        <f>COUNTIFS(Tracking!Z:Z,A8&amp;C8,Tracking!C:C,"5v5",Tracking!Y:Y,"C",Tracking!AE:AE,"Y")</f>
        <v>0</v>
      </c>
      <c r="AI8" s="11">
        <f>COUNTIFS(Tracking!Z:Z,A8&amp;C8,Tracking!C:C,"5v5",Tracking!Y:Y,"D",Tracking!AE:AE,"Y")</f>
        <v>0</v>
      </c>
      <c r="AJ8" s="11">
        <f>COUNTIFS(Tracking!AH:AH,A8&amp;C8)</f>
        <v>3</v>
      </c>
      <c r="AK8" s="5">
        <f>COUNTIFS(Tracking!AI:AI,A8&amp;C8,Tracking!C:C,"5v5")+AL8</f>
        <v>4</v>
      </c>
      <c r="AL8" s="5">
        <f>COUNTIFS(Tracking!AF:AF,A8&amp;C8,Tracking!C:C,"5v5")-AT8</f>
        <v>2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3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1</v>
      </c>
      <c r="AO8" s="5">
        <f>COUNTIFS(Tracking!AF:AF,A8&amp;C8,Tracking!C:C,"5v5",Tracking!AG:AG,"CEX")+COUNTIFS(Tracking!AI:AI,A8&amp;C8,Tracking!C:C,"5v5",Tracking!AJ:AJ,"CEX")</f>
        <v>0</v>
      </c>
      <c r="AP8" s="5">
        <f>COUNTIFS(Tracking!AF:AF,A8&amp;C8,Tracking!C:C,"5v5",Tracking!AG:AG,"PEX")</f>
        <v>0</v>
      </c>
      <c r="AQ8" s="5">
        <f>COUNTIFS(Tracking!AF:AF,A8&amp;C8,Tracking!C:C,"5v5",Tracking!AG:AG,"CLE")+COUNTIFS(Tracking!AI:AI,A8&amp;C8,Tracking!C:C,"5v5",Tracking!AJ:AJ,"CLE")</f>
        <v>2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0</v>
      </c>
      <c r="AT8" s="5">
        <f>COUNTIFS(Tracking!AF:AF,A8&amp;C8,Tracking!C:C,"5v5",Tracking!AG:AG,"BOT")+COUNTIFS(Tracking!AF:AF,A8&amp;C8,Tracking!C:C,"5v5",Tracking!AG:AG,"FEX")</f>
        <v>1</v>
      </c>
      <c r="AU8" s="5">
        <f>COUNTIFS(Tracking!AF:AF,A8&amp;C8,Tracking!C:C,"5v5",Tracking!AG:AG,"EXC")</f>
        <v>0</v>
      </c>
      <c r="AV8" s="5">
        <f>COUNTIFS(Tracking!AF:AF,A8&amp;C8,Tracking!C:C,"5v5",Tracking!AG:AG,"FEX")+COUNTIFS(Tracking!AI:AI,A8&amp;C8,Tracking!C:C,"5v5",Tracking!AJ:AJ,"FEX")</f>
        <v>1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2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1</v>
      </c>
      <c r="AY8" s="1">
        <f>COUNTIFS(Tracking!AA:AA,A8&amp;C8,Tracking!C:C,"5v5")</f>
        <v>0</v>
      </c>
      <c r="AZ8" s="1">
        <f>COUNTIFS(Tracking!AA:AA,A8&amp;C8,Tracking!C:C,"5v5",Tracking!Y:Y,"C")</f>
        <v>0</v>
      </c>
      <c r="BA8" s="1">
        <f>COUNTIFS(Tracking!AA:AA,A8&amp;C8,Tracking!C:C,"5v5",Tracking!Y:Y,"F")</f>
        <v>0</v>
      </c>
      <c r="BB8" s="1">
        <f>COUNTIFS(Tracking!AA:AA,A8&amp;C8,Tracking!C:C,"5v5",Tracking!AB:AB,"Y")</f>
        <v>0</v>
      </c>
      <c r="BC8" s="1">
        <f>COUNTIFS(Tracking!AA:AA,A8&amp;C8,Tracking!C:C,"5v5",Tracking!Y:Y,"C",Tracking!AE:AE,"Y")</f>
        <v>0</v>
      </c>
      <c r="BD8" s="1">
        <f>COUNTIFS(Tracking!AA:AA,A8&amp;C8,Tracking!C:C,"5v5",Tracking!Y:Y,"D",Tracking!AE:AE,"Y")</f>
        <v>0</v>
      </c>
      <c r="BE8" s="10">
        <f>COUNTIFS(Tracking!Z:Z,A8&amp;C8,Tracking!C:C,"5v4")</f>
        <v>2</v>
      </c>
      <c r="BF8" s="10">
        <f>COUNTIFS(Tracking!Z:Z,A8&amp;C8,Tracking!C:C,"5v4",Tracking!Y:Y,"C")</f>
        <v>1</v>
      </c>
      <c r="BG8" s="10">
        <f>COUNTIFS(Tracking!Z:Z,A8&amp;C8,Tracking!C:C,"5v4",Tracking!AB:AB,"Y")</f>
        <v>1</v>
      </c>
      <c r="BH8" s="10">
        <f>COUNTIFS(Tracking!Z:Z,A8&amp;C8,Tracking!C:C,"4v5")</f>
        <v>0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5</v>
      </c>
      <c r="BK8" s="10">
        <f>COUNTIFS(Tracking!G:G,A8,Tracking!D:D,C8,Tracking!C:C,"5v4")+COUNTIFS(Tracking!H:H,A8,Tracking!D:D,C8,Tracking!C:C,"5v4")+COUNTIFS(Tracking!I:I,A8,Tracking!D:D,C8,Tracking!C:C,"5v4")</f>
        <v>4</v>
      </c>
      <c r="BL8" s="10">
        <f>COUNTIFS(Tracking!G:G,A8,Tracking!D:D,C8,Tracking!C:C,"5v4")</f>
        <v>0</v>
      </c>
      <c r="BM8" s="10">
        <f>COUNTIFS(Tracking!E:E,A8,Tracking!D:D,C8,Tracking!C:C,"5v4",Tracking!M:M,"Y")</f>
        <v>1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0</v>
      </c>
      <c r="BS8" s="12">
        <f>COUNTIFS(Tracking!E:E,A8,Tracking!D:D,C8,Tracking!C:C,"5v5",Tracking!F:F,"r")</f>
        <v>1</v>
      </c>
      <c r="BT8" s="12">
        <f>COUNTIFS(Tracking!E:E,A8,Tracking!D:D,C8,Tracking!C:C,"5v5",Tracking!F:F,"t")</f>
        <v>2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1</v>
      </c>
      <c r="BX8" s="12">
        <f>COUNTIFS(Tracking!E:E,A8,Tracking!D:D,C8,Tracking!C:C,"5v5",Tracking!Q:Q,"OZ")</f>
        <v>3</v>
      </c>
      <c r="BY8" s="12">
        <f>COUNTIFS(Tracking!E:E,A8,Tracking!D:D,C8,Tracking!C:C,"5v5",Tracking!Q:Q,"nZ")</f>
        <v>0</v>
      </c>
      <c r="BZ8" s="12">
        <f>COUNTIFS(Tracking!E:E,A8,Tracking!D:D,C8,Tracking!C:C,"5v5",Tracking!Q:Q,"dZ")</f>
        <v>2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3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0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1</v>
      </c>
      <c r="CD8" s="12">
        <f>COUNTIFS(Tracking!E:E,A8,Tracking!D:D,C8,Tracking!C:C,"5v5",Tracking!R:R,"dz exit")</f>
        <v>0</v>
      </c>
      <c r="CE8" s="12">
        <f>COUNTIFS(Tracking!E:E,A8,Tracking!D:D,C8,Tracking!C:C,"5v5",Tracking!R:R,"dz counter")</f>
        <v>0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0</v>
      </c>
      <c r="CI8" s="12">
        <f>COUNTIFS(Tracking!E:E,A8,Tracking!D:D,C8,Tracking!C:C,"5v5",Tracking!R:R,"controlled breakout")</f>
        <v>2</v>
      </c>
      <c r="CJ8" s="2">
        <f t="shared" si="1"/>
        <v>1.6850000000000003</v>
      </c>
      <c r="CK8" s="2">
        <f t="shared" si="7"/>
        <v>1.4950000000000001</v>
      </c>
      <c r="CL8" s="2">
        <f t="shared" si="2"/>
        <v>9.0000000000000011E-2</v>
      </c>
      <c r="CM8" s="2">
        <f t="shared" si="9"/>
        <v>0</v>
      </c>
      <c r="CN8" s="2">
        <f t="shared" si="3"/>
        <v>-3.5000000000000003E-2</v>
      </c>
      <c r="CO8" s="2">
        <f t="shared" si="4"/>
        <v>4.4999999999999998E-2</v>
      </c>
      <c r="CP8" s="2">
        <f t="shared" si="5"/>
        <v>0.09</v>
      </c>
      <c r="CQ8" s="2">
        <f t="shared" si="6"/>
        <v>1.5950000000000002</v>
      </c>
    </row>
    <row r="9" spans="1:126" x14ac:dyDescent="0.35">
      <c r="A9" s="8">
        <v>44</v>
      </c>
      <c r="B9" s="8" t="s">
        <v>243</v>
      </c>
      <c r="C9" s="8" t="s">
        <v>132</v>
      </c>
      <c r="D9" s="8" t="s">
        <v>189</v>
      </c>
      <c r="E9" s="8">
        <v>14.1</v>
      </c>
      <c r="F9" s="8" t="s">
        <v>130</v>
      </c>
      <c r="G9" s="19" t="s">
        <v>275</v>
      </c>
      <c r="H9" s="9">
        <f>COUNTIFS(Tracking!E:E,A9,Tracking!D:D,C9,Tracking!C:C,"5v5")</f>
        <v>1</v>
      </c>
      <c r="I9" s="9">
        <f>COUNTIFS(Tracking!E:E,A9,Tracking!D:D,C9,Tracking!N:N,"y",Tracking!C:C,"5v5")</f>
        <v>1</v>
      </c>
      <c r="J9" s="9">
        <f>COUNTIFS(Tracking!E:E,A9,Tracking!D:D,C9,Tracking!M:M,"y",Tracking!C:C,"5v5")</f>
        <v>1</v>
      </c>
      <c r="K9" s="9">
        <f t="shared" si="0"/>
        <v>4</v>
      </c>
      <c r="L9" s="9">
        <f>COUNTIFS(Tracking!G:G,A9,Tracking!D:D,C9,Tracking!C:C,"5v5")</f>
        <v>3</v>
      </c>
      <c r="M9" s="9">
        <f>COUNTIFS(Tracking!H:H,A9,Tracking!D:D,C9,Tracking!C:C,"5v5")</f>
        <v>1</v>
      </c>
      <c r="N9" s="9">
        <f>COUNTIFS(Tracking!I:I,A9,Tracking!D:D,C9,Tracking!C:C,"5v5")</f>
        <v>0</v>
      </c>
      <c r="O9" s="9">
        <f>COUNTIFS(Tracking!G:G,A9,Tracking!D:D,C9,Tracking!C:C,"5v5",Tracking!M:M,"y")</f>
        <v>1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0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0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0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0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1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0</v>
      </c>
      <c r="V9" s="9">
        <f>COUNTIFS(Tracking!E:E,A9,Tracking!D:D,C9,Tracking!C:C,"5v5",Tracking!P:P,"r")</f>
        <v>1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1</v>
      </c>
      <c r="X9" s="9">
        <f>COUNTIFS(Tracking!E:E,A9,Tracking!D:D,C9,Tracking!C:C,"5v5",Tracking!P:P,"f")</f>
        <v>0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2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1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0</v>
      </c>
      <c r="AC9" s="11">
        <f>COUNTIFS(Tracking!Z:Z,A9&amp;C9,Tracking!C:C,"5v5")-AE9</f>
        <v>1</v>
      </c>
      <c r="AD9" s="11">
        <f>COUNTIFS(Tracking!Z:Z,A9&amp;C9,Tracking!C:C,"5v5",Tracking!Y:Y,"C")</f>
        <v>1</v>
      </c>
      <c r="AE9" s="11">
        <f>COUNTIFS(Tracking!Z:Z,A9&amp;C9,Tracking!C:C,"5v5",Tracking!Y:Y,"F")</f>
        <v>0</v>
      </c>
      <c r="AF9" s="11">
        <f>COUNTIFS(Tracking!Z:Z,A9&amp;C9,Tracking!C:C,"5v5",Tracking!Y:Y,"C",Tracking!AB:AB,"Y")</f>
        <v>1</v>
      </c>
      <c r="AG9" s="11">
        <f>COUNTIFS(Tracking!AD:AD,A9&amp;C9,Tracking!C:C,"5v5")</f>
        <v>0</v>
      </c>
      <c r="AH9" s="11">
        <f>COUNTIFS(Tracking!Z:Z,A9&amp;C9,Tracking!C:C,"5v5",Tracking!Y:Y,"C",Tracking!AE:AE,"Y")</f>
        <v>1</v>
      </c>
      <c r="AI9" s="11">
        <f>COUNTIFS(Tracking!Z:Z,A9&amp;C9,Tracking!C:C,"5v5",Tracking!Y:Y,"D",Tracking!AE:AE,"Y")</f>
        <v>0</v>
      </c>
      <c r="AJ9" s="11">
        <f>COUNTIFS(Tracking!AH:AH,A9&amp;C9)</f>
        <v>0</v>
      </c>
      <c r="AK9" s="5">
        <f>COUNTIFS(Tracking!AI:AI,A9&amp;C9,Tracking!C:C,"5v5")+AL9</f>
        <v>7</v>
      </c>
      <c r="AL9" s="5">
        <f>COUNTIFS(Tracking!AF:AF,A9&amp;C9,Tracking!C:C,"5v5")-AT9</f>
        <v>5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4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3</v>
      </c>
      <c r="AO9" s="5">
        <f>COUNTIFS(Tracking!AF:AF,A9&amp;C9,Tracking!C:C,"5v5",Tracking!AG:AG,"CEX")+COUNTIFS(Tracking!AI:AI,A9&amp;C9,Tracking!C:C,"5v5",Tracking!AJ:AJ,"CEX")</f>
        <v>0</v>
      </c>
      <c r="AP9" s="5">
        <f>COUNTIFS(Tracking!AF:AF,A9&amp;C9,Tracking!C:C,"5v5",Tracking!AG:AG,"PEX")</f>
        <v>1</v>
      </c>
      <c r="AQ9" s="5">
        <f>COUNTIFS(Tracking!AF:AF,A9&amp;C9,Tracking!C:C,"5v5",Tracking!AG:AG,"CLE")+COUNTIFS(Tracking!AI:AI,A9&amp;C9,Tracking!C:C,"5v5",Tracking!AJ:AJ,"CLE")</f>
        <v>1</v>
      </c>
      <c r="AR9" s="5">
        <f>COUNTIFS(Tracking!AF:AF,A9&amp;C9,Tracking!C:C,"5v5",Tracking!AG:AG,"MEX")</f>
        <v>1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2</v>
      </c>
      <c r="AT9" s="5">
        <f>COUNTIFS(Tracking!AF:AF,A9&amp;C9,Tracking!C:C,"5v5",Tracking!AG:AG,"BOT")+COUNTIFS(Tracking!AF:AF,A9&amp;C9,Tracking!C:C,"5v5",Tracking!AG:AG,"FEX")</f>
        <v>2</v>
      </c>
      <c r="AU9" s="5">
        <f>COUNTIFS(Tracking!AF:AF,A9&amp;C9,Tracking!C:C,"5v5",Tracking!AG:AG,"EXC")</f>
        <v>2</v>
      </c>
      <c r="AV9" s="5">
        <f>COUNTIFS(Tracking!AF:AF,A9&amp;C9,Tracking!C:C,"5v5",Tracking!AG:AG,"FEX")+COUNTIFS(Tracking!AI:AI,A9&amp;C9,Tracking!C:C,"5v5",Tracking!AJ:AJ,"FEX")</f>
        <v>2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2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2</v>
      </c>
      <c r="AY9" s="1">
        <f>COUNTIFS(Tracking!AA:AA,A9&amp;C9,Tracking!C:C,"5v5")</f>
        <v>7</v>
      </c>
      <c r="AZ9" s="1">
        <f>COUNTIFS(Tracking!AA:AA,A9&amp;C9,Tracking!C:C,"5v5",Tracking!Y:Y,"C")</f>
        <v>1</v>
      </c>
      <c r="BA9" s="1">
        <f>COUNTIFS(Tracking!AA:AA,A9&amp;C9,Tracking!C:C,"5v5",Tracking!Y:Y,"F")</f>
        <v>1</v>
      </c>
      <c r="BB9" s="1">
        <f>COUNTIFS(Tracking!AA:AA,A9&amp;C9,Tracking!C:C,"5v5",Tracking!AB:AB,"Y")</f>
        <v>1</v>
      </c>
      <c r="BC9" s="1">
        <f>COUNTIFS(Tracking!AA:AA,A9&amp;C9,Tracking!C:C,"5v5",Tracking!Y:Y,"C",Tracking!AE:AE,"Y")</f>
        <v>1</v>
      </c>
      <c r="BD9" s="1">
        <f>COUNTIFS(Tracking!AA:AA,A9&amp;C9,Tracking!C:C,"5v5",Tracking!Y:Y,"D",Tracking!AE:AE,"Y")</f>
        <v>0</v>
      </c>
      <c r="BE9" s="10">
        <f>COUNTIFS(Tracking!Z:Z,A9&amp;C9,Tracking!C:C,"5v4")</f>
        <v>0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0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0</v>
      </c>
      <c r="BS9" s="12">
        <f>COUNTIFS(Tracking!E:E,A9,Tracking!D:D,C9,Tracking!C:C,"5v5",Tracking!F:F,"r")</f>
        <v>0</v>
      </c>
      <c r="BT9" s="12">
        <f>COUNTIFS(Tracking!E:E,A9,Tracking!D:D,C9,Tracking!C:C,"5v5",Tracking!F:F,"t")</f>
        <v>1</v>
      </c>
      <c r="BU9" s="12">
        <f>COUNTIFS(Tracking!G:G,A9,Tracking!D:D,C9,Tracking!C:C,"5v5",Tracking!F:F,"o")</f>
        <v>0</v>
      </c>
      <c r="BV9" s="12">
        <f>COUNTIFS(Tracking!E:E,A8,Tracking!D:D,C9,Tracking!C:C,"5v5",Tracking!F:F,"r")</f>
        <v>1</v>
      </c>
      <c r="BW9" s="12">
        <f>COUNTIFS(Tracking!G:G,A9,Tracking!D:D,C9,Tracking!C:C,"5v5",Tracking!F:F,"T")</f>
        <v>3</v>
      </c>
      <c r="BX9" s="12">
        <f>COUNTIFS(Tracking!E:E,A9,Tracking!D:D,C9,Tracking!C:C,"5v5",Tracking!Q:Q,"OZ")</f>
        <v>0</v>
      </c>
      <c r="BY9" s="12">
        <f>COUNTIFS(Tracking!E:E,A9,Tracking!D:D,C9,Tracking!C:C,"5v5",Tracking!Q:Q,"nZ")</f>
        <v>0</v>
      </c>
      <c r="BZ9" s="12">
        <f>COUNTIFS(Tracking!E:E,A9,Tracking!D:D,C9,Tracking!C:C,"5v5",Tracking!Q:Q,"dZ")</f>
        <v>1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3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0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1</v>
      </c>
      <c r="CD9" s="12">
        <f>COUNTIFS(Tracking!E:E,A9,Tracking!D:D,C9,Tracking!C:C,"5v5",Tracking!R:R,"dz exit")</f>
        <v>1</v>
      </c>
      <c r="CE9" s="12">
        <f>COUNTIFS(Tracking!E:E,A9,Tracking!D:D,C9,Tracking!C:C,"5v5",Tracking!R:R,"dz counter")</f>
        <v>0</v>
      </c>
      <c r="CF9" s="12">
        <f>COUNTIFS(Tracking!E:E,A9,Tracking!D:D,C9,Tracking!C:C,"5v5",Tracking!R:R,"nz turnover")</f>
        <v>0</v>
      </c>
      <c r="CG9" s="12">
        <f>COUNTIFS(Tracking!E:E,A9,Tracking!D:D,C9,Tracking!C:C,"5v5",Tracking!R:R,"nz regroup")</f>
        <v>0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0.81500000000000006</v>
      </c>
      <c r="CK9" s="2">
        <f t="shared" si="7"/>
        <v>0.52500000000000002</v>
      </c>
      <c r="CL9" s="2">
        <f t="shared" si="2"/>
        <v>0.1</v>
      </c>
      <c r="CM9" s="2">
        <f t="shared" si="9"/>
        <v>0.17499999999999999</v>
      </c>
      <c r="CN9" s="2">
        <f t="shared" si="3"/>
        <v>1.5000000000000013E-2</v>
      </c>
      <c r="CO9" s="2">
        <f t="shared" si="4"/>
        <v>0</v>
      </c>
      <c r="CP9" s="2">
        <f t="shared" si="5"/>
        <v>0</v>
      </c>
      <c r="CQ9" s="2">
        <f t="shared" si="6"/>
        <v>0.81500000000000006</v>
      </c>
    </row>
    <row r="10" spans="1:126" x14ac:dyDescent="0.35">
      <c r="A10" s="8">
        <v>38</v>
      </c>
      <c r="B10" s="8" t="s">
        <v>244</v>
      </c>
      <c r="C10" s="8" t="s">
        <v>132</v>
      </c>
      <c r="D10" s="8" t="s">
        <v>189</v>
      </c>
      <c r="E10" s="8">
        <v>19.2</v>
      </c>
      <c r="F10" s="8" t="s">
        <v>130</v>
      </c>
      <c r="G10" s="19" t="s">
        <v>275</v>
      </c>
      <c r="H10" s="9">
        <f>COUNTIFS(Tracking!E:E,A10,Tracking!D:D,C10,Tracking!C:C,"5v5")</f>
        <v>3</v>
      </c>
      <c r="I10" s="9">
        <f>COUNTIFS(Tracking!E:E,A10,Tracking!D:D,C10,Tracking!N:N,"y",Tracking!C:C,"5v5")</f>
        <v>1</v>
      </c>
      <c r="J10" s="9">
        <f>COUNTIFS(Tracking!E:E,A10,Tracking!D:D,C10,Tracking!M:M,"y",Tracking!C:C,"5v5")</f>
        <v>1</v>
      </c>
      <c r="K10" s="9">
        <f t="shared" si="0"/>
        <v>7</v>
      </c>
      <c r="L10" s="9">
        <f>COUNTIFS(Tracking!G:G,A10,Tracking!D:D,C10,Tracking!C:C,"5v5")</f>
        <v>5</v>
      </c>
      <c r="M10" s="9">
        <f>COUNTIFS(Tracking!H:H,A10,Tracking!D:D,C10,Tracking!C:C,"5v5")</f>
        <v>1</v>
      </c>
      <c r="N10" s="9">
        <f>COUNTIFS(Tracking!I:I,A10,Tracking!D:D,C10,Tracking!C:C,"5v5")</f>
        <v>1</v>
      </c>
      <c r="O10" s="9">
        <f>COUNTIFS(Tracking!G:G,A10,Tracking!D:D,C10,Tracking!C:C,"5v5",Tracking!M:M,"y")</f>
        <v>4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0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0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0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0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0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3</v>
      </c>
      <c r="V10" s="9">
        <f>COUNTIFS(Tracking!E:E,A10,Tracking!D:D,C10,Tracking!C:C,"5v5",Tracking!P:P,"r")</f>
        <v>1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3</v>
      </c>
      <c r="X10" s="9">
        <f>COUNTIFS(Tracking!E:E,A10,Tracking!D:D,C10,Tracking!C:C,"5v5",Tracking!P:P,"f")</f>
        <v>1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1</v>
      </c>
      <c r="Z10" s="9">
        <f>COUNTIFS(Tracking!E:E,A10,Tracking!D:D,C10,Tracking!C:C,"5v5",Tracking!P:P,"c")</f>
        <v>1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3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0</v>
      </c>
      <c r="AC10" s="11">
        <f>COUNTIFS(Tracking!Z:Z,A10&amp;C10,Tracking!C:C,"5v5")-AE10</f>
        <v>1</v>
      </c>
      <c r="AD10" s="11">
        <f>COUNTIFS(Tracking!Z:Z,A10&amp;C10,Tracking!C:C,"5v5",Tracking!Y:Y,"C")</f>
        <v>0</v>
      </c>
      <c r="AE10" s="11">
        <f>COUNTIFS(Tracking!Z:Z,A10&amp;C10,Tracking!C:C,"5v5",Tracking!Y:Y,"F")</f>
        <v>0</v>
      </c>
      <c r="AF10" s="11">
        <f>COUNTIFS(Tracking!Z:Z,A10&amp;C10,Tracking!C:C,"5v5",Tracking!Y:Y,"C",Tracking!AB:AB,"Y")</f>
        <v>0</v>
      </c>
      <c r="AG10" s="11">
        <f>COUNTIFS(Tracking!AD:AD,A10&amp;C10,Tracking!C:C,"5v5")</f>
        <v>0</v>
      </c>
      <c r="AH10" s="11">
        <f>COUNTIFS(Tracking!Z:Z,A10&amp;C10,Tracking!C:C,"5v5",Tracking!Y:Y,"C",Tracking!AE:AE,"Y")</f>
        <v>0</v>
      </c>
      <c r="AI10" s="11">
        <f>COUNTIFS(Tracking!Z:Z,A10&amp;C10,Tracking!C:C,"5v5",Tracking!Y:Y,"D",Tracking!AE:AE,"Y")</f>
        <v>0</v>
      </c>
      <c r="AJ10" s="11">
        <f>COUNTIFS(Tracking!AH:AH,A10&amp;C10)</f>
        <v>1</v>
      </c>
      <c r="AK10" s="5">
        <f>COUNTIFS(Tracking!AI:AI,A10&amp;C10,Tracking!C:C,"5v5")+AL10</f>
        <v>8</v>
      </c>
      <c r="AL10" s="5">
        <f>COUNTIFS(Tracking!AF:AF,A10&amp;C10,Tracking!C:C,"5v5")-AT10</f>
        <v>7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2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2</v>
      </c>
      <c r="AO10" s="5">
        <f>COUNTIFS(Tracking!AF:AF,A10&amp;C10,Tracking!C:C,"5v5",Tracking!AG:AG,"CEX")+COUNTIFS(Tracking!AI:AI,A10&amp;C10,Tracking!C:C,"5v5",Tracking!AJ:AJ,"CEX")</f>
        <v>0</v>
      </c>
      <c r="AP10" s="5">
        <f>COUNTIFS(Tracking!AF:AF,A10&amp;C10,Tracking!C:C,"5v5",Tracking!AG:AG,"PEX")</f>
        <v>1</v>
      </c>
      <c r="AQ10" s="5">
        <f>COUNTIFS(Tracking!AF:AF,A10&amp;C10,Tracking!C:C,"5v5",Tracking!AG:AG,"CLE")+COUNTIFS(Tracking!AI:AI,A10&amp;C10,Tracking!C:C,"5v5",Tracking!AJ:AJ,"CLE")</f>
        <v>0</v>
      </c>
      <c r="AR10" s="5">
        <f>COUNTIFS(Tracking!AF:AF,A10&amp;C10,Tracking!C:C,"5v5",Tracking!AG:AG,"MEX")</f>
        <v>0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6</v>
      </c>
      <c r="AT10" s="5">
        <f>COUNTIFS(Tracking!AF:AF,A10&amp;C10,Tracking!C:C,"5v5",Tracking!AG:AG,"BOT")+COUNTIFS(Tracking!AF:AF,A10&amp;C10,Tracking!C:C,"5v5",Tracking!AG:AG,"FEX")</f>
        <v>2</v>
      </c>
      <c r="AU10" s="5">
        <f>COUNTIFS(Tracking!AF:AF,A10&amp;C10,Tracking!C:C,"5v5",Tracking!AG:AG,"EXC")</f>
        <v>6</v>
      </c>
      <c r="AV10" s="5">
        <f>COUNTIFS(Tracking!AF:AF,A10&amp;C10,Tracking!C:C,"5v5",Tracking!AG:AG,"FEX")+COUNTIFS(Tracking!AI:AI,A10&amp;C10,Tracking!C:C,"5v5",Tracking!AJ:AJ,"FEX")</f>
        <v>2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1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1</v>
      </c>
      <c r="AY10" s="1">
        <f>COUNTIFS(Tracking!AA:AA,A10&amp;C10,Tracking!C:C,"5v5")</f>
        <v>1</v>
      </c>
      <c r="AZ10" s="1">
        <f>COUNTIFS(Tracking!AA:AA,A10&amp;C10,Tracking!C:C,"5v5",Tracking!Y:Y,"C")</f>
        <v>1</v>
      </c>
      <c r="BA10" s="1">
        <f>COUNTIFS(Tracking!AA:AA,A10&amp;C10,Tracking!C:C,"5v5",Tracking!Y:Y,"F")</f>
        <v>0</v>
      </c>
      <c r="BB10" s="1">
        <f>COUNTIFS(Tracking!AA:AA,A10&amp;C10,Tracking!C:C,"5v5",Tracking!AB:AB,"Y")</f>
        <v>0</v>
      </c>
      <c r="BC10" s="1">
        <f>COUNTIFS(Tracking!AA:AA,A10&amp;C10,Tracking!C:C,"5v5",Tracking!Y:Y,"C",Tracking!AE:AE,"Y")</f>
        <v>0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0</v>
      </c>
      <c r="BF10" s="10">
        <f>COUNTIFS(Tracking!Z:Z,A10&amp;C10,Tracking!C:C,"5v4",Tracking!Y:Y,"C")</f>
        <v>0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0</v>
      </c>
      <c r="BJ10" s="10">
        <f>COUNTIFS(Tracking!E:E,A10,Tracking!D:D,C10,Tracking!C:C,"5v4")</f>
        <v>0</v>
      </c>
      <c r="BK10" s="10">
        <f>COUNTIFS(Tracking!G:G,A10,Tracking!D:D,C10,Tracking!C:C,"5v4")+COUNTIFS(Tracking!H:H,A10,Tracking!D:D,C10,Tracking!C:C,"5v4")+COUNTIFS(Tracking!I:I,A10,Tracking!D:D,C10,Tracking!C:C,"5v4")</f>
        <v>0</v>
      </c>
      <c r="BL10" s="10">
        <f>COUNTIFS(Tracking!G:G,A10,Tracking!D:D,C10,Tracking!C:C,"5v4")</f>
        <v>0</v>
      </c>
      <c r="BM10" s="10">
        <f>COUNTIFS(Tracking!E:E,A10,Tracking!D:D,C10,Tracking!C:C,"5v4",Tracking!M:M,"Y")</f>
        <v>0</v>
      </c>
      <c r="BN10" s="10">
        <f>COUNTIFS(Tracking!G:G,A10,Tracking!D:D,C10,Tracking!C:C,"5v4",Tracking!M:M,"Y")</f>
        <v>0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0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1</v>
      </c>
      <c r="BS10" s="12">
        <f>COUNTIFS(Tracking!E:E,A10,Tracking!D:D,C10,Tracking!C:C,"5v5",Tracking!F:F,"r")</f>
        <v>1</v>
      </c>
      <c r="BT10" s="12">
        <f>COUNTIFS(Tracking!E:E,A10,Tracking!D:D,C10,Tracking!C:C,"5v5",Tracking!F:F,"t")</f>
        <v>0</v>
      </c>
      <c r="BU10" s="12">
        <f>COUNTIFS(Tracking!G:G,A10,Tracking!D:D,C10,Tracking!C:C,"5v5",Tracking!F:F,"o")</f>
        <v>0</v>
      </c>
      <c r="BV10" s="12">
        <f>COUNTIFS(Tracking!E:E,A9,Tracking!D:D,C10,Tracking!C:C,"5v5",Tracking!F:F,"r")</f>
        <v>0</v>
      </c>
      <c r="BW10" s="12">
        <f>COUNTIFS(Tracking!G:G,A10,Tracking!D:D,C10,Tracking!C:C,"5v5",Tracking!F:F,"T")</f>
        <v>2</v>
      </c>
      <c r="BX10" s="12">
        <f>COUNTIFS(Tracking!E:E,A10,Tracking!D:D,C10,Tracking!C:C,"5v5",Tracking!Q:Q,"OZ")</f>
        <v>1</v>
      </c>
      <c r="BY10" s="12">
        <f>COUNTIFS(Tracking!E:E,A10,Tracking!D:D,C10,Tracking!C:C,"5v5",Tracking!Q:Q,"nZ")</f>
        <v>0</v>
      </c>
      <c r="BZ10" s="12">
        <f>COUNTIFS(Tracking!E:E,A10,Tracking!D:D,C10,Tracking!C:C,"5v5",Tracking!Q:Q,"dZ")</f>
        <v>2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4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0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3</v>
      </c>
      <c r="CD10" s="12">
        <f>COUNTIFS(Tracking!E:E,A10,Tracking!D:D,C10,Tracking!C:C,"5v5",Tracking!R:R,"dz exit")</f>
        <v>1</v>
      </c>
      <c r="CE10" s="12">
        <f>COUNTIFS(Tracking!E:E,A10,Tracking!D:D,C10,Tracking!C:C,"5v5",Tracking!R:R,"dz counter")</f>
        <v>0</v>
      </c>
      <c r="CF10" s="12">
        <f>COUNTIFS(Tracking!E:E,A10,Tracking!D:D,C10,Tracking!C:C,"5v5",Tracking!R:R,"nz turnover")</f>
        <v>0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0</v>
      </c>
      <c r="CI10" s="12">
        <f>COUNTIFS(Tracking!E:E,A10,Tracking!D:D,C10,Tracking!C:C,"5v5",Tracking!R:R,"controlled breakout")</f>
        <v>1</v>
      </c>
      <c r="CJ10" s="2">
        <f t="shared" si="1"/>
        <v>1.25</v>
      </c>
      <c r="CK10" s="2">
        <f t="shared" si="7"/>
        <v>1.1400000000000001</v>
      </c>
      <c r="CL10" s="2">
        <f t="shared" si="2"/>
        <v>0</v>
      </c>
      <c r="CM10" s="2">
        <f t="shared" si="9"/>
        <v>1.4999999999999999E-2</v>
      </c>
      <c r="CN10" s="2">
        <f t="shared" si="3"/>
        <v>8.0000000000000016E-2</v>
      </c>
      <c r="CO10" s="2">
        <f t="shared" si="4"/>
        <v>1.4999999999999999E-2</v>
      </c>
      <c r="CP10" s="2">
        <f t="shared" si="5"/>
        <v>0</v>
      </c>
      <c r="CQ10" s="2">
        <f t="shared" si="6"/>
        <v>1.25</v>
      </c>
    </row>
    <row r="11" spans="1:126" x14ac:dyDescent="0.35">
      <c r="A11" s="8">
        <v>15</v>
      </c>
      <c r="B11" s="8" t="s">
        <v>245</v>
      </c>
      <c r="C11" s="8" t="s">
        <v>132</v>
      </c>
      <c r="D11" s="8" t="s">
        <v>179</v>
      </c>
      <c r="E11" s="8">
        <v>8</v>
      </c>
      <c r="F11" s="8" t="s">
        <v>130</v>
      </c>
      <c r="G11" s="19" t="s">
        <v>275</v>
      </c>
      <c r="H11" s="9">
        <f>COUNTIFS(Tracking!E:E,A11,Tracking!D:D,C11,Tracking!C:C,"5v5")</f>
        <v>0</v>
      </c>
      <c r="I11" s="9">
        <f>COUNTIFS(Tracking!E:E,A11,Tracking!D:D,C11,Tracking!N:N,"y",Tracking!C:C,"5v5")</f>
        <v>0</v>
      </c>
      <c r="J11" s="9">
        <f>COUNTIFS(Tracking!E:E,A11,Tracking!D:D,C11,Tracking!M:M,"y",Tracking!C:C,"5v5")</f>
        <v>0</v>
      </c>
      <c r="K11" s="9">
        <f t="shared" si="0"/>
        <v>1</v>
      </c>
      <c r="L11" s="9">
        <f>COUNTIFS(Tracking!G:G,A11,Tracking!D:D,C11,Tracking!C:C,"5v5")</f>
        <v>1</v>
      </c>
      <c r="M11" s="9">
        <f>COUNTIFS(Tracking!H:H,A11,Tracking!D:D,C11,Tracking!C:C,"5v5")</f>
        <v>0</v>
      </c>
      <c r="N11" s="9">
        <f>COUNTIFS(Tracking!I:I,A11,Tracking!D:D,C11,Tracking!C:C,"5v5")</f>
        <v>0</v>
      </c>
      <c r="O11" s="9">
        <f>COUNTIFS(Tracking!G:G,A11,Tracking!D:D,C11,Tracking!C:C,"5v5",Tracking!M:M,"y")</f>
        <v>1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0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0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1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0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0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0</v>
      </c>
      <c r="V11" s="9">
        <f>COUNTIFS(Tracking!E:E,A11,Tracking!D:D,C11,Tracking!C:C,"5v5",Tracking!P:P,"r")</f>
        <v>0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0</v>
      </c>
      <c r="X11" s="9">
        <f>COUNTIFS(Tracking!E:E,A11,Tracking!D:D,C11,Tracking!C:C,"5v5",Tracking!P:P,"f")</f>
        <v>0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0</v>
      </c>
      <c r="Z11" s="9">
        <f>COUNTIFS(Tracking!E:E,A11,Tracking!D:D,C11,Tracking!C:C,"5v5",Tracking!P:P,"c")</f>
        <v>0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0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0</v>
      </c>
      <c r="AC11" s="11">
        <f>COUNTIFS(Tracking!Z:Z,A11&amp;C11,Tracking!C:C,"5v5")-AE11</f>
        <v>4</v>
      </c>
      <c r="AD11" s="11">
        <f>COUNTIFS(Tracking!Z:Z,A11&amp;C11,Tracking!C:C,"5v5",Tracking!Y:Y,"C")</f>
        <v>2</v>
      </c>
      <c r="AE11" s="11">
        <f>COUNTIFS(Tracking!Z:Z,A11&amp;C11,Tracking!C:C,"5v5",Tracking!Y:Y,"F")</f>
        <v>0</v>
      </c>
      <c r="AF11" s="11">
        <f>COUNTIFS(Tracking!Z:Z,A11&amp;C11,Tracking!C:C,"5v5",Tracking!Y:Y,"C",Tracking!AB:AB,"Y")</f>
        <v>0</v>
      </c>
      <c r="AG11" s="11">
        <f>COUNTIFS(Tracking!AD:AD,A11&amp;C11,Tracking!C:C,"5v5")</f>
        <v>0</v>
      </c>
      <c r="AH11" s="11">
        <f>COUNTIFS(Tracking!Z:Z,A11&amp;C11,Tracking!C:C,"5v5",Tracking!Y:Y,"C",Tracking!AE:AE,"Y")</f>
        <v>0</v>
      </c>
      <c r="AI11" s="11">
        <f>COUNTIFS(Tracking!Z:Z,A11&amp;C11,Tracking!C:C,"5v5",Tracking!Y:Y,"D",Tracking!AE:AE,"Y")</f>
        <v>0</v>
      </c>
      <c r="AJ11" s="11">
        <f>COUNTIFS(Tracking!AH:AH,A11&amp;C11)</f>
        <v>3</v>
      </c>
      <c r="AK11" s="5">
        <f>COUNTIFS(Tracking!AI:AI,A11&amp;C11,Tracking!C:C,"5v5")+AL11</f>
        <v>0</v>
      </c>
      <c r="AL11" s="5">
        <f>COUNTIFS(Tracking!AF:AF,A11&amp;C11,Tracking!C:C,"5v5")-AT11</f>
        <v>0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0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0</v>
      </c>
      <c r="AO11" s="5">
        <f>COUNTIFS(Tracking!AF:AF,A11&amp;C11,Tracking!C:C,"5v5",Tracking!AG:AG,"CEX")+COUNTIFS(Tracking!AI:AI,A11&amp;C11,Tracking!C:C,"5v5",Tracking!AJ:AJ,"CEX")</f>
        <v>0</v>
      </c>
      <c r="AP11" s="5">
        <f>COUNTIFS(Tracking!AF:AF,A11&amp;C11,Tracking!C:C,"5v5",Tracking!AG:AG,"PEX")</f>
        <v>0</v>
      </c>
      <c r="AQ11" s="5">
        <f>COUNTIFS(Tracking!AF:AF,A11&amp;C11,Tracking!C:C,"5v5",Tracking!AG:AG,"CLE")+COUNTIFS(Tracking!AI:AI,A11&amp;C11,Tracking!C:C,"5v5",Tracking!AJ:AJ,"CLE")</f>
        <v>0</v>
      </c>
      <c r="AR11" s="5">
        <f>COUNTIFS(Tracking!AF:AF,A11&amp;C11,Tracking!C:C,"5v5",Tracking!AG:AG,"MEX")</f>
        <v>0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0</v>
      </c>
      <c r="AT11" s="5">
        <f>COUNTIFS(Tracking!AF:AF,A11&amp;C11,Tracking!C:C,"5v5",Tracking!AG:AG,"BOT")+COUNTIFS(Tracking!AF:AF,A11&amp;C11,Tracking!C:C,"5v5",Tracking!AG:AG,"FEX")</f>
        <v>0</v>
      </c>
      <c r="AU11" s="5">
        <f>COUNTIFS(Tracking!AF:AF,A11&amp;C11,Tracking!C:C,"5v5",Tracking!AG:AG,"EXC")</f>
        <v>0</v>
      </c>
      <c r="AV11" s="5">
        <f>COUNTIFS(Tracking!AF:AF,A11&amp;C11,Tracking!C:C,"5v5",Tracking!AG:AG,"FEX")+COUNTIFS(Tracking!AI:AI,A11&amp;C11,Tracking!C:C,"5v5",Tracking!AJ:AJ,"FEX")</f>
        <v>0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0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0</v>
      </c>
      <c r="AY11" s="1">
        <f>COUNTIFS(Tracking!AA:AA,A11&amp;C11,Tracking!C:C,"5v5")</f>
        <v>0</v>
      </c>
      <c r="AZ11" s="1">
        <f>COUNTIFS(Tracking!AA:AA,A11&amp;C11,Tracking!C:C,"5v5",Tracking!Y:Y,"C")</f>
        <v>0</v>
      </c>
      <c r="BA11" s="1">
        <f>COUNTIFS(Tracking!AA:AA,A11&amp;C11,Tracking!C:C,"5v5",Tracking!Y:Y,"F")</f>
        <v>0</v>
      </c>
      <c r="BB11" s="1">
        <f>COUNTIFS(Tracking!AA:AA,A11&amp;C11,Tracking!C:C,"5v5",Tracking!AB:AB,"Y")</f>
        <v>0</v>
      </c>
      <c r="BC11" s="1">
        <f>COUNTIFS(Tracking!AA:AA,A11&amp;C11,Tracking!C:C,"5v5",Tracking!Y:Y,"C",Tracking!AE:AE,"Y")</f>
        <v>0</v>
      </c>
      <c r="BD11" s="1">
        <f>COUNTIFS(Tracking!AA:AA,A11&amp;C11,Tracking!C:C,"5v5",Tracking!Y:Y,"D",Tracking!AE:AE,"Y")</f>
        <v>0</v>
      </c>
      <c r="BE11" s="10">
        <f>COUNTIFS(Tracking!Z:Z,A11&amp;C11,Tracking!C:C,"5v4")</f>
        <v>1</v>
      </c>
      <c r="BF11" s="10">
        <f>COUNTIFS(Tracking!Z:Z,A11&amp;C11,Tracking!C:C,"5v4",Tracking!Y:Y,"C")</f>
        <v>1</v>
      </c>
      <c r="BG11" s="10">
        <f>COUNTIFS(Tracking!Z:Z,A11&amp;C11,Tracking!C:C,"5v4",Tracking!AB:AB,"Y")</f>
        <v>1</v>
      </c>
      <c r="BH11" s="10">
        <f>COUNTIFS(Tracking!Z:Z,A11&amp;C11,Tracking!C:C,"4v5")</f>
        <v>0</v>
      </c>
      <c r="BI11" s="10">
        <f>COUNTIFS(Tracking!AA:AA,A11&amp;C11,Tracking!C:C,"5v4",Tracking!Y:Y,"D")+COUNTIFS(Tracking!AA:AA,A11&amp;C11,Tracking!C:C,"5v4",Tracking!Y:Y,"F")</f>
        <v>0</v>
      </c>
      <c r="BJ11" s="10">
        <f>COUNTIFS(Tracking!E:E,A11,Tracking!D:D,C11,Tracking!C:C,"5v4")</f>
        <v>1</v>
      </c>
      <c r="BK11" s="10">
        <f>COUNTIFS(Tracking!G:G,A11,Tracking!D:D,C11,Tracking!C:C,"5v4")+COUNTIFS(Tracking!H:H,A11,Tracking!D:D,C11,Tracking!C:C,"5v4")+COUNTIFS(Tracking!I:I,A11,Tracking!D:D,C11,Tracking!C:C,"5v4")</f>
        <v>1</v>
      </c>
      <c r="BL11" s="10">
        <f>COUNTIFS(Tracking!G:G,A11,Tracking!D:D,C11,Tracking!C:C,"5v4")</f>
        <v>1</v>
      </c>
      <c r="BM11" s="10">
        <f>COUNTIFS(Tracking!E:E,A11,Tracking!D:D,C11,Tracking!C:C,"5v4",Tracking!M:M,"Y")</f>
        <v>1</v>
      </c>
      <c r="BN11" s="10">
        <f>COUNTIFS(Tracking!G:G,A11,Tracking!D:D,C11,Tracking!C:C,"5v4",Tracking!M:M,"Y")</f>
        <v>1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0</v>
      </c>
      <c r="BS11" s="12">
        <f>COUNTIFS(Tracking!E:E,A11,Tracking!D:D,C11,Tracking!C:C,"5v5",Tracking!F:F,"r")</f>
        <v>0</v>
      </c>
      <c r="BT11" s="12">
        <f>COUNTIFS(Tracking!E:E,A11,Tracking!D:D,C11,Tracking!C:C,"5v5",Tracking!F:F,"t")</f>
        <v>0</v>
      </c>
      <c r="BU11" s="12">
        <f>COUNTIFS(Tracking!G:G,A11,Tracking!D:D,C11,Tracking!C:C,"5v5",Tracking!F:F,"o")</f>
        <v>0</v>
      </c>
      <c r="BV11" s="12">
        <f>COUNTIFS(Tracking!E:E,A10,Tracking!D:D,C11,Tracking!C:C,"5v5",Tracking!F:F,"r")</f>
        <v>1</v>
      </c>
      <c r="BW11" s="12">
        <f>COUNTIFS(Tracking!G:G,A11,Tracking!D:D,C11,Tracking!C:C,"5v5",Tracking!F:F,"T")</f>
        <v>1</v>
      </c>
      <c r="BX11" s="12">
        <f>COUNTIFS(Tracking!E:E,A11,Tracking!D:D,C11,Tracking!C:C,"5v5",Tracking!Q:Q,"OZ")</f>
        <v>0</v>
      </c>
      <c r="BY11" s="12">
        <f>COUNTIFS(Tracking!E:E,A11,Tracking!D:D,C11,Tracking!C:C,"5v5",Tracking!Q:Q,"nZ")</f>
        <v>0</v>
      </c>
      <c r="BZ11" s="12">
        <f>COUNTIFS(Tracking!E:E,A11,Tracking!D:D,C11,Tracking!C:C,"5v5",Tracking!Q:Q,"dZ")</f>
        <v>0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0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0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0</v>
      </c>
      <c r="CD11" s="12">
        <f>COUNTIFS(Tracking!E:E,A11,Tracking!D:D,C11,Tracking!C:C,"5v5",Tracking!R:R,"dz exit")</f>
        <v>0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0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0</v>
      </c>
      <c r="CI11" s="12">
        <f>COUNTIFS(Tracking!E:E,A11,Tracking!D:D,C11,Tracking!C:C,"5v5",Tracking!R:R,"controlled breakout")</f>
        <v>0</v>
      </c>
      <c r="CJ11" s="2">
        <f t="shared" si="1"/>
        <v>0.49000000000000005</v>
      </c>
      <c r="CK11" s="2">
        <f t="shared" si="7"/>
        <v>0.21000000000000002</v>
      </c>
      <c r="CL11" s="2">
        <f t="shared" si="2"/>
        <v>0.09</v>
      </c>
      <c r="CM11" s="2">
        <f t="shared" si="9"/>
        <v>0</v>
      </c>
      <c r="CN11" s="2">
        <f t="shared" si="3"/>
        <v>0</v>
      </c>
      <c r="CO11" s="2">
        <f t="shared" si="4"/>
        <v>4.4999999999999998E-2</v>
      </c>
      <c r="CP11" s="2">
        <f t="shared" si="5"/>
        <v>0.14500000000000002</v>
      </c>
      <c r="CQ11" s="2">
        <f t="shared" si="6"/>
        <v>0.34500000000000003</v>
      </c>
    </row>
    <row r="12" spans="1:126" x14ac:dyDescent="0.35">
      <c r="A12" s="8">
        <v>54</v>
      </c>
      <c r="B12" s="8" t="s">
        <v>246</v>
      </c>
      <c r="C12" s="8" t="s">
        <v>132</v>
      </c>
      <c r="D12" s="8" t="s">
        <v>179</v>
      </c>
      <c r="E12" s="8">
        <v>9.6999999999999993</v>
      </c>
      <c r="F12" s="8" t="s">
        <v>130</v>
      </c>
      <c r="G12" s="19" t="s">
        <v>275</v>
      </c>
      <c r="H12" s="9">
        <f>COUNTIFS(Tracking!E:E,A12,Tracking!D:D,C12,Tracking!C:C,"5v5")</f>
        <v>2</v>
      </c>
      <c r="I12" s="9">
        <f>COUNTIFS(Tracking!E:E,A12,Tracking!D:D,C12,Tracking!N:N,"y",Tracking!C:C,"5v5")</f>
        <v>1</v>
      </c>
      <c r="J12" s="9">
        <f>COUNTIFS(Tracking!E:E,A12,Tracking!D:D,C12,Tracking!M:M,"y",Tracking!C:C,"5v5")</f>
        <v>1</v>
      </c>
      <c r="K12" s="9">
        <f t="shared" si="0"/>
        <v>3</v>
      </c>
      <c r="L12" s="9">
        <f>COUNTIFS(Tracking!G:G,A12,Tracking!D:D,C12,Tracking!C:C,"5v5")</f>
        <v>2</v>
      </c>
      <c r="M12" s="9">
        <f>COUNTIFS(Tracking!H:H,A12,Tracking!D:D,C12,Tracking!C:C,"5v5")</f>
        <v>0</v>
      </c>
      <c r="N12" s="9">
        <f>COUNTIFS(Tracking!I:I,A12,Tracking!D:D,C12,Tracking!C:C,"5v5")</f>
        <v>1</v>
      </c>
      <c r="O12" s="9">
        <f>COUNTIFS(Tracking!G:G,A12,Tracking!D:D,C12,Tracking!C:C,"5v5",Tracking!M:M,"y")</f>
        <v>0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2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0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1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0</v>
      </c>
      <c r="X12" s="9">
        <f>COUNTIFS(Tracking!E:E,A12,Tracking!D:D,C12,Tracking!C:C,"5v5",Tracking!P:P,"f")</f>
        <v>1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3</v>
      </c>
      <c r="Z12" s="9">
        <f>COUNTIFS(Tracking!E:E,A12,Tracking!D:D,C12,Tracking!C:C,"5v5",Tracking!P:P,"c")</f>
        <v>0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1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0</v>
      </c>
      <c r="AC12" s="11">
        <f>COUNTIFS(Tracking!Z:Z,A12&amp;C12,Tracking!C:C,"5v5")-AE12</f>
        <v>3</v>
      </c>
      <c r="AD12" s="11">
        <f>COUNTIFS(Tracking!Z:Z,A12&amp;C12,Tracking!C:C,"5v5",Tracking!Y:Y,"C")</f>
        <v>2</v>
      </c>
      <c r="AE12" s="11">
        <f>COUNTIFS(Tracking!Z:Z,A12&amp;C12,Tracking!C:C,"5v5",Tracking!Y:Y,"F")</f>
        <v>0</v>
      </c>
      <c r="AF12" s="11">
        <f>COUNTIFS(Tracking!Z:Z,A12&amp;C12,Tracking!C:C,"5v5",Tracking!Y:Y,"C",Tracking!AB:AB,"Y")</f>
        <v>0</v>
      </c>
      <c r="AG12" s="11">
        <f>COUNTIFS(Tracking!AD:AD,A12&amp;C12,Tracking!C:C,"5v5")</f>
        <v>0</v>
      </c>
      <c r="AH12" s="11">
        <f>COUNTIFS(Tracking!Z:Z,A12&amp;C12,Tracking!C:C,"5v5",Tracking!Y:Y,"C",Tracking!AE:AE,"Y")</f>
        <v>2</v>
      </c>
      <c r="AI12" s="11">
        <f>COUNTIFS(Tracking!Z:Z,A12&amp;C12,Tracking!C:C,"5v5",Tracking!Y:Y,"D",Tracking!AE:AE,"Y")</f>
        <v>0</v>
      </c>
      <c r="AJ12" s="11">
        <f>COUNTIFS(Tracking!AH:AH,A12&amp;C12)</f>
        <v>2</v>
      </c>
      <c r="AK12" s="5">
        <f>COUNTIFS(Tracking!AI:AI,A12&amp;C12,Tracking!C:C,"5v5")+AL12</f>
        <v>5</v>
      </c>
      <c r="AL12" s="5">
        <f>COUNTIFS(Tracking!AF:AF,A12&amp;C12,Tracking!C:C,"5v5")-AT12</f>
        <v>2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3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1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0</v>
      </c>
      <c r="AQ12" s="5">
        <f>COUNTIFS(Tracking!AF:AF,A12&amp;C12,Tracking!C:C,"5v5",Tracking!AG:AG,"CLE")+COUNTIFS(Tracking!AI:AI,A12&amp;C12,Tracking!C:C,"5v5",Tracking!AJ:AJ,"CLE")</f>
        <v>2</v>
      </c>
      <c r="AR12" s="5">
        <f>COUNTIFS(Tracking!AF:AF,A12&amp;C12,Tracking!C:C,"5v5",Tracking!AG:AG,"MEX")</f>
        <v>0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1</v>
      </c>
      <c r="AT12" s="5">
        <f>COUNTIFS(Tracking!AF:AF,A12&amp;C12,Tracking!C:C,"5v5",Tracking!AG:AG,"BOT")+COUNTIFS(Tracking!AF:AF,A12&amp;C12,Tracking!C:C,"5v5",Tracking!AG:AG,"FEX")</f>
        <v>1</v>
      </c>
      <c r="AU12" s="5">
        <f>COUNTIFS(Tracking!AF:AF,A12&amp;C12,Tracking!C:C,"5v5",Tracking!AG:AG,"EXC")</f>
        <v>1</v>
      </c>
      <c r="AV12" s="5">
        <f>COUNTIFS(Tracking!AF:AF,A12&amp;C12,Tracking!C:C,"5v5",Tracking!AG:AG,"FEX")+COUNTIFS(Tracking!AI:AI,A12&amp;C12,Tracking!C:C,"5v5",Tracking!AJ:AJ,"FEX")</f>
        <v>2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1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2</v>
      </c>
      <c r="AY12" s="1">
        <f>COUNTIFS(Tracking!AA:AA,A12&amp;C12,Tracking!C:C,"5v5")</f>
        <v>0</v>
      </c>
      <c r="AZ12" s="1">
        <f>COUNTIFS(Tracking!AA:AA,A12&amp;C12,Tracking!C:C,"5v5",Tracking!Y:Y,"C")</f>
        <v>0</v>
      </c>
      <c r="BA12" s="1">
        <f>COUNTIFS(Tracking!AA:AA,A12&amp;C12,Tracking!C:C,"5v5",Tracking!Y:Y,"F")</f>
        <v>0</v>
      </c>
      <c r="BB12" s="1">
        <f>COUNTIFS(Tracking!AA:AA,A12&amp;C12,Tracking!C:C,"5v5",Tracking!AB:AB,"Y")</f>
        <v>0</v>
      </c>
      <c r="BC12" s="1">
        <f>COUNTIFS(Tracking!AA:AA,A12&amp;C12,Tracking!C:C,"5v5",Tracking!Y:Y,"C",Tracking!AE:AE,"Y")</f>
        <v>0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0</v>
      </c>
      <c r="BF12" s="10">
        <f>COUNTIFS(Tracking!Z:Z,A12&amp;C12,Tracking!C:C,"5v4",Tracking!Y:Y,"C")</f>
        <v>0</v>
      </c>
      <c r="BG12" s="10">
        <f>COUNTIFS(Tracking!Z:Z,A12&amp;C12,Tracking!C:C,"5v4",Tracking!AB:AB,"Y")</f>
        <v>0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0</v>
      </c>
      <c r="BJ12" s="10">
        <f>COUNTIFS(Tracking!E:E,A12,Tracking!D:D,C12,Tracking!C:C,"5v4")</f>
        <v>0</v>
      </c>
      <c r="BK12" s="10">
        <f>COUNTIFS(Tracking!G:G,A12,Tracking!D:D,C12,Tracking!C:C,"5v4")+COUNTIFS(Tracking!H:H,A12,Tracking!D:D,C12,Tracking!C:C,"5v4")+COUNTIFS(Tracking!I:I,A12,Tracking!D:D,C12,Tracking!C:C,"5v4")</f>
        <v>0</v>
      </c>
      <c r="BL12" s="10">
        <f>COUNTIFS(Tracking!G:G,A12,Tracking!D:D,C12,Tracking!C:C,"5v4")</f>
        <v>0</v>
      </c>
      <c r="BM12" s="10">
        <f>COUNTIFS(Tracking!E:E,A12,Tracking!D:D,C12,Tracking!C:C,"5v4",Tracking!M:M,"Y")</f>
        <v>0</v>
      </c>
      <c r="BN12" s="10">
        <f>COUNTIFS(Tracking!G:G,A12,Tracking!D:D,C12,Tracking!C:C,"5v4",Tracking!M:M,"Y")</f>
        <v>0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0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0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1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0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1</v>
      </c>
      <c r="BY12" s="12">
        <f>COUNTIFS(Tracking!E:E,A12,Tracking!D:D,C12,Tracking!C:C,"5v5",Tracking!Q:Q,"nZ")</f>
        <v>0</v>
      </c>
      <c r="BZ12" s="12">
        <f>COUNTIFS(Tracking!E:E,A12,Tracking!D:D,C12,Tracking!C:C,"5v5",Tracking!Q:Q,"dZ")</f>
        <v>1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3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0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0</v>
      </c>
      <c r="CD12" s="12">
        <f>COUNTIFS(Tracking!E:E,A12,Tracking!D:D,C12,Tracking!C:C,"5v5",Tracking!R:R,"dz exit")</f>
        <v>1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0</v>
      </c>
      <c r="CI12" s="12">
        <f>COUNTIFS(Tracking!E:E,A12,Tracking!D:D,C12,Tracking!C:C,"5v5",Tracking!R:R,"controlled breakout")</f>
        <v>0</v>
      </c>
      <c r="CJ12" s="2">
        <f t="shared" si="1"/>
        <v>0.62500000000000011</v>
      </c>
      <c r="CK12" s="2">
        <f t="shared" si="7"/>
        <v>0.44000000000000006</v>
      </c>
      <c r="CL12" s="2">
        <f t="shared" si="2"/>
        <v>0.2</v>
      </c>
      <c r="CM12" s="2">
        <f t="shared" si="9"/>
        <v>0</v>
      </c>
      <c r="CN12" s="2">
        <f t="shared" si="3"/>
        <v>-4.5000000000000005E-2</v>
      </c>
      <c r="CO12" s="2">
        <f t="shared" si="4"/>
        <v>0.03</v>
      </c>
      <c r="CP12" s="2">
        <f t="shared" si="5"/>
        <v>0</v>
      </c>
      <c r="CQ12" s="2">
        <f t="shared" si="6"/>
        <v>0.62500000000000011</v>
      </c>
    </row>
    <row r="13" spans="1:126" x14ac:dyDescent="0.35">
      <c r="A13" s="8">
        <v>85</v>
      </c>
      <c r="B13" s="8" t="s">
        <v>247</v>
      </c>
      <c r="C13" s="8" t="s">
        <v>132</v>
      </c>
      <c r="D13" s="8" t="s">
        <v>189</v>
      </c>
      <c r="E13" s="8">
        <v>15.166666666667</v>
      </c>
      <c r="F13" s="8" t="s">
        <v>130</v>
      </c>
      <c r="G13" s="19" t="s">
        <v>275</v>
      </c>
      <c r="H13" s="9">
        <f>COUNTIFS(Tracking!E:E,A13,Tracking!D:D,C13,Tracking!C:C,"5v5")</f>
        <v>2</v>
      </c>
      <c r="I13" s="9">
        <f>COUNTIFS(Tracking!E:E,A13,Tracking!D:D,C13,Tracking!N:N,"y",Tracking!C:C,"5v5")</f>
        <v>2</v>
      </c>
      <c r="J13" s="9">
        <f>COUNTIFS(Tracking!E:E,A13,Tracking!D:D,C13,Tracking!M:M,"y",Tracking!C:C,"5v5")</f>
        <v>0</v>
      </c>
      <c r="K13" s="9">
        <f t="shared" si="0"/>
        <v>2</v>
      </c>
      <c r="L13" s="9">
        <f>COUNTIFS(Tracking!G:G,A13,Tracking!D:D,C13,Tracking!C:C,"5v5")</f>
        <v>0</v>
      </c>
      <c r="M13" s="9">
        <f>COUNTIFS(Tracking!H:H,A13,Tracking!D:D,C13,Tracking!C:C,"5v5")</f>
        <v>2</v>
      </c>
      <c r="N13" s="9">
        <f>COUNTIFS(Tracking!I:I,A13,Tracking!D:D,C13,Tracking!C:C,"5v5")</f>
        <v>0</v>
      </c>
      <c r="O13" s="9">
        <f>COUNTIFS(Tracking!G:G,A13,Tracking!D:D,C13,Tracking!C:C,"5v5",Tracking!M:M,"y")</f>
        <v>0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0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0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0</v>
      </c>
      <c r="V13" s="9">
        <f>COUNTIFS(Tracking!E:E,A13,Tracking!D:D,C13,Tracking!C:C,"5v5",Tracking!P:P,"r")</f>
        <v>0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0</v>
      </c>
      <c r="X13" s="9">
        <f>COUNTIFS(Tracking!E:E,A13,Tracking!D:D,C13,Tracking!C:C,"5v5",Tracking!P:P,"f")</f>
        <v>1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0</v>
      </c>
      <c r="Z13" s="9">
        <f>COUNTIFS(Tracking!E:E,A13,Tracking!D:D,C13,Tracking!C:C,"5v5",Tracking!P:P,"c")</f>
        <v>1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0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1</v>
      </c>
      <c r="AD13" s="11">
        <f>COUNTIFS(Tracking!Z:Z,A13&amp;C13,Tracking!C:C,"5v5",Tracking!Y:Y,"C")</f>
        <v>0</v>
      </c>
      <c r="AE13" s="11">
        <f>COUNTIFS(Tracking!Z:Z,A13&amp;C13,Tracking!C:C,"5v5",Tracking!Y:Y,"F")</f>
        <v>0</v>
      </c>
      <c r="AF13" s="11">
        <f>COUNTIFS(Tracking!Z:Z,A13&amp;C13,Tracking!C:C,"5v5",Tracking!Y:Y,"C",Tracking!AB:AB,"Y")</f>
        <v>0</v>
      </c>
      <c r="AG13" s="11">
        <f>COUNTIFS(Tracking!AD:AD,A13&amp;C13,Tracking!C:C,"5v5")</f>
        <v>0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0</v>
      </c>
      <c r="AJ13" s="11">
        <f>COUNTIFS(Tracking!AH:AH,A13&amp;C13)</f>
        <v>1</v>
      </c>
      <c r="AK13" s="5">
        <f>COUNTIFS(Tracking!AI:AI,A13&amp;C13,Tracking!C:C,"5v5")+AL13</f>
        <v>7</v>
      </c>
      <c r="AL13" s="5">
        <f>COUNTIFS(Tracking!AF:AF,A13&amp;C13,Tracking!C:C,"5v5")-AT13</f>
        <v>4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2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2</v>
      </c>
      <c r="AO13" s="5">
        <f>COUNTIFS(Tracking!AF:AF,A13&amp;C13,Tracking!C:C,"5v5",Tracking!AG:AG,"CEX")+COUNTIFS(Tracking!AI:AI,A13&amp;C13,Tracking!C:C,"5v5",Tracking!AJ:AJ,"CEX")</f>
        <v>0</v>
      </c>
      <c r="AP13" s="5">
        <f>COUNTIFS(Tracking!AF:AF,A13&amp;C13,Tracking!C:C,"5v5",Tracking!AG:AG,"PEX")</f>
        <v>1</v>
      </c>
      <c r="AQ13" s="5">
        <f>COUNTIFS(Tracking!AF:AF,A13&amp;C13,Tracking!C:C,"5v5",Tracking!AG:AG,"CLE")+COUNTIFS(Tracking!AI:AI,A13&amp;C13,Tracking!C:C,"5v5",Tracking!AJ:AJ,"CLE")</f>
        <v>0</v>
      </c>
      <c r="AR13" s="5">
        <f>COUNTIFS(Tracking!AF:AF,A13&amp;C13,Tracking!C:C,"5v5",Tracking!AG:AG,"MEX")</f>
        <v>1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3</v>
      </c>
      <c r="AT13" s="5">
        <f>COUNTIFS(Tracking!AF:AF,A13&amp;C13,Tracking!C:C,"5v5",Tracking!AG:AG,"BOT")+COUNTIFS(Tracking!AF:AF,A13&amp;C13,Tracking!C:C,"5v5",Tracking!AG:AG,"FEX")</f>
        <v>3</v>
      </c>
      <c r="AU13" s="5">
        <f>COUNTIFS(Tracking!AF:AF,A13&amp;C13,Tracking!C:C,"5v5",Tracking!AG:AG,"EXC")</f>
        <v>2</v>
      </c>
      <c r="AV13" s="5">
        <f>COUNTIFS(Tracking!AF:AF,A13&amp;C13,Tracking!C:C,"5v5",Tracking!AG:AG,"FEX")+COUNTIFS(Tracking!AI:AI,A13&amp;C13,Tracking!C:C,"5v5",Tracking!AJ:AJ,"FEX")</f>
        <v>2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1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1</v>
      </c>
      <c r="AY13" s="1">
        <f>COUNTIFS(Tracking!AA:AA,A13&amp;C13,Tracking!C:C,"5v5")</f>
        <v>3</v>
      </c>
      <c r="AZ13" s="1">
        <f>COUNTIFS(Tracking!AA:AA,A13&amp;C13,Tracking!C:C,"5v5",Tracking!Y:Y,"C")</f>
        <v>2</v>
      </c>
      <c r="BA13" s="1">
        <f>COUNTIFS(Tracking!AA:AA,A13&amp;C13,Tracking!C:C,"5v5",Tracking!Y:Y,"F")</f>
        <v>0</v>
      </c>
      <c r="BB13" s="1">
        <f>COUNTIFS(Tracking!AA:AA,A13&amp;C13,Tracking!C:C,"5v5",Tracking!AB:AB,"Y")</f>
        <v>1</v>
      </c>
      <c r="BC13" s="1">
        <f>COUNTIFS(Tracking!AA:AA,A13&amp;C13,Tracking!C:C,"5v5",Tracking!Y:Y,"C",Tracking!AE:AE,"Y")</f>
        <v>1</v>
      </c>
      <c r="BD13" s="1">
        <f>COUNTIFS(Tracking!AA:AA,A13&amp;C13,Tracking!C:C,"5v5",Tracking!Y:Y,"D",Tracking!AE:AE,"Y")</f>
        <v>1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0</v>
      </c>
      <c r="BI13" s="10">
        <f>COUNTIFS(Tracking!AA:AA,A13&amp;C13,Tracking!C:C,"5v4",Tracking!Y:Y,"D")+COUNTIFS(Tracking!AA:AA,A13&amp;C13,Tracking!C:C,"5v4",Tracking!Y:Y,"F")</f>
        <v>1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4</v>
      </c>
      <c r="BL13" s="10">
        <f>COUNTIFS(Tracking!G:G,A13,Tracking!D:D,C13,Tracking!C:C,"5v4")</f>
        <v>3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1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0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0</v>
      </c>
      <c r="BU13" s="12">
        <f>COUNTIFS(Tracking!G:G,A13,Tracking!D:D,C13,Tracking!C:C,"5v5",Tracking!F:F,"o")</f>
        <v>0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0</v>
      </c>
      <c r="BX13" s="12">
        <f>COUNTIFS(Tracking!E:E,A13,Tracking!D:D,C13,Tracking!C:C,"5v5",Tracking!Q:Q,"OZ")</f>
        <v>2</v>
      </c>
      <c r="BY13" s="12">
        <f>COUNTIFS(Tracking!E:E,A13,Tracking!D:D,C13,Tracking!C:C,"5v5",Tracking!Q:Q,"nZ")</f>
        <v>0</v>
      </c>
      <c r="BZ13" s="12">
        <f>COUNTIFS(Tracking!E:E,A13,Tracking!D:D,C13,Tracking!C:C,"5v5",Tracking!Q:Q,"dZ")</f>
        <v>0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1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0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0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0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0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0.32499999999999996</v>
      </c>
      <c r="CK13" s="2">
        <f t="shared" si="7"/>
        <v>0.26</v>
      </c>
      <c r="CL13" s="2">
        <f t="shared" si="2"/>
        <v>0</v>
      </c>
      <c r="CM13" s="2">
        <f t="shared" si="9"/>
        <v>-1.0000000000000002E-2</v>
      </c>
      <c r="CN13" s="2">
        <f t="shared" si="3"/>
        <v>-0.03</v>
      </c>
      <c r="CO13" s="2">
        <f t="shared" si="4"/>
        <v>1.4999999999999999E-2</v>
      </c>
      <c r="CP13" s="2">
        <f t="shared" si="5"/>
        <v>0.09</v>
      </c>
      <c r="CQ13" s="2">
        <f t="shared" si="6"/>
        <v>0.23499999999999999</v>
      </c>
    </row>
    <row r="14" spans="1:126" x14ac:dyDescent="0.35">
      <c r="A14" s="8">
        <v>37</v>
      </c>
      <c r="B14" s="8" t="s">
        <v>248</v>
      </c>
      <c r="C14" s="8" t="s">
        <v>132</v>
      </c>
      <c r="D14" s="8" t="s">
        <v>189</v>
      </c>
      <c r="E14" s="8">
        <v>15.383333333333001</v>
      </c>
      <c r="F14" s="8" t="s">
        <v>130</v>
      </c>
      <c r="G14" s="19" t="s">
        <v>275</v>
      </c>
      <c r="H14" s="9">
        <f>COUNTIFS(Tracking!E:E,A14,Tracking!D:D,C14,Tracking!C:C,"5v5")</f>
        <v>2</v>
      </c>
      <c r="I14" s="9">
        <f>COUNTIFS(Tracking!E:E,A14,Tracking!D:D,C14,Tracking!N:N,"y",Tracking!C:C,"5v5")</f>
        <v>2</v>
      </c>
      <c r="J14" s="9">
        <f>COUNTIFS(Tracking!E:E,A14,Tracking!D:D,C14,Tracking!M:M,"y",Tracking!C:C,"5v5")</f>
        <v>0</v>
      </c>
      <c r="K14" s="9">
        <f t="shared" si="0"/>
        <v>3</v>
      </c>
      <c r="L14" s="9">
        <f>COUNTIFS(Tracking!G:G,A14,Tracking!D:D,C14,Tracking!C:C,"5v5")</f>
        <v>1</v>
      </c>
      <c r="M14" s="9">
        <f>COUNTIFS(Tracking!H:H,A14,Tracking!D:D,C14,Tracking!C:C,"5v5")</f>
        <v>0</v>
      </c>
      <c r="N14" s="9">
        <f>COUNTIFS(Tracking!I:I,A14,Tracking!D:D,C14,Tracking!C:C,"5v5")</f>
        <v>2</v>
      </c>
      <c r="O14" s="9">
        <f>COUNTIFS(Tracking!G:G,A14,Tracking!D:D,C14,Tracking!C:C,"5v5",Tracking!M:M,"y")</f>
        <v>1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0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0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1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0</v>
      </c>
      <c r="V14" s="9">
        <f>COUNTIFS(Tracking!E:E,A14,Tracking!D:D,C14,Tracking!C:C,"5v5",Tracking!P:P,"r")</f>
        <v>1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1</v>
      </c>
      <c r="X14" s="9">
        <f>COUNTIFS(Tracking!E:E,A14,Tracking!D:D,C14,Tracking!C:C,"5v5",Tracking!P:P,"f")</f>
        <v>1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0</v>
      </c>
      <c r="Z14" s="9">
        <f>COUNTIFS(Tracking!E:E,A14,Tracking!D:D,C14,Tracking!C:C,"5v5",Tracking!P:P,"c")</f>
        <v>0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0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3</v>
      </c>
      <c r="AD14" s="11">
        <f>COUNTIFS(Tracking!Z:Z,A14&amp;C14,Tracking!C:C,"5v5",Tracking!Y:Y,"C")</f>
        <v>1</v>
      </c>
      <c r="AE14" s="11">
        <f>COUNTIFS(Tracking!Z:Z,A14&amp;C14,Tracking!C:C,"5v5",Tracking!Y:Y,"F")</f>
        <v>0</v>
      </c>
      <c r="AF14" s="11">
        <f>COUNTIFS(Tracking!Z:Z,A14&amp;C14,Tracking!C:C,"5v5",Tracking!Y:Y,"C",Tracking!AB:AB,"Y")</f>
        <v>1</v>
      </c>
      <c r="AG14" s="11">
        <f>COUNTIFS(Tracking!AD:AD,A14&amp;C14,Tracking!C:C,"5v5")</f>
        <v>0</v>
      </c>
      <c r="AH14" s="11">
        <f>COUNTIFS(Tracking!Z:Z,A14&amp;C14,Tracking!C:C,"5v5",Tracking!Y:Y,"C",Tracking!AE:AE,"Y")</f>
        <v>1</v>
      </c>
      <c r="AI14" s="11">
        <f>COUNTIFS(Tracking!Z:Z,A14&amp;C14,Tracking!C:C,"5v5",Tracking!Y:Y,"D",Tracking!AE:AE,"Y")</f>
        <v>0</v>
      </c>
      <c r="AJ14" s="11">
        <f>COUNTIFS(Tracking!AH:AH,A14&amp;C14)</f>
        <v>0</v>
      </c>
      <c r="AK14" s="5">
        <f>COUNTIFS(Tracking!AI:AI,A14&amp;C14,Tracking!C:C,"5v5")+AL14</f>
        <v>6</v>
      </c>
      <c r="AL14" s="5">
        <f>COUNTIFS(Tracking!AF:AF,A14&amp;C14,Tracking!C:C,"5v5")-AT14</f>
        <v>6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3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2</v>
      </c>
      <c r="AO14" s="5">
        <f>COUNTIFS(Tracking!AF:AF,A14&amp;C14,Tracking!C:C,"5v5",Tracking!AG:AG,"CEX")+COUNTIFS(Tracking!AI:AI,A14&amp;C14,Tracking!C:C,"5v5",Tracking!AJ:AJ,"CEX")</f>
        <v>0</v>
      </c>
      <c r="AP14" s="5">
        <f>COUNTIFS(Tracking!AF:AF,A14&amp;C14,Tracking!C:C,"5v5",Tracking!AG:AG,"PEX")</f>
        <v>2</v>
      </c>
      <c r="AQ14" s="5">
        <f>COUNTIFS(Tracking!AF:AF,A14&amp;C14,Tracking!C:C,"5v5",Tracking!AG:AG,"CLE")+COUNTIFS(Tracking!AI:AI,A14&amp;C14,Tracking!C:C,"5v5",Tracking!AJ:AJ,"CLE")</f>
        <v>1</v>
      </c>
      <c r="AR14" s="5">
        <f>COUNTIFS(Tracking!AF:AF,A14&amp;C14,Tracking!C:C,"5v5",Tracking!AG:AG,"MEX")</f>
        <v>2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2</v>
      </c>
      <c r="AT14" s="5">
        <f>COUNTIFS(Tracking!AF:AF,A14&amp;C14,Tracking!C:C,"5v5",Tracking!AG:AG,"BOT")+COUNTIFS(Tracking!AF:AF,A14&amp;C14,Tracking!C:C,"5v5",Tracking!AG:AG,"FEX")</f>
        <v>2</v>
      </c>
      <c r="AU14" s="5">
        <f>COUNTIFS(Tracking!AF:AF,A14&amp;C14,Tracking!C:C,"5v5",Tracking!AG:AG,"EXC")</f>
        <v>1</v>
      </c>
      <c r="AV14" s="5">
        <f>COUNTIFS(Tracking!AF:AF,A14&amp;C14,Tracking!C:C,"5v5",Tracking!AG:AG,"FEX")+COUNTIFS(Tracking!AI:AI,A14&amp;C14,Tracking!C:C,"5v5",Tracking!AJ:AJ,"FEX")</f>
        <v>1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3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0</v>
      </c>
      <c r="AY14" s="1">
        <f>COUNTIFS(Tracking!AA:AA,A14&amp;C14,Tracking!C:C,"5v5")</f>
        <v>12</v>
      </c>
      <c r="AZ14" s="1">
        <f>COUNTIFS(Tracking!AA:AA,A14&amp;C14,Tracking!C:C,"5v5",Tracking!Y:Y,"C")</f>
        <v>7</v>
      </c>
      <c r="BA14" s="1">
        <f>COUNTIFS(Tracking!AA:AA,A14&amp;C14,Tracking!C:C,"5v5",Tracking!Y:Y,"F")</f>
        <v>1</v>
      </c>
      <c r="BB14" s="1">
        <f>COUNTIFS(Tracking!AA:AA,A14&amp;C14,Tracking!C:C,"5v5",Tracking!AB:AB,"Y")</f>
        <v>2</v>
      </c>
      <c r="BC14" s="1">
        <f>COUNTIFS(Tracking!AA:AA,A14&amp;C14,Tracking!C:C,"5v5",Tracking!Y:Y,"C",Tracking!AE:AE,"Y")</f>
        <v>2</v>
      </c>
      <c r="BD14" s="1">
        <f>COUNTIFS(Tracking!AA:AA,A14&amp;C14,Tracking!C:C,"5v5",Tracking!Y:Y,"D",Tracking!AE:AE,"Y")</f>
        <v>1</v>
      </c>
      <c r="BE14" s="10">
        <f>COUNTIFS(Tracking!Z:Z,A14&amp;C14,Tracking!C:C,"5v4")</f>
        <v>1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1</v>
      </c>
      <c r="BH14" s="10">
        <f>COUNTIFS(Tracking!Z:Z,A14&amp;C14,Tracking!C:C,"4v5")</f>
        <v>0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2</v>
      </c>
      <c r="BK14" s="10">
        <f>COUNTIFS(Tracking!G:G,A14,Tracking!D:D,C14,Tracking!C:C,"5v4")+COUNTIFS(Tracking!H:H,A14,Tracking!D:D,C14,Tracking!C:C,"5v4")+COUNTIFS(Tracking!I:I,A14,Tracking!D:D,C14,Tracking!C:C,"5v4")</f>
        <v>1</v>
      </c>
      <c r="BL14" s="10">
        <f>COUNTIFS(Tracking!G:G,A14,Tracking!D:D,C14,Tracking!C:C,"5v4")</f>
        <v>0</v>
      </c>
      <c r="BM14" s="10">
        <f>COUNTIFS(Tracking!E:E,A14,Tracking!D:D,C14,Tracking!C:C,"5v4",Tracking!M:M,"Y")</f>
        <v>0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0</v>
      </c>
      <c r="BU14" s="12">
        <f>COUNTIFS(Tracking!G:G,A14,Tracking!D:D,C14,Tracking!C:C,"5v5",Tracking!F:F,"o")</f>
        <v>0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0</v>
      </c>
      <c r="BX14" s="12">
        <f>COUNTIFS(Tracking!E:E,A14,Tracking!D:D,C14,Tracking!C:C,"5v5",Tracking!Q:Q,"OZ")</f>
        <v>1</v>
      </c>
      <c r="BY14" s="12">
        <f>COUNTIFS(Tracking!E:E,A14,Tracking!D:D,C14,Tracking!C:C,"5v5",Tracking!Q:Q,"nZ")</f>
        <v>1</v>
      </c>
      <c r="BZ14" s="12">
        <f>COUNTIFS(Tracking!E:E,A14,Tracking!D:D,C14,Tracking!C:C,"5v5",Tracking!Q:Q,"dZ")</f>
        <v>0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1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1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0</v>
      </c>
      <c r="CD14" s="12">
        <f>COUNTIFS(Tracking!E:E,A14,Tracking!D:D,C14,Tracking!C:C,"5v5",Tracking!R:R,"dz exit")</f>
        <v>0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0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1</v>
      </c>
      <c r="CI14" s="12">
        <f>COUNTIFS(Tracking!E:E,A14,Tracking!D:D,C14,Tracking!C:C,"5v5",Tracking!R:R,"controlled breakout")</f>
        <v>0</v>
      </c>
      <c r="CJ14" s="2">
        <f t="shared" si="1"/>
        <v>0.7350000000000001</v>
      </c>
      <c r="CK14" s="2">
        <f t="shared" si="7"/>
        <v>0.42000000000000004</v>
      </c>
      <c r="CL14" s="2">
        <f t="shared" si="2"/>
        <v>0.1</v>
      </c>
      <c r="CM14" s="2">
        <f t="shared" si="9"/>
        <v>0.16500000000000001</v>
      </c>
      <c r="CN14" s="2">
        <f t="shared" si="3"/>
        <v>1.4999999999999999E-2</v>
      </c>
      <c r="CO14" s="2">
        <f t="shared" si="4"/>
        <v>0</v>
      </c>
      <c r="CP14" s="2">
        <f t="shared" si="5"/>
        <v>3.5000000000000003E-2</v>
      </c>
      <c r="CQ14" s="2">
        <f t="shared" si="6"/>
        <v>0.70000000000000007</v>
      </c>
    </row>
    <row r="15" spans="1:126" x14ac:dyDescent="0.35">
      <c r="A15" s="8">
        <v>53</v>
      </c>
      <c r="B15" s="8" t="s">
        <v>249</v>
      </c>
      <c r="C15" s="8" t="s">
        <v>132</v>
      </c>
      <c r="D15" s="8" t="s">
        <v>196</v>
      </c>
      <c r="E15" s="8">
        <v>7.7833333333333004</v>
      </c>
      <c r="F15" s="8" t="s">
        <v>130</v>
      </c>
      <c r="G15" s="19" t="s">
        <v>275</v>
      </c>
      <c r="H15" s="9">
        <f>COUNTIFS(Tracking!E:E,A15,Tracking!D:D,C15,Tracking!C:C,"5v5")</f>
        <v>0</v>
      </c>
      <c r="I15" s="9">
        <f>COUNTIFS(Tracking!E:E,A15,Tracking!D:D,C15,Tracking!N:N,"y",Tracking!C:C,"5v5")</f>
        <v>0</v>
      </c>
      <c r="J15" s="9">
        <f>COUNTIFS(Tracking!E:E,A15,Tracking!D:D,C15,Tracking!M:M,"y",Tracking!C:C,"5v5")</f>
        <v>0</v>
      </c>
      <c r="K15" s="9">
        <f t="shared" si="0"/>
        <v>1</v>
      </c>
      <c r="L15" s="9">
        <f>COUNTIFS(Tracking!G:G,A15,Tracking!D:D,C15,Tracking!C:C,"5v5")</f>
        <v>1</v>
      </c>
      <c r="M15" s="9">
        <f>COUNTIFS(Tracking!H:H,A15,Tracking!D:D,C15,Tracking!C:C,"5v5")</f>
        <v>0</v>
      </c>
      <c r="N15" s="9">
        <f>COUNTIFS(Tracking!I:I,A15,Tracking!D:D,C15,Tracking!C:C,"5v5")</f>
        <v>0</v>
      </c>
      <c r="O15" s="9">
        <f>COUNTIFS(Tracking!G:G,A15,Tracking!D:D,C15,Tracking!C:C,"5v5",Tracking!M:M,"y")</f>
        <v>0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1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0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0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0</v>
      </c>
      <c r="V15" s="9">
        <f>COUNTIFS(Tracking!E:E,A15,Tracking!D:D,C15,Tracking!C:C,"5v5",Tracking!P:P,"r")</f>
        <v>0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0</v>
      </c>
      <c r="X15" s="9">
        <f>COUNTIFS(Tracking!E:E,A15,Tracking!D:D,C15,Tracking!C:C,"5v5",Tracking!P:P,"f")</f>
        <v>0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1</v>
      </c>
      <c r="Z15" s="9">
        <f>COUNTIFS(Tracking!E:E,A15,Tracking!D:D,C15,Tracking!C:C,"5v5",Tracking!P:P,"c")</f>
        <v>0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0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0</v>
      </c>
      <c r="AC15" s="11">
        <f>COUNTIFS(Tracking!Z:Z,A15&amp;C15,Tracking!C:C,"5v5")-AE15</f>
        <v>6</v>
      </c>
      <c r="AD15" s="11">
        <f>COUNTIFS(Tracking!Z:Z,A15&amp;C15,Tracking!C:C,"5v5",Tracking!Y:Y,"C")</f>
        <v>3</v>
      </c>
      <c r="AE15" s="11">
        <f>COUNTIFS(Tracking!Z:Z,A15&amp;C15,Tracking!C:C,"5v5",Tracking!Y:Y,"F")</f>
        <v>0</v>
      </c>
      <c r="AF15" s="11">
        <f>COUNTIFS(Tracking!Z:Z,A15&amp;C15,Tracking!C:C,"5v5",Tracking!Y:Y,"C",Tracking!AB:AB,"Y")</f>
        <v>1</v>
      </c>
      <c r="AG15" s="11">
        <f>COUNTIFS(Tracking!AD:AD,A15&amp;C15,Tracking!C:C,"5v5")</f>
        <v>2</v>
      </c>
      <c r="AH15" s="11">
        <f>COUNTIFS(Tracking!Z:Z,A15&amp;C15,Tracking!C:C,"5v5",Tracking!Y:Y,"C",Tracking!AE:AE,"Y")</f>
        <v>0</v>
      </c>
      <c r="AI15" s="11">
        <f>COUNTIFS(Tracking!Z:Z,A15&amp;C15,Tracking!C:C,"5v5",Tracking!Y:Y,"D",Tracking!AE:AE,"Y")</f>
        <v>0</v>
      </c>
      <c r="AJ15" s="11">
        <f>COUNTIFS(Tracking!AH:AH,A15&amp;C15)</f>
        <v>1</v>
      </c>
      <c r="AK15" s="5">
        <f>COUNTIFS(Tracking!AI:AI,A15&amp;C15,Tracking!C:C,"5v5")+AL15</f>
        <v>1</v>
      </c>
      <c r="AL15" s="5">
        <f>COUNTIFS(Tracking!AF:AF,A15&amp;C15,Tracking!C:C,"5v5")-AT15</f>
        <v>1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1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0</v>
      </c>
      <c r="AO15" s="5">
        <f>COUNTIFS(Tracking!AF:AF,A15&amp;C15,Tracking!C:C,"5v5",Tracking!AG:AG,"CEX")+COUNTIFS(Tracking!AI:AI,A15&amp;C15,Tracking!C:C,"5v5",Tracking!AJ:AJ,"CEX")</f>
        <v>0</v>
      </c>
      <c r="AP15" s="5">
        <f>COUNTIFS(Tracking!AF:AF,A15&amp;C15,Tracking!C:C,"5v5",Tracking!AG:AG,"PEX")</f>
        <v>0</v>
      </c>
      <c r="AQ15" s="5">
        <f>COUNTIFS(Tracking!AF:AF,A15&amp;C15,Tracking!C:C,"5v5",Tracking!AG:AG,"CLE")+COUNTIFS(Tracking!AI:AI,A15&amp;C15,Tracking!C:C,"5v5",Tracking!AJ:AJ,"CLE")</f>
        <v>1</v>
      </c>
      <c r="AR15" s="5">
        <f>COUNTIFS(Tracking!AF:AF,A15&amp;C15,Tracking!C:C,"5v5",Tracking!AG:AG,"MEX")</f>
        <v>0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0</v>
      </c>
      <c r="AT15" s="5">
        <f>COUNTIFS(Tracking!AF:AF,A15&amp;C15,Tracking!C:C,"5v5",Tracking!AG:AG,"BOT")+COUNTIFS(Tracking!AF:AF,A15&amp;C15,Tracking!C:C,"5v5",Tracking!AG:AG,"FEX")</f>
        <v>0</v>
      </c>
      <c r="AU15" s="5">
        <f>COUNTIFS(Tracking!AF:AF,A15&amp;C15,Tracking!C:C,"5v5",Tracking!AG:AG,"EXC")</f>
        <v>0</v>
      </c>
      <c r="AV15" s="5">
        <f>COUNTIFS(Tracking!AF:AF,A15&amp;C15,Tracking!C:C,"5v5",Tracking!AG:AG,"FEX")+COUNTIFS(Tracking!AI:AI,A15&amp;C15,Tracking!C:C,"5v5",Tracking!AJ:AJ,"FEX")</f>
        <v>0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1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0</v>
      </c>
      <c r="AY15" s="1">
        <f>COUNTIFS(Tracking!AA:AA,A15&amp;C15,Tracking!C:C,"5v5")</f>
        <v>0</v>
      </c>
      <c r="AZ15" s="1">
        <f>COUNTIFS(Tracking!AA:AA,A15&amp;C15,Tracking!C:C,"5v5",Tracking!Y:Y,"C")</f>
        <v>0</v>
      </c>
      <c r="BA15" s="1">
        <f>COUNTIFS(Tracking!AA:AA,A15&amp;C15,Tracking!C:C,"5v5",Tracking!Y:Y,"F")</f>
        <v>0</v>
      </c>
      <c r="BB15" s="1">
        <f>COUNTIFS(Tracking!AA:AA,A15&amp;C15,Tracking!C:C,"5v5",Tracking!AB:AB,"Y")</f>
        <v>0</v>
      </c>
      <c r="BC15" s="1">
        <f>COUNTIFS(Tracking!AA:AA,A15&amp;C15,Tracking!C:C,"5v5",Tracking!Y:Y,"C",Tracking!AE:AE,"Y")</f>
        <v>0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0</v>
      </c>
      <c r="BF15" s="10">
        <f>COUNTIFS(Tracking!Z:Z,A15&amp;C15,Tracking!C:C,"5v4",Tracking!Y:Y,"C")</f>
        <v>0</v>
      </c>
      <c r="BG15" s="10">
        <f>COUNTIFS(Tracking!Z:Z,A15&amp;C15,Tracking!C:C,"5v4",Tracking!AB:AB,"Y")</f>
        <v>0</v>
      </c>
      <c r="BH15" s="10">
        <f>COUNTIFS(Tracking!Z:Z,A15&amp;C15,Tracking!C:C,"4v5")</f>
        <v>1</v>
      </c>
      <c r="BI15" s="10">
        <f>COUNTIFS(Tracking!AA:AA,A15&amp;C15,Tracking!C:C,"5v4",Tracking!Y:Y,"D")+COUNTIFS(Tracking!AA:AA,A15&amp;C15,Tracking!C:C,"5v4",Tracking!Y:Y,"F")</f>
        <v>0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0</v>
      </c>
      <c r="BL15" s="10">
        <f>COUNTIFS(Tracking!G:G,A15,Tracking!D:D,C15,Tracking!C:C,"5v4")</f>
        <v>0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0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0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0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0</v>
      </c>
      <c r="BX15" s="12">
        <f>COUNTIFS(Tracking!E:E,A15,Tracking!D:D,C15,Tracking!C:C,"5v5",Tracking!Q:Q,"OZ")</f>
        <v>0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0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1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0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0</v>
      </c>
      <c r="CD15" s="12">
        <f>COUNTIFS(Tracking!E:E,A15,Tracking!D:D,C15,Tracking!C:C,"5v5",Tracking!R:R,"dz exit")</f>
        <v>0</v>
      </c>
      <c r="CE15" s="12">
        <f>COUNTIFS(Tracking!E:E,A15,Tracking!D:D,C15,Tracking!C:C,"5v5",Tracking!R:R,"dz counter")</f>
        <v>0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0.36499999999999999</v>
      </c>
      <c r="CK15" s="2">
        <f t="shared" si="7"/>
        <v>7.0000000000000007E-2</v>
      </c>
      <c r="CL15" s="2">
        <f t="shared" si="2"/>
        <v>0.13500000000000001</v>
      </c>
      <c r="CM15" s="2">
        <f t="shared" si="9"/>
        <v>0</v>
      </c>
      <c r="CN15" s="2">
        <f t="shared" si="3"/>
        <v>0</v>
      </c>
      <c r="CO15" s="2">
        <f t="shared" si="4"/>
        <v>0.105</v>
      </c>
      <c r="CP15" s="2">
        <f t="shared" si="5"/>
        <v>5.5E-2</v>
      </c>
      <c r="CQ15" s="2">
        <f t="shared" si="6"/>
        <v>0.31</v>
      </c>
    </row>
    <row r="16" spans="1:126" x14ac:dyDescent="0.35">
      <c r="A16" s="8">
        <v>73</v>
      </c>
      <c r="B16" s="8" t="s">
        <v>250</v>
      </c>
      <c r="C16" s="8" t="s">
        <v>132</v>
      </c>
      <c r="D16" s="8" t="s">
        <v>196</v>
      </c>
      <c r="E16" s="8">
        <v>13.383333333333001</v>
      </c>
      <c r="F16" s="8" t="s">
        <v>130</v>
      </c>
      <c r="G16" s="19" t="s">
        <v>275</v>
      </c>
      <c r="H16" s="9">
        <f>COUNTIFS(Tracking!E:E,A16,Tracking!D:D,C16,Tracking!C:C,"5v5")</f>
        <v>5</v>
      </c>
      <c r="I16" s="9">
        <f>COUNTIFS(Tracking!E:E,A16,Tracking!D:D,C16,Tracking!N:N,"y",Tracking!C:C,"5v5")</f>
        <v>4</v>
      </c>
      <c r="J16" s="9">
        <f>COUNTIFS(Tracking!E:E,A16,Tracking!D:D,C16,Tracking!M:M,"y",Tracking!C:C,"5v5")</f>
        <v>2</v>
      </c>
      <c r="K16" s="9">
        <f t="shared" si="0"/>
        <v>4</v>
      </c>
      <c r="L16" s="9">
        <f>COUNTIFS(Tracking!G:G,A16,Tracking!D:D,C16,Tracking!C:C,"5v5")</f>
        <v>1</v>
      </c>
      <c r="M16" s="9">
        <f>COUNTIFS(Tracking!H:H,A16,Tracking!D:D,C16,Tracking!C:C,"5v5")</f>
        <v>3</v>
      </c>
      <c r="N16" s="9">
        <f>COUNTIFS(Tracking!I:I,A16,Tracking!D:D,C16,Tracking!C:C,"5v5")</f>
        <v>0</v>
      </c>
      <c r="O16" s="9">
        <f>COUNTIFS(Tracking!G:G,A16,Tracking!D:D,C16,Tracking!C:C,"5v5",Tracking!M:M,"y")</f>
        <v>0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1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0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1</v>
      </c>
      <c r="V16" s="9">
        <f>COUNTIFS(Tracking!E:E,A16,Tracking!D:D,C16,Tracking!C:C,"5v5",Tracking!P:P,"r")</f>
        <v>2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1</v>
      </c>
      <c r="X16" s="9">
        <f>COUNTIFS(Tracking!E:E,A16,Tracking!D:D,C16,Tracking!C:C,"5v5",Tracking!P:P,"f")</f>
        <v>1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0</v>
      </c>
      <c r="Z16" s="9">
        <f>COUNTIFS(Tracking!E:E,A16,Tracking!D:D,C16,Tracking!C:C,"5v5",Tracking!P:P,"c")</f>
        <v>2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1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0</v>
      </c>
      <c r="AC16" s="11">
        <f>COUNTIFS(Tracking!Z:Z,A16&amp;C16,Tracking!C:C,"5v5")-AE16</f>
        <v>3</v>
      </c>
      <c r="AD16" s="11">
        <f>COUNTIFS(Tracking!Z:Z,A16&amp;C16,Tracking!C:C,"5v5",Tracking!Y:Y,"C")</f>
        <v>1</v>
      </c>
      <c r="AE16" s="11">
        <f>COUNTIFS(Tracking!Z:Z,A16&amp;C16,Tracking!C:C,"5v5",Tracking!Y:Y,"F")</f>
        <v>0</v>
      </c>
      <c r="AF16" s="11">
        <f>COUNTIFS(Tracking!Z:Z,A16&amp;C16,Tracking!C:C,"5v5",Tracking!Y:Y,"C",Tracking!AB:AB,"Y")</f>
        <v>0</v>
      </c>
      <c r="AG16" s="11">
        <f>COUNTIFS(Tracking!AD:AD,A16&amp;C16,Tracking!C:C,"5v5")</f>
        <v>1</v>
      </c>
      <c r="AH16" s="11">
        <f>COUNTIFS(Tracking!Z:Z,A16&amp;C16,Tracking!C:C,"5v5",Tracking!Y:Y,"C",Tracking!AE:AE,"Y")</f>
        <v>1</v>
      </c>
      <c r="AI16" s="11">
        <f>COUNTIFS(Tracking!Z:Z,A16&amp;C16,Tracking!C:C,"5v5",Tracking!Y:Y,"D",Tracking!AE:AE,"Y")</f>
        <v>0</v>
      </c>
      <c r="AJ16" s="11">
        <f>COUNTIFS(Tracking!AH:AH,A16&amp;C16)</f>
        <v>2</v>
      </c>
      <c r="AK16" s="5">
        <f>COUNTIFS(Tracking!AI:AI,A16&amp;C16,Tracking!C:C,"5v5")+AL16</f>
        <v>3</v>
      </c>
      <c r="AL16" s="5">
        <f>COUNTIFS(Tracking!AF:AF,A16&amp;C16,Tracking!C:C,"5v5")-AT16</f>
        <v>2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1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0</v>
      </c>
      <c r="AO16" s="5">
        <f>COUNTIFS(Tracking!AF:AF,A16&amp;C16,Tracking!C:C,"5v5",Tracking!AG:AG,"CEX")+COUNTIFS(Tracking!AI:AI,A16&amp;C16,Tracking!C:C,"5v5",Tracking!AJ:AJ,"CEX")</f>
        <v>0</v>
      </c>
      <c r="AP16" s="5">
        <f>COUNTIFS(Tracking!AF:AF,A16&amp;C16,Tracking!C:C,"5v5",Tracking!AG:AG,"PEX")</f>
        <v>0</v>
      </c>
      <c r="AQ16" s="5">
        <f>COUNTIFS(Tracking!AF:AF,A16&amp;C16,Tracking!C:C,"5v5",Tracking!AG:AG,"CLE")+COUNTIFS(Tracking!AI:AI,A16&amp;C16,Tracking!C:C,"5v5",Tracking!AJ:AJ,"CLE")</f>
        <v>1</v>
      </c>
      <c r="AR16" s="5">
        <f>COUNTIFS(Tracking!AF:AF,A16&amp;C16,Tracking!C:C,"5v5",Tracking!AG:AG,"MEX")</f>
        <v>1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1</v>
      </c>
      <c r="AT16" s="5">
        <f>COUNTIFS(Tracking!AF:AF,A16&amp;C16,Tracking!C:C,"5v5",Tracking!AG:AG,"BOT")+COUNTIFS(Tracking!AF:AF,A16&amp;C16,Tracking!C:C,"5v5",Tracking!AG:AG,"FEX")</f>
        <v>0</v>
      </c>
      <c r="AU16" s="5">
        <f>COUNTIFS(Tracking!AF:AF,A16&amp;C16,Tracking!C:C,"5v5",Tracking!AG:AG,"EXC")</f>
        <v>1</v>
      </c>
      <c r="AV16" s="5">
        <f>COUNTIFS(Tracking!AF:AF,A16&amp;C16,Tracking!C:C,"5v5",Tracking!AG:AG,"FEX")+COUNTIFS(Tracking!AI:AI,A16&amp;C16,Tracking!C:C,"5v5",Tracking!AJ:AJ,"FEX")</f>
        <v>0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0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1</v>
      </c>
      <c r="AY16" s="1">
        <f>COUNTIFS(Tracking!AA:AA,A16&amp;C16,Tracking!C:C,"5v5")</f>
        <v>0</v>
      </c>
      <c r="AZ16" s="1">
        <f>COUNTIFS(Tracking!AA:AA,A16&amp;C16,Tracking!C:C,"5v5",Tracking!Y:Y,"C")</f>
        <v>0</v>
      </c>
      <c r="BA16" s="1">
        <f>COUNTIFS(Tracking!AA:AA,A16&amp;C16,Tracking!C:C,"5v5",Tracking!Y:Y,"F")</f>
        <v>0</v>
      </c>
      <c r="BB16" s="1">
        <f>COUNTIFS(Tracking!AA:AA,A16&amp;C16,Tracking!C:C,"5v5",Tracking!AB:AB,"Y")</f>
        <v>0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0</v>
      </c>
      <c r="BF16" s="10">
        <f>COUNTIFS(Tracking!Z:Z,A16&amp;C16,Tracking!C:C,"5v4",Tracking!Y:Y,"C")</f>
        <v>0</v>
      </c>
      <c r="BG16" s="10">
        <f>COUNTIFS(Tracking!Z:Z,A16&amp;C16,Tracking!C:C,"5v4",Tracking!AB:AB,"Y")</f>
        <v>0</v>
      </c>
      <c r="BH16" s="10">
        <f>COUNTIFS(Tracking!Z:Z,A16&amp;C16,Tracking!C:C,"4v5")</f>
        <v>0</v>
      </c>
      <c r="BI16" s="10">
        <f>COUNTIFS(Tracking!AA:AA,A16&amp;C16,Tracking!C:C,"5v4",Tracking!Y:Y,"D")+COUNTIFS(Tracking!AA:AA,A16&amp;C16,Tracking!C:C,"5v4",Tracking!Y:Y,"F")</f>
        <v>0</v>
      </c>
      <c r="BJ16" s="10">
        <f>COUNTIFS(Tracking!E:E,A16,Tracking!D:D,C16,Tracking!C:C,"5v4")</f>
        <v>1</v>
      </c>
      <c r="BK16" s="10">
        <f>COUNTIFS(Tracking!G:G,A16,Tracking!D:D,C16,Tracking!C:C,"5v4")+COUNTIFS(Tracking!H:H,A16,Tracking!D:D,C16,Tracking!C:C,"5v4")+COUNTIFS(Tracking!I:I,A16,Tracking!D:D,C16,Tracking!C:C,"5v4")</f>
        <v>0</v>
      </c>
      <c r="BL16" s="10">
        <f>COUNTIFS(Tracking!G:G,A16,Tracking!D:D,C16,Tracking!C:C,"5v4")</f>
        <v>0</v>
      </c>
      <c r="BM16" s="10">
        <f>COUNTIFS(Tracking!E:E,A16,Tracking!D:D,C16,Tracking!C:C,"5v4",Tracking!M:M,"Y")</f>
        <v>1</v>
      </c>
      <c r="BN16" s="10">
        <f>COUNTIFS(Tracking!G:G,A16,Tracking!D:D,C16,Tracking!C:C,"5v4",Tracking!M:M,"Y")</f>
        <v>0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0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1</v>
      </c>
      <c r="BS16" s="12">
        <f>COUNTIFS(Tracking!E:E,A16,Tracking!D:D,C16,Tracking!C:C,"5v5",Tracking!F:F,"r")</f>
        <v>0</v>
      </c>
      <c r="BT16" s="12">
        <f>COUNTIFS(Tracking!E:E,A16,Tracking!D:D,C16,Tracking!C:C,"5v5",Tracking!F:F,"t")</f>
        <v>1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0</v>
      </c>
      <c r="BX16" s="12">
        <f>COUNTIFS(Tracking!E:E,A16,Tracking!D:D,C16,Tracking!C:C,"5v5",Tracking!Q:Q,"OZ")</f>
        <v>3</v>
      </c>
      <c r="BY16" s="12">
        <f>COUNTIFS(Tracking!E:E,A16,Tracking!D:D,C16,Tracking!C:C,"5v5",Tracking!Q:Q,"nZ")</f>
        <v>0</v>
      </c>
      <c r="BZ16" s="12">
        <f>COUNTIFS(Tracking!E:E,A16,Tracking!D:D,C16,Tracking!C:C,"5v5",Tracking!Q:Q,"dZ")</f>
        <v>2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2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0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2</v>
      </c>
      <c r="CD16" s="12">
        <f>COUNTIFS(Tracking!E:E,A16,Tracking!D:D,C16,Tracking!C:C,"5v5",Tracking!R:R,"dz exit")</f>
        <v>2</v>
      </c>
      <c r="CE16" s="12">
        <f>COUNTIFS(Tracking!E:E,A16,Tracking!D:D,C16,Tracking!C:C,"5v5",Tracking!R:R,"dz counter")</f>
        <v>0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0</v>
      </c>
      <c r="CI16" s="12">
        <f>COUNTIFS(Tracking!E:E,A16,Tracking!D:D,C16,Tracking!C:C,"5v5",Tracking!R:R,"controlled breakout")</f>
        <v>0</v>
      </c>
      <c r="CJ16" s="2">
        <f t="shared" si="1"/>
        <v>1.0549999999999999</v>
      </c>
      <c r="CK16" s="2">
        <f t="shared" si="7"/>
        <v>0.8</v>
      </c>
      <c r="CL16" s="2">
        <f t="shared" si="2"/>
        <v>0.1</v>
      </c>
      <c r="CM16" s="2">
        <f t="shared" si="9"/>
        <v>0</v>
      </c>
      <c r="CN16" s="2">
        <f t="shared" si="3"/>
        <v>2.5000000000000001E-2</v>
      </c>
      <c r="CO16" s="2">
        <f t="shared" si="4"/>
        <v>7.4999999999999997E-2</v>
      </c>
      <c r="CP16" s="2">
        <f t="shared" si="5"/>
        <v>5.5E-2</v>
      </c>
      <c r="CQ16" s="2">
        <f t="shared" si="6"/>
        <v>1</v>
      </c>
    </row>
    <row r="17" spans="1:95" x14ac:dyDescent="0.35">
      <c r="A17" s="8">
        <v>5</v>
      </c>
      <c r="B17" s="8" t="s">
        <v>251</v>
      </c>
      <c r="C17" s="8" t="s">
        <v>132</v>
      </c>
      <c r="D17" s="8" t="s">
        <v>189</v>
      </c>
      <c r="E17" s="8">
        <v>14.483333333333</v>
      </c>
      <c r="F17" s="8" t="s">
        <v>130</v>
      </c>
      <c r="G17" s="19" t="s">
        <v>275</v>
      </c>
      <c r="H17" s="9">
        <f>COUNTIFS(Tracking!E:E,A17,Tracking!D:D,C17,Tracking!C:C,"5v5")</f>
        <v>0</v>
      </c>
      <c r="I17" s="9">
        <f>COUNTIFS(Tracking!E:E,A17,Tracking!D:D,C17,Tracking!N:N,"y",Tracking!C:C,"5v5")</f>
        <v>0</v>
      </c>
      <c r="J17" s="9">
        <f>COUNTIFS(Tracking!E:E,A17,Tracking!D:D,C17,Tracking!M:M,"y",Tracking!C:C,"5v5")</f>
        <v>0</v>
      </c>
      <c r="K17" s="9">
        <f t="shared" si="0"/>
        <v>1</v>
      </c>
      <c r="L17" s="9">
        <f>COUNTIFS(Tracking!G:G,A17,Tracking!D:D,C17,Tracking!C:C,"5v5")</f>
        <v>1</v>
      </c>
      <c r="M17" s="9">
        <f>COUNTIFS(Tracking!H:H,A17,Tracking!D:D,C17,Tracking!C:C,"5v5")</f>
        <v>0</v>
      </c>
      <c r="N17" s="9">
        <f>COUNTIFS(Tracking!I:I,A17,Tracking!D:D,C17,Tracking!C:C,"5v5")</f>
        <v>0</v>
      </c>
      <c r="O17" s="9">
        <f>COUNTIFS(Tracking!G:G,A17,Tracking!D:D,C17,Tracking!C:C,"5v5",Tracking!M:M,"y")</f>
        <v>0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0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0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0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0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0</v>
      </c>
      <c r="V17" s="9">
        <f>COUNTIFS(Tracking!E:E,A17,Tracking!D:D,C17,Tracking!C:C,"5v5",Tracking!P:P,"r")</f>
        <v>0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0</v>
      </c>
      <c r="X17" s="9">
        <f>COUNTIFS(Tracking!E:E,A17,Tracking!D:D,C17,Tracking!C:C,"5v5",Tracking!P:P,"f")</f>
        <v>0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1</v>
      </c>
      <c r="Z17" s="9">
        <f>COUNTIFS(Tracking!E:E,A17,Tracking!D:D,C17,Tracking!C:C,"5v5",Tracking!P:P,"c")</f>
        <v>0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0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0</v>
      </c>
      <c r="AC17" s="11">
        <f>COUNTIFS(Tracking!Z:Z,A17&amp;C17,Tracking!C:C,"5v5")-AE17</f>
        <v>1</v>
      </c>
      <c r="AD17" s="11">
        <f>COUNTIFS(Tracking!Z:Z,A17&amp;C17,Tracking!C:C,"5v5",Tracking!Y:Y,"C")</f>
        <v>0</v>
      </c>
      <c r="AE17" s="11">
        <f>COUNTIFS(Tracking!Z:Z,A17&amp;C17,Tracking!C:C,"5v5",Tracking!Y:Y,"F")</f>
        <v>0</v>
      </c>
      <c r="AF17" s="11">
        <f>COUNTIFS(Tracking!Z:Z,A17&amp;C17,Tracking!C:C,"5v5",Tracking!Y:Y,"C",Tracking!AB:AB,"Y")</f>
        <v>0</v>
      </c>
      <c r="AG17" s="11">
        <f>COUNTIFS(Tracking!AD:AD,A17&amp;C17,Tracking!C:C,"5v5")</f>
        <v>0</v>
      </c>
      <c r="AH17" s="11">
        <f>COUNTIFS(Tracking!Z:Z,A17&amp;C17,Tracking!C:C,"5v5",Tracking!Y:Y,"C",Tracking!AE:AE,"Y")</f>
        <v>0</v>
      </c>
      <c r="AI17" s="11">
        <f>COUNTIFS(Tracking!Z:Z,A17&amp;C17,Tracking!C:C,"5v5",Tracking!Y:Y,"D",Tracking!AE:AE,"Y")</f>
        <v>0</v>
      </c>
      <c r="AJ17" s="11">
        <f>COUNTIFS(Tracking!AH:AH,A17&amp;C17)</f>
        <v>1</v>
      </c>
      <c r="AK17" s="5">
        <f>COUNTIFS(Tracking!AI:AI,A17&amp;C17,Tracking!C:C,"5v5")+AL17</f>
        <v>9</v>
      </c>
      <c r="AL17" s="5">
        <f>COUNTIFS(Tracking!AF:AF,A17&amp;C17,Tracking!C:C,"5v5")-AT17</f>
        <v>7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3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2</v>
      </c>
      <c r="AO17" s="5">
        <f>COUNTIFS(Tracking!AF:AF,A17&amp;C17,Tracking!C:C,"5v5",Tracking!AG:AG,"CEX")+COUNTIFS(Tracking!AI:AI,A17&amp;C17,Tracking!C:C,"5v5",Tracking!AJ:AJ,"CEX")</f>
        <v>0</v>
      </c>
      <c r="AP17" s="5">
        <f>COUNTIFS(Tracking!AF:AF,A17&amp;C17,Tracking!C:C,"5v5",Tracking!AG:AG,"PEX")</f>
        <v>0</v>
      </c>
      <c r="AQ17" s="5">
        <f>COUNTIFS(Tracking!AF:AF,A17&amp;C17,Tracking!C:C,"5v5",Tracking!AG:AG,"CLE")+COUNTIFS(Tracking!AI:AI,A17&amp;C17,Tracking!C:C,"5v5",Tracking!AJ:AJ,"CLE")</f>
        <v>1</v>
      </c>
      <c r="AR17" s="5">
        <f>COUNTIFS(Tracking!AF:AF,A17&amp;C17,Tracking!C:C,"5v5",Tracking!AG:AG,"MEX")</f>
        <v>1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3</v>
      </c>
      <c r="AT17" s="5">
        <f>COUNTIFS(Tracking!AF:AF,A17&amp;C17,Tracking!C:C,"5v5",Tracking!AG:AG,"BOT")+COUNTIFS(Tracking!AF:AF,A17&amp;C17,Tracking!C:C,"5v5",Tracking!AG:AG,"FEX")</f>
        <v>1</v>
      </c>
      <c r="AU17" s="5">
        <f>COUNTIFS(Tracking!AF:AF,A17&amp;C17,Tracking!C:C,"5v5",Tracking!AG:AG,"EXC")</f>
        <v>5</v>
      </c>
      <c r="AV17" s="5">
        <f>COUNTIFS(Tracking!AF:AF,A17&amp;C17,Tracking!C:C,"5v5",Tracking!AG:AG,"FEX")+COUNTIFS(Tracking!AI:AI,A17&amp;C17,Tracking!C:C,"5v5",Tracking!AJ:AJ,"FEX")</f>
        <v>1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1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2</v>
      </c>
      <c r="AY17" s="1">
        <f>COUNTIFS(Tracking!AA:AA,A17&amp;C17,Tracking!C:C,"5v5")</f>
        <v>1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0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0</v>
      </c>
      <c r="BF17" s="10">
        <f>COUNTIFS(Tracking!Z:Z,A17&amp;C17,Tracking!C:C,"5v4",Tracking!Y:Y,"C")</f>
        <v>0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0</v>
      </c>
      <c r="BK17" s="10">
        <f>COUNTIFS(Tracking!G:G,A17,Tracking!D:D,C17,Tracking!C:C,"5v4")+COUNTIFS(Tracking!H:H,A17,Tracking!D:D,C17,Tracking!C:C,"5v4")+COUNTIFS(Tracking!I:I,A17,Tracking!D:D,C17,Tracking!C:C,"5v4")</f>
        <v>0</v>
      </c>
      <c r="BL17" s="10">
        <f>COUNTIFS(Tracking!G:G,A17,Tracking!D:D,C17,Tracking!C:C,"5v4")</f>
        <v>0</v>
      </c>
      <c r="BM17" s="10">
        <f>COUNTIFS(Tracking!E:E,A17,Tracking!D:D,C17,Tracking!C:C,"5v4",Tracking!M:M,"Y")</f>
        <v>0</v>
      </c>
      <c r="BN17" s="10">
        <f>COUNTIFS(Tracking!G:G,A17,Tracking!D:D,C17,Tracking!C:C,"5v4",Tracking!M:M,"Y")</f>
        <v>0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0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0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0</v>
      </c>
      <c r="BS17" s="12">
        <f>COUNTIFS(Tracking!E:E,A17,Tracking!D:D,C17,Tracking!C:C,"5v5",Tracking!F:F,"r")</f>
        <v>0</v>
      </c>
      <c r="BT17" s="12">
        <f>COUNTIFS(Tracking!E:E,A17,Tracking!D:D,C17,Tracking!C:C,"5v5",Tracking!F:F,"t")</f>
        <v>0</v>
      </c>
      <c r="BU17" s="12">
        <f>COUNTIFS(Tracking!G:G,A17,Tracking!D:D,C17,Tracking!C:C,"5v5",Tracking!F:F,"o")</f>
        <v>0</v>
      </c>
      <c r="BV17" s="12">
        <f>COUNTIFS(Tracking!E:E,A16,Tracking!D:D,C17,Tracking!C:C,"5v5",Tracking!F:F,"r")</f>
        <v>0</v>
      </c>
      <c r="BW17" s="12">
        <f>COUNTIFS(Tracking!G:G,A17,Tracking!D:D,C17,Tracking!C:C,"5v5",Tracking!F:F,"T")</f>
        <v>0</v>
      </c>
      <c r="BX17" s="12">
        <f>COUNTIFS(Tracking!E:E,A17,Tracking!D:D,C17,Tracking!C:C,"5v5",Tracking!Q:Q,"OZ")</f>
        <v>0</v>
      </c>
      <c r="BY17" s="12">
        <f>COUNTIFS(Tracking!E:E,A17,Tracking!D:D,C17,Tracking!C:C,"5v5",Tracking!Q:Q,"nZ")</f>
        <v>0</v>
      </c>
      <c r="BZ17" s="12">
        <f>COUNTIFS(Tracking!E:E,A17,Tracking!D:D,C17,Tracking!C:C,"5v5",Tracking!Q:Q,"dZ")</f>
        <v>0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1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0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0</v>
      </c>
      <c r="CD17" s="12">
        <f>COUNTIFS(Tracking!E:E,A17,Tracking!D:D,C17,Tracking!C:C,"5v5",Tracking!R:R,"dz exit")</f>
        <v>0</v>
      </c>
      <c r="CE17" s="12">
        <f>COUNTIFS(Tracking!E:E,A17,Tracking!D:D,C17,Tracking!C:C,"5v5",Tracking!R:R,"dz counter")</f>
        <v>0</v>
      </c>
      <c r="CF17" s="12">
        <f>COUNTIFS(Tracking!E:E,A17,Tracking!D:D,C17,Tracking!C:C,"5v5",Tracking!R:R,"nz turnover")</f>
        <v>0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0.19</v>
      </c>
      <c r="CK17" s="2">
        <f t="shared" si="7"/>
        <v>7.0000000000000007E-2</v>
      </c>
      <c r="CL17" s="2">
        <f t="shared" si="2"/>
        <v>0</v>
      </c>
      <c r="CM17" s="2">
        <f t="shared" si="9"/>
        <v>0.03</v>
      </c>
      <c r="CN17" s="2">
        <f t="shared" si="3"/>
        <v>7.5000000000000011E-2</v>
      </c>
      <c r="CO17" s="2">
        <f t="shared" si="4"/>
        <v>1.4999999999999999E-2</v>
      </c>
      <c r="CP17" s="2">
        <f t="shared" si="5"/>
        <v>0</v>
      </c>
      <c r="CQ17" s="2">
        <f t="shared" si="6"/>
        <v>0.19</v>
      </c>
    </row>
    <row r="18" spans="1:95" x14ac:dyDescent="0.35">
      <c r="A18" s="8">
        <v>2</v>
      </c>
      <c r="B18" s="8" t="s">
        <v>252</v>
      </c>
      <c r="C18" s="8" t="s">
        <v>132</v>
      </c>
      <c r="D18" s="8" t="s">
        <v>196</v>
      </c>
      <c r="E18" s="8">
        <v>13.05</v>
      </c>
      <c r="F18" s="8" t="s">
        <v>130</v>
      </c>
      <c r="G18" s="19" t="s">
        <v>275</v>
      </c>
      <c r="H18" s="9">
        <f>COUNTIFS(Tracking!E:E,A18,Tracking!D:D,C18,Tracking!C:C,"5v5")</f>
        <v>0</v>
      </c>
      <c r="I18" s="9">
        <f>COUNTIFS(Tracking!E:E,A18,Tracking!D:D,C18,Tracking!N:N,"y",Tracking!C:C,"5v5")</f>
        <v>0</v>
      </c>
      <c r="J18" s="9">
        <f>COUNTIFS(Tracking!E:E,A18,Tracking!D:D,C18,Tracking!M:M,"y",Tracking!C:C,"5v5")</f>
        <v>0</v>
      </c>
      <c r="K18" s="9">
        <f t="shared" si="0"/>
        <v>7</v>
      </c>
      <c r="L18" s="9">
        <f>COUNTIFS(Tracking!G:G,A18,Tracking!D:D,C18,Tracking!C:C,"5v5")</f>
        <v>3</v>
      </c>
      <c r="M18" s="9">
        <f>COUNTIFS(Tracking!H:H,A18,Tracking!D:D,C18,Tracking!C:C,"5v5")</f>
        <v>4</v>
      </c>
      <c r="N18" s="9">
        <f>COUNTIFS(Tracking!I:I,A18,Tracking!D:D,C18,Tracking!C:C,"5v5")</f>
        <v>0</v>
      </c>
      <c r="O18" s="9">
        <f>COUNTIFS(Tracking!G:G,A18,Tracking!D:D,C18,Tracking!C:C,"5v5",Tracking!M:M,"y")</f>
        <v>2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1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0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0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3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0</v>
      </c>
      <c r="V18" s="9">
        <f>COUNTIFS(Tracking!E:E,A18,Tracking!D:D,C18,Tracking!C:C,"5v5",Tracking!P:P,"r")</f>
        <v>0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3</v>
      </c>
      <c r="X18" s="9">
        <f>COUNTIFS(Tracking!E:E,A18,Tracking!D:D,C18,Tracking!C:C,"5v5",Tracking!P:P,"f")</f>
        <v>0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2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1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5</v>
      </c>
      <c r="AD18" s="11">
        <f>COUNTIFS(Tracking!Z:Z,A18&amp;C18,Tracking!C:C,"5v5",Tracking!Y:Y,"C")</f>
        <v>2</v>
      </c>
      <c r="AE18" s="11">
        <f>COUNTIFS(Tracking!Z:Z,A18&amp;C18,Tracking!C:C,"5v5",Tracking!Y:Y,"F")</f>
        <v>1</v>
      </c>
      <c r="AF18" s="11">
        <f>COUNTIFS(Tracking!Z:Z,A18&amp;C18,Tracking!C:C,"5v5",Tracking!Y:Y,"C",Tracking!AB:AB,"Y")</f>
        <v>2</v>
      </c>
      <c r="AG18" s="11">
        <f>COUNTIFS(Tracking!AD:AD,A18&amp;C18,Tracking!C:C,"5v5")</f>
        <v>0</v>
      </c>
      <c r="AH18" s="11">
        <f>COUNTIFS(Tracking!Z:Z,A18&amp;C18,Tracking!C:C,"5v5",Tracking!Y:Y,"C",Tracking!AE:AE,"Y")</f>
        <v>1</v>
      </c>
      <c r="AI18" s="11">
        <f>COUNTIFS(Tracking!Z:Z,A18&amp;C18,Tracking!C:C,"5v5",Tracking!Y:Y,"D",Tracking!AE:AE,"Y")</f>
        <v>0</v>
      </c>
      <c r="AJ18" s="11">
        <f>COUNTIFS(Tracking!AH:AH,A18&amp;C18)</f>
        <v>1</v>
      </c>
      <c r="AK18" s="5">
        <f>COUNTIFS(Tracking!AI:AI,A18&amp;C18,Tracking!C:C,"5v5")+AL18</f>
        <v>4</v>
      </c>
      <c r="AL18" s="5">
        <f>COUNTIFS(Tracking!AF:AF,A18&amp;C18,Tracking!C:C,"5v5")-AT18</f>
        <v>2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3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1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1</v>
      </c>
      <c r="AQ18" s="5">
        <f>COUNTIFS(Tracking!AF:AF,A18&amp;C18,Tracking!C:C,"5v5",Tracking!AG:AG,"CLE")+COUNTIFS(Tracking!AI:AI,A18&amp;C18,Tracking!C:C,"5v5",Tracking!AJ:AJ,"CLE")</f>
        <v>2</v>
      </c>
      <c r="AR18" s="5">
        <f>COUNTIFS(Tracking!AF:AF,A18&amp;C18,Tracking!C:C,"5v5",Tracking!AG:AG,"MEX")</f>
        <v>0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1</v>
      </c>
      <c r="AT18" s="5">
        <f>COUNTIFS(Tracking!AF:AF,A18&amp;C18,Tracking!C:C,"5v5",Tracking!AG:AG,"BOT")+COUNTIFS(Tracking!AF:AF,A18&amp;C18,Tracking!C:C,"5v5",Tracking!AG:AG,"FEX")</f>
        <v>0</v>
      </c>
      <c r="AU18" s="5">
        <f>COUNTIFS(Tracking!AF:AF,A18&amp;C18,Tracking!C:C,"5v5",Tracking!AG:AG,"EXC")</f>
        <v>0</v>
      </c>
      <c r="AV18" s="5">
        <f>COUNTIFS(Tracking!AF:AF,A18&amp;C18,Tracking!C:C,"5v5",Tracking!AG:AG,"FEX")+COUNTIFS(Tracking!AI:AI,A18&amp;C18,Tracking!C:C,"5v5",Tracking!AJ:AJ,"FEX")</f>
        <v>1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2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1</v>
      </c>
      <c r="AY18" s="1">
        <f>COUNTIFS(Tracking!AA:AA,A18&amp;C18,Tracking!C:C,"5v5")</f>
        <v>0</v>
      </c>
      <c r="AZ18" s="1">
        <f>COUNTIFS(Tracking!AA:AA,A18&amp;C18,Tracking!C:C,"5v5",Tracking!Y:Y,"C")</f>
        <v>0</v>
      </c>
      <c r="BA18" s="1">
        <f>COUNTIFS(Tracking!AA:AA,A18&amp;C18,Tracking!C:C,"5v5",Tracking!Y:Y,"F")</f>
        <v>0</v>
      </c>
      <c r="BB18" s="1">
        <f>COUNTIFS(Tracking!AA:AA,A18&amp;C18,Tracking!C:C,"5v5",Tracking!AB:AB,"Y")</f>
        <v>0</v>
      </c>
      <c r="BC18" s="1">
        <f>COUNTIFS(Tracking!AA:AA,A18&amp;C18,Tracking!C:C,"5v5",Tracking!Y:Y,"C",Tracking!AE:AE,"Y")</f>
        <v>0</v>
      </c>
      <c r="BD18" s="1">
        <f>COUNTIFS(Tracking!AA:AA,A18&amp;C18,Tracking!C:C,"5v5",Tracking!Y:Y,"D",Tracking!AE:AE,"Y")</f>
        <v>0</v>
      </c>
      <c r="BE18" s="10">
        <f>COUNTIFS(Tracking!Z:Z,A18&amp;C18,Tracking!C:C,"5v4")</f>
        <v>2</v>
      </c>
      <c r="BF18" s="10">
        <f>COUNTIFS(Tracking!Z:Z,A18&amp;C18,Tracking!C:C,"5v4",Tracking!Y:Y,"C")</f>
        <v>1</v>
      </c>
      <c r="BG18" s="10">
        <f>COUNTIFS(Tracking!Z:Z,A18&amp;C18,Tracking!C:C,"5v4",Tracking!AB:AB,"Y")</f>
        <v>2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0</v>
      </c>
      <c r="BJ18" s="10">
        <f>COUNTIFS(Tracking!E:E,A18,Tracking!D:D,C18,Tracking!C:C,"5v4")</f>
        <v>3</v>
      </c>
      <c r="BK18" s="10">
        <f>COUNTIFS(Tracking!G:G,A18,Tracking!D:D,C18,Tracking!C:C,"5v4")+COUNTIFS(Tracking!H:H,A18,Tracking!D:D,C18,Tracking!C:C,"5v4")+COUNTIFS(Tracking!I:I,A18,Tracking!D:D,C18,Tracking!C:C,"5v4")</f>
        <v>5</v>
      </c>
      <c r="BL18" s="10">
        <f>COUNTIFS(Tracking!G:G,A18,Tracking!D:D,C18,Tracking!C:C,"5v4")</f>
        <v>1</v>
      </c>
      <c r="BM18" s="10">
        <f>COUNTIFS(Tracking!E:E,A18,Tracking!D:D,C18,Tracking!C:C,"5v4",Tracking!M:M,"Y")</f>
        <v>1</v>
      </c>
      <c r="BN18" s="10">
        <f>COUNTIFS(Tracking!G:G,A18,Tracking!D:D,C18,Tracking!C:C,"5v4",Tracking!M:M,"Y")</f>
        <v>1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0</v>
      </c>
      <c r="BS18" s="12">
        <f>COUNTIFS(Tracking!E:E,A18,Tracking!D:D,C18,Tracking!C:C,"5v5",Tracking!F:F,"r")</f>
        <v>0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1</v>
      </c>
      <c r="BV18" s="12">
        <f>COUNTIFS(Tracking!E:E,A17,Tracking!D:D,C18,Tracking!C:C,"5v5",Tracking!F:F,"r")</f>
        <v>0</v>
      </c>
      <c r="BW18" s="12">
        <f>COUNTIFS(Tracking!G:G,A18,Tracking!D:D,C18,Tracking!C:C,"5v5",Tracking!F:F,"T")</f>
        <v>1</v>
      </c>
      <c r="BX18" s="12">
        <f>COUNTIFS(Tracking!E:E,A18,Tracking!D:D,C18,Tracking!C:C,"5v5",Tracking!Q:Q,"OZ")</f>
        <v>0</v>
      </c>
      <c r="BY18" s="12">
        <f>COUNTIFS(Tracking!E:E,A18,Tracking!D:D,C18,Tracking!C:C,"5v5",Tracking!Q:Q,"nZ")</f>
        <v>0</v>
      </c>
      <c r="BZ18" s="12">
        <f>COUNTIFS(Tracking!E:E,A18,Tracking!D:D,C18,Tracking!C:C,"5v5",Tracking!Q:Q,"dZ")</f>
        <v>0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3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1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2</v>
      </c>
      <c r="CD18" s="12">
        <f>COUNTIFS(Tracking!E:E,A18,Tracking!D:D,C18,Tracking!C:C,"5v5",Tracking!R:R,"dz exit")</f>
        <v>0</v>
      </c>
      <c r="CE18" s="12">
        <f>COUNTIFS(Tracking!E:E,A18,Tracking!D:D,C18,Tracking!C:C,"5v5",Tracking!R:R,"dz counter")</f>
        <v>0</v>
      </c>
      <c r="CF18" s="12">
        <f>COUNTIFS(Tracking!E:E,A18,Tracking!D:D,C18,Tracking!C:C,"5v5",Tracking!R:R,"nz turnover")</f>
        <v>0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0.93000000000000016</v>
      </c>
      <c r="CK18" s="2">
        <f t="shared" si="7"/>
        <v>0.6100000000000001</v>
      </c>
      <c r="CL18" s="2">
        <f t="shared" si="2"/>
        <v>0.1</v>
      </c>
      <c r="CM18" s="2">
        <f t="shared" si="9"/>
        <v>0</v>
      </c>
      <c r="CN18" s="2">
        <f t="shared" si="3"/>
        <v>2.5000000000000001E-2</v>
      </c>
      <c r="CO18" s="2">
        <f t="shared" si="4"/>
        <v>1.4999999999999999E-2</v>
      </c>
      <c r="CP18" s="2">
        <f t="shared" si="5"/>
        <v>0.18</v>
      </c>
      <c r="CQ18" s="2">
        <f t="shared" si="6"/>
        <v>0.75000000000000011</v>
      </c>
    </row>
    <row r="19" spans="1:95" x14ac:dyDescent="0.35">
      <c r="A19" s="8">
        <v>72</v>
      </c>
      <c r="B19" s="8" t="s">
        <v>253</v>
      </c>
      <c r="C19" s="8" t="s">
        <v>132</v>
      </c>
      <c r="D19" s="8" t="s">
        <v>192</v>
      </c>
      <c r="E19" s="8">
        <v>14.933333333333</v>
      </c>
      <c r="F19" s="8" t="s">
        <v>130</v>
      </c>
      <c r="G19" s="19" t="s">
        <v>275</v>
      </c>
      <c r="H19" s="9">
        <f>COUNTIFS(Tracking!E:E,A19,Tracking!D:D,C19,Tracking!C:C,"5v5")</f>
        <v>3</v>
      </c>
      <c r="I19" s="9">
        <f>COUNTIFS(Tracking!E:E,A19,Tracking!D:D,C19,Tracking!N:N,"y",Tracking!C:C,"5v5")</f>
        <v>3</v>
      </c>
      <c r="J19" s="9">
        <f>COUNTIFS(Tracking!E:E,A19,Tracking!D:D,C19,Tracking!M:M,"y",Tracking!C:C,"5v5")</f>
        <v>3</v>
      </c>
      <c r="K19" s="9">
        <f t="shared" si="0"/>
        <v>5</v>
      </c>
      <c r="L19" s="9">
        <f>COUNTIFS(Tracking!G:G,A19,Tracking!D:D,C19,Tracking!C:C,"5v5")</f>
        <v>1</v>
      </c>
      <c r="M19" s="9">
        <f>COUNTIFS(Tracking!H:H,A19,Tracking!D:D,C19,Tracking!C:C,"5v5")</f>
        <v>3</v>
      </c>
      <c r="N19" s="9">
        <f>COUNTIFS(Tracking!I:I,A19,Tracking!D:D,C19,Tracking!C:C,"5v5")</f>
        <v>1</v>
      </c>
      <c r="O19" s="9">
        <f>COUNTIFS(Tracking!G:G,A19,Tracking!D:D,C19,Tracking!C:C,"5v5",Tracking!M:M,"y")</f>
        <v>1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0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2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1</v>
      </c>
      <c r="V19" s="9">
        <f>COUNTIFS(Tracking!E:E,A19,Tracking!D:D,C19,Tracking!C:C,"5v5",Tracking!P:P,"r")</f>
        <v>2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2</v>
      </c>
      <c r="X19" s="9">
        <f>COUNTIFS(Tracking!E:E,A19,Tracking!D:D,C19,Tracking!C:C,"5v5",Tracking!P:P,"f")</f>
        <v>0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0</v>
      </c>
      <c r="Z19" s="9">
        <f>COUNTIFS(Tracking!E:E,A19,Tracking!D:D,C19,Tracking!C:C,"5v5",Tracking!P:P,"c")</f>
        <v>0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0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4</v>
      </c>
      <c r="AD19" s="11">
        <f>COUNTIFS(Tracking!Z:Z,A19&amp;C19,Tracking!C:C,"5v5",Tracking!Y:Y,"C")</f>
        <v>4</v>
      </c>
      <c r="AE19" s="11">
        <f>COUNTIFS(Tracking!Z:Z,A19&amp;C19,Tracking!C:C,"5v5",Tracking!Y:Y,"F")</f>
        <v>1</v>
      </c>
      <c r="AF19" s="11">
        <f>COUNTIFS(Tracking!Z:Z,A19&amp;C19,Tracking!C:C,"5v5",Tracking!Y:Y,"C",Tracking!AB:AB,"Y")</f>
        <v>1</v>
      </c>
      <c r="AG19" s="11">
        <f>COUNTIFS(Tracking!AD:AD,A19&amp;C19,Tracking!C:C,"5v5")</f>
        <v>0</v>
      </c>
      <c r="AH19" s="11">
        <f>COUNTIFS(Tracking!Z:Z,A19&amp;C19,Tracking!C:C,"5v5",Tracking!Y:Y,"C",Tracking!AE:AE,"Y")</f>
        <v>1</v>
      </c>
      <c r="AI19" s="11">
        <f>COUNTIFS(Tracking!Z:Z,A19&amp;C19,Tracking!C:C,"5v5",Tracking!Y:Y,"D",Tracking!AE:AE,"Y")</f>
        <v>0</v>
      </c>
      <c r="AJ19" s="11">
        <f>COUNTIFS(Tracking!AH:AH,A19&amp;C19)</f>
        <v>5</v>
      </c>
      <c r="AK19" s="5">
        <f>COUNTIFS(Tracking!AI:AI,A19&amp;C19,Tracking!C:C,"5v5")+AL19</f>
        <v>6</v>
      </c>
      <c r="AL19" s="5">
        <f>COUNTIFS(Tracking!AF:AF,A19&amp;C19,Tracking!C:C,"5v5")-AT19</f>
        <v>2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6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4</v>
      </c>
      <c r="AO19" s="5">
        <f>COUNTIFS(Tracking!AF:AF,A19&amp;C19,Tracking!C:C,"5v5",Tracking!AG:AG,"CEX")+COUNTIFS(Tracking!AI:AI,A19&amp;C19,Tracking!C:C,"5v5",Tracking!AJ:AJ,"CEX")</f>
        <v>2</v>
      </c>
      <c r="AP19" s="5">
        <f>COUNTIFS(Tracking!AF:AF,A19&amp;C19,Tracking!C:C,"5v5",Tracking!AG:AG,"PEX")</f>
        <v>0</v>
      </c>
      <c r="AQ19" s="5">
        <f>COUNTIFS(Tracking!AF:AF,A19&amp;C19,Tracking!C:C,"5v5",Tracking!AG:AG,"CLE")+COUNTIFS(Tracking!AI:AI,A19&amp;C19,Tracking!C:C,"5v5",Tracking!AJ:AJ,"CLE")</f>
        <v>2</v>
      </c>
      <c r="AR19" s="5">
        <f>COUNTIFS(Tracking!AF:AF,A19&amp;C19,Tracking!C:C,"5v5",Tracking!AG:AG,"MEX")</f>
        <v>0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1</v>
      </c>
      <c r="AT19" s="5">
        <f>COUNTIFS(Tracking!AF:AF,A19&amp;C19,Tracking!C:C,"5v5",Tracking!AG:AG,"BOT")+COUNTIFS(Tracking!AF:AF,A19&amp;C19,Tracking!C:C,"5v5",Tracking!AG:AG,"FEX")</f>
        <v>0</v>
      </c>
      <c r="AU19" s="5">
        <f>COUNTIFS(Tracking!AF:AF,A19&amp;C19,Tracking!C:C,"5v5",Tracking!AG:AG,"EXC")</f>
        <v>0</v>
      </c>
      <c r="AV19" s="5">
        <f>COUNTIFS(Tracking!AF:AF,A19&amp;C19,Tracking!C:C,"5v5",Tracking!AG:AG,"FEX")+COUNTIFS(Tracking!AI:AI,A19&amp;C19,Tracking!C:C,"5v5",Tracking!AJ:AJ,"FEX")</f>
        <v>0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2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4</v>
      </c>
      <c r="AY19" s="1">
        <f>COUNTIFS(Tracking!AA:AA,A19&amp;C19,Tracking!C:C,"5v5")</f>
        <v>0</v>
      </c>
      <c r="AZ19" s="1">
        <f>COUNTIFS(Tracking!AA:AA,A19&amp;C19,Tracking!C:C,"5v5",Tracking!Y:Y,"C")</f>
        <v>0</v>
      </c>
      <c r="BA19" s="1">
        <f>COUNTIFS(Tracking!AA:AA,A19&amp;C19,Tracking!C:C,"5v5",Tracking!Y:Y,"F")</f>
        <v>0</v>
      </c>
      <c r="BB19" s="1">
        <f>COUNTIFS(Tracking!AA:AA,A19&amp;C19,Tracking!C:C,"5v5",Tracking!AB:AB,"Y")</f>
        <v>0</v>
      </c>
      <c r="BC19" s="1">
        <f>COUNTIFS(Tracking!AA:AA,A19&amp;C19,Tracking!C:C,"5v5",Tracking!Y:Y,"C",Tracking!AE:AE,"Y")</f>
        <v>0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0</v>
      </c>
      <c r="BF19" s="10">
        <f>COUNTIFS(Tracking!Z:Z,A19&amp;C19,Tracking!C:C,"5v4",Tracking!Y:Y,"C")</f>
        <v>0</v>
      </c>
      <c r="BG19" s="10">
        <f>COUNTIFS(Tracking!Z:Z,A19&amp;C19,Tracking!C:C,"5v4",Tracking!AB:AB,"Y")</f>
        <v>0</v>
      </c>
      <c r="BH19" s="10">
        <f>COUNTIFS(Tracking!Z:Z,A19&amp;C19,Tracking!C:C,"4v5")</f>
        <v>0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1</v>
      </c>
      <c r="BL19" s="10">
        <f>COUNTIFS(Tracking!G:G,A19,Tracking!D:D,C19,Tracking!C:C,"5v4")</f>
        <v>0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0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1</v>
      </c>
      <c r="BT19" s="12">
        <f>COUNTIFS(Tracking!E:E,A19,Tracking!D:D,C19,Tracking!C:C,"5v5",Tracking!F:F,"t")</f>
        <v>0</v>
      </c>
      <c r="BU19" s="12">
        <f>COUNTIFS(Tracking!G:G,A19,Tracking!D:D,C19,Tracking!C:C,"5v5",Tracking!F:F,"o")</f>
        <v>0</v>
      </c>
      <c r="BV19" s="12">
        <f>COUNTIFS(Tracking!E:E,A18,Tracking!D:D,C19,Tracking!C:C,"5v5",Tracking!F:F,"r")</f>
        <v>0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0</v>
      </c>
      <c r="BY19" s="12">
        <f>COUNTIFS(Tracking!E:E,A19,Tracking!D:D,C19,Tracking!C:C,"5v5",Tracking!Q:Q,"nZ")</f>
        <v>0</v>
      </c>
      <c r="BZ19" s="12">
        <f>COUNTIFS(Tracking!E:E,A19,Tracking!D:D,C19,Tracking!C:C,"5v5",Tracking!Q:Q,"dZ")</f>
        <v>2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2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0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3</v>
      </c>
      <c r="CD19" s="12">
        <f>COUNTIFS(Tracking!E:E,A19,Tracking!D:D,C19,Tracking!C:C,"5v5",Tracking!R:R,"dz exit")</f>
        <v>1</v>
      </c>
      <c r="CE19" s="12">
        <f>COUNTIFS(Tracking!E:E,A19,Tracking!D:D,C19,Tracking!C:C,"5v5",Tracking!R:R,"dz counter")</f>
        <v>1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0</v>
      </c>
      <c r="CH19" s="12">
        <f>COUNTIFS(Tracking!E:E,A19,Tracking!D:D,C19,Tracking!C:C,"5v5",Tracking!R:R,"nz reload")</f>
        <v>0</v>
      </c>
      <c r="CI19" s="12">
        <f>COUNTIFS(Tracking!E:E,A19,Tracking!D:D,C19,Tracking!C:C,"5v5",Tracking!R:R,"controlled breakout")</f>
        <v>0</v>
      </c>
      <c r="CJ19" s="2">
        <f t="shared" si="1"/>
        <v>1.32</v>
      </c>
      <c r="CK19" s="2">
        <f t="shared" si="7"/>
        <v>0.89</v>
      </c>
      <c r="CL19" s="2">
        <f t="shared" si="2"/>
        <v>0.19</v>
      </c>
      <c r="CM19" s="2">
        <f t="shared" si="9"/>
        <v>0</v>
      </c>
      <c r="CN19" s="2">
        <f t="shared" si="3"/>
        <v>0.16500000000000001</v>
      </c>
      <c r="CO19" s="2">
        <f t="shared" si="4"/>
        <v>7.4999999999999997E-2</v>
      </c>
      <c r="CP19" s="2">
        <f t="shared" si="5"/>
        <v>0</v>
      </c>
      <c r="CQ19" s="2">
        <f t="shared" si="6"/>
        <v>1.32</v>
      </c>
    </row>
    <row r="20" spans="1:95" x14ac:dyDescent="0.35">
      <c r="A20" s="8">
        <v>34</v>
      </c>
      <c r="B20" s="8" t="s">
        <v>254</v>
      </c>
      <c r="C20" s="8" t="s">
        <v>148</v>
      </c>
      <c r="D20" s="8" t="s">
        <v>189</v>
      </c>
      <c r="E20" s="8">
        <v>11.4</v>
      </c>
      <c r="F20" s="8" t="s">
        <v>130</v>
      </c>
      <c r="G20" s="19" t="s">
        <v>275</v>
      </c>
      <c r="H20" s="9">
        <f>COUNTIFS(Tracking!E:E,A20,Tracking!D:D,C20,Tracking!C:C,"5v5")</f>
        <v>0</v>
      </c>
      <c r="I20" s="9">
        <f>COUNTIFS(Tracking!E:E,A20,Tracking!D:D,C20,Tracking!N:N,"y",Tracking!C:C,"5v5")</f>
        <v>0</v>
      </c>
      <c r="J20" s="9">
        <f>COUNTIFS(Tracking!E:E,A20,Tracking!D:D,C20,Tracking!M:M,"y",Tracking!C:C,"5v5")</f>
        <v>0</v>
      </c>
      <c r="K20" s="9">
        <f t="shared" si="0"/>
        <v>1</v>
      </c>
      <c r="L20" s="9">
        <f>COUNTIFS(Tracking!G:G,A20,Tracking!D:D,C20,Tracking!C:C,"5v5")</f>
        <v>0</v>
      </c>
      <c r="M20" s="9">
        <f>COUNTIFS(Tracking!H:H,A20,Tracking!D:D,C20,Tracking!C:C,"5v5")</f>
        <v>1</v>
      </c>
      <c r="N20" s="9">
        <f>COUNTIFS(Tracking!I:I,A20,Tracking!D:D,C20,Tracking!C:C,"5v5")</f>
        <v>0</v>
      </c>
      <c r="O20" s="9">
        <f>COUNTIFS(Tracking!G:G,A20,Tracking!D:D,C20,Tracking!C:C,"5v5",Tracking!M:M,"y")</f>
        <v>0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0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0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0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0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0</v>
      </c>
      <c r="X20" s="9">
        <f>COUNTIFS(Tracking!E:E,A20,Tracking!D:D,C20,Tracking!C:C,"5v5",Tracking!P:P,"f")</f>
        <v>0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0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0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1</v>
      </c>
      <c r="AD20" s="11">
        <f>COUNTIFS(Tracking!Z:Z,A20&amp;C20,Tracking!C:C,"5v5",Tracking!Y:Y,"C")</f>
        <v>0</v>
      </c>
      <c r="AE20" s="11">
        <f>COUNTIFS(Tracking!Z:Z,A20&amp;C20,Tracking!C:C,"5v5",Tracking!Y:Y,"F")</f>
        <v>0</v>
      </c>
      <c r="AF20" s="11">
        <f>COUNTIFS(Tracking!Z:Z,A20&amp;C20,Tracking!C:C,"5v5",Tracking!Y:Y,"C",Tracking!AB:AB,"Y")</f>
        <v>0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0</v>
      </c>
      <c r="AI20" s="11">
        <f>COUNTIFS(Tracking!Z:Z,A20&amp;C20,Tracking!C:C,"5v5",Tracking!Y:Y,"D",Tracking!AE:AE,"Y")</f>
        <v>0</v>
      </c>
      <c r="AJ20" s="11">
        <f>COUNTIFS(Tracking!AH:AH,A20&amp;C20)</f>
        <v>0</v>
      </c>
      <c r="AK20" s="5">
        <f>COUNTIFS(Tracking!AI:AI,A20&amp;C20,Tracking!C:C,"5v5")+AL20</f>
        <v>4</v>
      </c>
      <c r="AL20" s="5">
        <f>COUNTIFS(Tracking!AF:AF,A20&amp;C20,Tracking!C:C,"5v5")-AT20</f>
        <v>3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1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1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1</v>
      </c>
      <c r="AQ20" s="5">
        <f>COUNTIFS(Tracking!AF:AF,A20&amp;C20,Tracking!C:C,"5v5",Tracking!AG:AG,"CLE")+COUNTIFS(Tracking!AI:AI,A20&amp;C20,Tracking!C:C,"5v5",Tracking!AJ:AJ,"CLE")</f>
        <v>0</v>
      </c>
      <c r="AR20" s="5">
        <f>COUNTIFS(Tracking!AF:AF,A20&amp;C20,Tracking!C:C,"5v5",Tracking!AG:AG,"MEX")</f>
        <v>0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2</v>
      </c>
      <c r="AT20" s="5">
        <f>COUNTIFS(Tracking!AF:AF,A20&amp;C20,Tracking!C:C,"5v5",Tracking!AG:AG,"BOT")+COUNTIFS(Tracking!AF:AF,A20&amp;C20,Tracking!C:C,"5v5",Tracking!AG:AG,"FEX")</f>
        <v>2</v>
      </c>
      <c r="AU20" s="5">
        <f>COUNTIFS(Tracking!AF:AF,A20&amp;C20,Tracking!C:C,"5v5",Tracking!AG:AG,"EXC")</f>
        <v>2</v>
      </c>
      <c r="AV20" s="5">
        <f>COUNTIFS(Tracking!AF:AF,A20&amp;C20,Tracking!C:C,"5v5",Tracking!AG:AG,"FEX")+COUNTIFS(Tracking!AI:AI,A20&amp;C20,Tracking!C:C,"5v5",Tracking!AJ:AJ,"FEX")</f>
        <v>2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1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0</v>
      </c>
      <c r="AY20" s="1">
        <f>COUNTIFS(Tracking!AA:AA,A20&amp;C20,Tracking!C:C,"5v5")</f>
        <v>6</v>
      </c>
      <c r="AZ20" s="1">
        <f>COUNTIFS(Tracking!AA:AA,A20&amp;C20,Tracking!C:C,"5v5",Tracking!Y:Y,"C")</f>
        <v>4</v>
      </c>
      <c r="BA20" s="1">
        <f>COUNTIFS(Tracking!AA:AA,A20&amp;C20,Tracking!C:C,"5v5",Tracking!Y:Y,"F")</f>
        <v>0</v>
      </c>
      <c r="BB20" s="1">
        <f>COUNTIFS(Tracking!AA:AA,A20&amp;C20,Tracking!C:C,"5v5",Tracking!AB:AB,"Y")</f>
        <v>0</v>
      </c>
      <c r="BC20" s="1">
        <f>COUNTIFS(Tracking!AA:AA,A20&amp;C20,Tracking!C:C,"5v5",Tracking!Y:Y,"C",Tracking!AE:AE,"Y")</f>
        <v>2</v>
      </c>
      <c r="BD20" s="1">
        <f>COUNTIFS(Tracking!AA:AA,A20&amp;C20,Tracking!C:C,"5v5",Tracking!Y:Y,"D",Tracking!AE:AE,"Y")</f>
        <v>0</v>
      </c>
      <c r="BE20" s="10">
        <f>COUNTIFS(Tracking!Z:Z,A20&amp;C20,Tracking!C:C,"5v4")</f>
        <v>1</v>
      </c>
      <c r="BF20" s="10">
        <f>COUNTIFS(Tracking!Z:Z,A20&amp;C20,Tracking!C:C,"5v4",Tracking!Y:Y,"C")</f>
        <v>1</v>
      </c>
      <c r="BG20" s="10">
        <f>COUNTIFS(Tracking!Z:Z,A20&amp;C20,Tracking!C:C,"5v4",Tracking!AB:AB,"Y")</f>
        <v>1</v>
      </c>
      <c r="BH20" s="10">
        <f>COUNTIFS(Tracking!Z:Z,A20&amp;C20,Tracking!C:C,"4v5")</f>
        <v>0</v>
      </c>
      <c r="BI20" s="10">
        <f>COUNTIFS(Tracking!AA:AA,A20&amp;C20,Tracking!C:C,"5v4",Tracking!Y:Y,"D")+COUNTIFS(Tracking!AA:AA,A20&amp;C20,Tracking!C:C,"5v4",Tracking!Y:Y,"F")</f>
        <v>0</v>
      </c>
      <c r="BJ20" s="10">
        <f>COUNTIFS(Tracking!E:E,A20,Tracking!D:D,C20,Tracking!C:C,"5v4")</f>
        <v>1</v>
      </c>
      <c r="BK20" s="10">
        <f>COUNTIFS(Tracking!G:G,A20,Tracking!D:D,C20,Tracking!C:C,"5v4")+COUNTIFS(Tracking!H:H,A20,Tracking!D:D,C20,Tracking!C:C,"5v4")+COUNTIFS(Tracking!I:I,A20,Tracking!D:D,C20,Tracking!C:C,"5v4")</f>
        <v>1</v>
      </c>
      <c r="BL20" s="10">
        <f>COUNTIFS(Tracking!G:G,A20,Tracking!D:D,C20,Tracking!C:C,"5v4")</f>
        <v>0</v>
      </c>
      <c r="BM20" s="10">
        <f>COUNTIFS(Tracking!E:E,A20,Tracking!D:D,C20,Tracking!C:C,"5v4",Tracking!M:M,"Y")</f>
        <v>0</v>
      </c>
      <c r="BN20" s="10">
        <f>COUNTIFS(Tracking!G:G,A20,Tracking!D:D,C20,Tracking!C:C,"5v4",Tracking!M:M,"Y")</f>
        <v>0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0</v>
      </c>
      <c r="BU20" s="12">
        <f>COUNTIFS(Tracking!G:G,A20,Tracking!D:D,C20,Tracking!C:C,"5v5",Tracking!F:F,"o")</f>
        <v>0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0</v>
      </c>
      <c r="BX20" s="12">
        <f>COUNTIFS(Tracking!E:E,A20,Tracking!D:D,C20,Tracking!C:C,"5v5",Tracking!Q:Q,"OZ")</f>
        <v>0</v>
      </c>
      <c r="BY20" s="12">
        <f>COUNTIFS(Tracking!E:E,A20,Tracking!D:D,C20,Tracking!C:C,"5v5",Tracking!Q:Q,"nZ")</f>
        <v>0</v>
      </c>
      <c r="BZ20" s="12">
        <f>COUNTIFS(Tracking!E:E,A20,Tracking!D:D,C20,Tracking!C:C,"5v5",Tracking!Q:Q,"dZ")</f>
        <v>0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1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0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0</v>
      </c>
      <c r="CD20" s="12">
        <f>COUNTIFS(Tracking!E:E,A20,Tracking!D:D,C20,Tracking!C:C,"5v5",Tracking!R:R,"dz exit")</f>
        <v>0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0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7.4999999999999997E-2</v>
      </c>
      <c r="CK20" s="2">
        <f t="shared" si="7"/>
        <v>5.5E-2</v>
      </c>
      <c r="CL20" s="2">
        <f t="shared" si="2"/>
        <v>0</v>
      </c>
      <c r="CM20" s="2">
        <f t="shared" si="9"/>
        <v>3.9999999999999994E-2</v>
      </c>
      <c r="CN20" s="2">
        <f t="shared" si="3"/>
        <v>-5.5000000000000007E-2</v>
      </c>
      <c r="CO20" s="2">
        <f t="shared" si="4"/>
        <v>0</v>
      </c>
      <c r="CP20" s="2">
        <f t="shared" si="5"/>
        <v>3.5000000000000003E-2</v>
      </c>
      <c r="CQ20" s="2">
        <f t="shared" si="6"/>
        <v>3.9999999999999994E-2</v>
      </c>
    </row>
    <row r="21" spans="1:95" x14ac:dyDescent="0.35">
      <c r="A21" s="8">
        <v>3</v>
      </c>
      <c r="B21" s="8" t="s">
        <v>255</v>
      </c>
      <c r="C21" s="8" t="s">
        <v>148</v>
      </c>
      <c r="D21" s="8" t="s">
        <v>189</v>
      </c>
      <c r="E21" s="8">
        <v>18.116666666667001</v>
      </c>
      <c r="F21" s="8" t="s">
        <v>130</v>
      </c>
      <c r="G21" s="19" t="s">
        <v>275</v>
      </c>
      <c r="H21" s="9">
        <f>COUNTIFS(Tracking!E:E,A21,Tracking!D:D,C21,Tracking!C:C,"5v5")</f>
        <v>3</v>
      </c>
      <c r="I21" s="9">
        <f>COUNTIFS(Tracking!E:E,A21,Tracking!D:D,C21,Tracking!N:N,"y",Tracking!C:C,"5v5")</f>
        <v>3</v>
      </c>
      <c r="J21" s="9">
        <f>COUNTIFS(Tracking!E:E,A21,Tracking!D:D,C21,Tracking!M:M,"y",Tracking!C:C,"5v5")</f>
        <v>0</v>
      </c>
      <c r="K21" s="9">
        <f t="shared" si="0"/>
        <v>4</v>
      </c>
      <c r="L21" s="9">
        <f>COUNTIFS(Tracking!G:G,A21,Tracking!D:D,C21,Tracking!C:C,"5v5")</f>
        <v>2</v>
      </c>
      <c r="M21" s="9">
        <f>COUNTIFS(Tracking!H:H,A21,Tracking!D:D,C21,Tracking!C:C,"5v5")</f>
        <v>2</v>
      </c>
      <c r="N21" s="9">
        <f>COUNTIFS(Tracking!I:I,A21,Tracking!D:D,C21,Tracking!C:C,"5v5")</f>
        <v>0</v>
      </c>
      <c r="O21" s="9">
        <f>COUNTIFS(Tracking!G:G,A21,Tracking!D:D,C21,Tracking!C:C,"5v5",Tracking!M:M,"y")</f>
        <v>1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0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0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0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0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0</v>
      </c>
      <c r="V21" s="9">
        <f>COUNTIFS(Tracking!E:E,A21,Tracking!D:D,C21,Tracking!C:C,"5v5",Tracking!P:P,"r")</f>
        <v>0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0</v>
      </c>
      <c r="X21" s="9">
        <f>COUNTIFS(Tracking!E:E,A21,Tracking!D:D,C21,Tracking!C:C,"5v5",Tracking!P:P,"f")</f>
        <v>2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3</v>
      </c>
      <c r="Z21" s="9">
        <f>COUNTIFS(Tracking!E:E,A21,Tracking!D:D,C21,Tracking!C:C,"5v5",Tracking!P:P,"c")</f>
        <v>0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1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0</v>
      </c>
      <c r="AC21" s="11">
        <f>COUNTIFS(Tracking!Z:Z,A21&amp;C21,Tracking!C:C,"5v5")-AE21</f>
        <v>4</v>
      </c>
      <c r="AD21" s="11">
        <f>COUNTIFS(Tracking!Z:Z,A21&amp;C21,Tracking!C:C,"5v5",Tracking!Y:Y,"C")</f>
        <v>0</v>
      </c>
      <c r="AE21" s="11">
        <f>COUNTIFS(Tracking!Z:Z,A21&amp;C21,Tracking!C:C,"5v5",Tracking!Y:Y,"F")</f>
        <v>0</v>
      </c>
      <c r="AF21" s="11">
        <f>COUNTIFS(Tracking!Z:Z,A21&amp;C21,Tracking!C:C,"5v5",Tracking!Y:Y,"C",Tracking!AB:AB,"Y")</f>
        <v>0</v>
      </c>
      <c r="AG21" s="11">
        <f>COUNTIFS(Tracking!AD:AD,A21&amp;C21,Tracking!C:C,"5v5")</f>
        <v>0</v>
      </c>
      <c r="AH21" s="11">
        <f>COUNTIFS(Tracking!Z:Z,A21&amp;C21,Tracking!C:C,"5v5",Tracking!Y:Y,"C",Tracking!AE:AE,"Y")</f>
        <v>0</v>
      </c>
      <c r="AI21" s="11">
        <f>COUNTIFS(Tracking!Z:Z,A21&amp;C21,Tracking!C:C,"5v5",Tracking!Y:Y,"D",Tracking!AE:AE,"Y")</f>
        <v>1</v>
      </c>
      <c r="AJ21" s="11">
        <f>COUNTIFS(Tracking!AH:AH,A21&amp;C21)</f>
        <v>1</v>
      </c>
      <c r="AK21" s="5">
        <f>COUNTIFS(Tracking!AI:AI,A21&amp;C21,Tracking!C:C,"5v5")+AL21</f>
        <v>4</v>
      </c>
      <c r="AL21" s="5">
        <f>COUNTIFS(Tracking!AF:AF,A21&amp;C21,Tracking!C:C,"5v5")-AT21</f>
        <v>3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2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1</v>
      </c>
      <c r="AO21" s="5">
        <f>COUNTIFS(Tracking!AF:AF,A21&amp;C21,Tracking!C:C,"5v5",Tracking!AG:AG,"CEX")+COUNTIFS(Tracking!AI:AI,A21&amp;C21,Tracking!C:C,"5v5",Tracking!AJ:AJ,"CEX")</f>
        <v>0</v>
      </c>
      <c r="AP21" s="5">
        <f>COUNTIFS(Tracking!AF:AF,A21&amp;C21,Tracking!C:C,"5v5",Tracking!AG:AG,"PEX")</f>
        <v>1</v>
      </c>
      <c r="AQ21" s="5">
        <f>COUNTIFS(Tracking!AF:AF,A21&amp;C21,Tracking!C:C,"5v5",Tracking!AG:AG,"CLE")+COUNTIFS(Tracking!AI:AI,A21&amp;C21,Tracking!C:C,"5v5",Tracking!AJ:AJ,"CLE")</f>
        <v>1</v>
      </c>
      <c r="AR21" s="5">
        <f>COUNTIFS(Tracking!AF:AF,A21&amp;C21,Tracking!C:C,"5v5",Tracking!AG:AG,"MEX")</f>
        <v>0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2</v>
      </c>
      <c r="AT21" s="5">
        <f>COUNTIFS(Tracking!AF:AF,A21&amp;C21,Tracking!C:C,"5v5",Tracking!AG:AG,"BOT")+COUNTIFS(Tracking!AF:AF,A21&amp;C21,Tracking!C:C,"5v5",Tracking!AG:AG,"FEX")</f>
        <v>3</v>
      </c>
      <c r="AU21" s="5">
        <f>COUNTIFS(Tracking!AF:AF,A21&amp;C21,Tracking!C:C,"5v5",Tracking!AG:AG,"EXC")</f>
        <v>1</v>
      </c>
      <c r="AV21" s="5">
        <f>COUNTIFS(Tracking!AF:AF,A21&amp;C21,Tracking!C:C,"5v5",Tracking!AG:AG,"FEX")+COUNTIFS(Tracking!AI:AI,A21&amp;C21,Tracking!C:C,"5v5",Tracking!AJ:AJ,"FEX")</f>
        <v>2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2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0</v>
      </c>
      <c r="AY21" s="1">
        <f>COUNTIFS(Tracking!AA:AA,A21&amp;C21,Tracking!C:C,"5v5")</f>
        <v>10</v>
      </c>
      <c r="AZ21" s="1">
        <f>COUNTIFS(Tracking!AA:AA,A21&amp;C21,Tracking!C:C,"5v5",Tracking!Y:Y,"C")</f>
        <v>8</v>
      </c>
      <c r="BA21" s="1">
        <f>COUNTIFS(Tracking!AA:AA,A21&amp;C21,Tracking!C:C,"5v5",Tracking!Y:Y,"F")</f>
        <v>2</v>
      </c>
      <c r="BB21" s="1">
        <f>COUNTIFS(Tracking!AA:AA,A21&amp;C21,Tracking!C:C,"5v5",Tracking!AB:AB,"Y")</f>
        <v>4</v>
      </c>
      <c r="BC21" s="1">
        <f>COUNTIFS(Tracking!AA:AA,A21&amp;C21,Tracking!C:C,"5v5",Tracking!Y:Y,"C",Tracking!AE:AE,"Y")</f>
        <v>3</v>
      </c>
      <c r="BD21" s="1">
        <f>COUNTIFS(Tracking!AA:AA,A21&amp;C21,Tracking!C:C,"5v5",Tracking!Y:Y,"D",Tracking!AE:AE,"Y")</f>
        <v>0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0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0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0</v>
      </c>
      <c r="BT21" s="12">
        <f>COUNTIFS(Tracking!E:E,A21,Tracking!D:D,C21,Tracking!C:C,"5v5",Tracking!F:F,"t")</f>
        <v>0</v>
      </c>
      <c r="BU21" s="12">
        <f>COUNTIFS(Tracking!G:G,A21,Tracking!D:D,C21,Tracking!C:C,"5v5",Tracking!F:F,"o")</f>
        <v>0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1</v>
      </c>
      <c r="BX21" s="12">
        <f>COUNTIFS(Tracking!E:E,A21,Tracking!D:D,C21,Tracking!C:C,"5v5",Tracking!Q:Q,"OZ")</f>
        <v>3</v>
      </c>
      <c r="BY21" s="12">
        <f>COUNTIFS(Tracking!E:E,A21,Tracking!D:D,C21,Tracking!C:C,"5v5",Tracking!Q:Q,"nZ")</f>
        <v>0</v>
      </c>
      <c r="BZ21" s="12">
        <f>COUNTIFS(Tracking!E:E,A21,Tracking!D:D,C21,Tracking!C:C,"5v5",Tracking!Q:Q,"dZ")</f>
        <v>0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4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0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0</v>
      </c>
      <c r="CD21" s="12">
        <f>COUNTIFS(Tracking!E:E,A21,Tracking!D:D,C21,Tracking!C:C,"5v5",Tracking!R:R,"dz exit")</f>
        <v>0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0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0</v>
      </c>
      <c r="CI21" s="12">
        <f>COUNTIFS(Tracking!E:E,A21,Tracking!D:D,C21,Tracking!C:C,"5v5",Tracking!R:R,"controlled breakout")</f>
        <v>0</v>
      </c>
      <c r="CJ21" s="2">
        <f t="shared" si="1"/>
        <v>0.59499999999999997</v>
      </c>
      <c r="CK21" s="2">
        <f t="shared" si="7"/>
        <v>0.56499999999999995</v>
      </c>
      <c r="CL21" s="2">
        <f t="shared" si="2"/>
        <v>3.5000000000000003E-2</v>
      </c>
      <c r="CM21" s="2">
        <f t="shared" si="9"/>
        <v>6.9999999999999993E-2</v>
      </c>
      <c r="CN21" s="2">
        <f t="shared" si="3"/>
        <v>-9.0000000000000011E-2</v>
      </c>
      <c r="CO21" s="2">
        <f t="shared" si="4"/>
        <v>1.4999999999999999E-2</v>
      </c>
      <c r="CP21" s="2">
        <f t="shared" si="5"/>
        <v>0</v>
      </c>
      <c r="CQ21" s="2">
        <f t="shared" si="6"/>
        <v>0.59499999999999997</v>
      </c>
    </row>
    <row r="22" spans="1:95" x14ac:dyDescent="0.35">
      <c r="A22" s="8">
        <v>28</v>
      </c>
      <c r="B22" s="8" t="s">
        <v>256</v>
      </c>
      <c r="C22" s="8" t="s">
        <v>148</v>
      </c>
      <c r="D22" s="8" t="s">
        <v>189</v>
      </c>
      <c r="E22" s="8">
        <v>17.516666666667</v>
      </c>
      <c r="F22" s="8" t="s">
        <v>130</v>
      </c>
      <c r="G22" s="19" t="s">
        <v>275</v>
      </c>
      <c r="H22" s="9">
        <f>COUNTIFS(Tracking!E:E,A22,Tracking!D:D,C22,Tracking!C:C,"5v5")</f>
        <v>1</v>
      </c>
      <c r="I22" s="9">
        <f>COUNTIFS(Tracking!E:E,A22,Tracking!D:D,C22,Tracking!N:N,"y",Tracking!C:C,"5v5")</f>
        <v>1</v>
      </c>
      <c r="J22" s="9">
        <f>COUNTIFS(Tracking!E:E,A22,Tracking!D:D,C22,Tracking!M:M,"y",Tracking!C:C,"5v5")</f>
        <v>0</v>
      </c>
      <c r="K22" s="9">
        <f t="shared" si="0"/>
        <v>4</v>
      </c>
      <c r="L22" s="9">
        <f>COUNTIFS(Tracking!G:G,A22,Tracking!D:D,C22,Tracking!C:C,"5v5")</f>
        <v>2</v>
      </c>
      <c r="M22" s="9">
        <f>COUNTIFS(Tracking!H:H,A22,Tracking!D:D,C22,Tracking!C:C,"5v5")</f>
        <v>2</v>
      </c>
      <c r="N22" s="9">
        <f>COUNTIFS(Tracking!I:I,A22,Tracking!D:D,C22,Tracking!C:C,"5v5")</f>
        <v>0</v>
      </c>
      <c r="O22" s="9">
        <f>COUNTIFS(Tracking!G:G,A22,Tracking!D:D,C22,Tracking!C:C,"5v5",Tracking!M:M,"y")</f>
        <v>2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0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0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2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0</v>
      </c>
      <c r="V22" s="9">
        <f>COUNTIFS(Tracking!E:E,A22,Tracking!D:D,C22,Tracking!C:C,"5v5",Tracking!P:P,"r")</f>
        <v>0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2</v>
      </c>
      <c r="X22" s="9">
        <f>COUNTIFS(Tracking!E:E,A22,Tracking!D:D,C22,Tracking!C:C,"5v5",Tracking!P:P,"f")</f>
        <v>1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2</v>
      </c>
      <c r="Z22" s="9">
        <f>COUNTIFS(Tracking!E:E,A22,Tracking!D:D,C22,Tracking!C:C,"5v5",Tracking!P:P,"c")</f>
        <v>0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0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1</v>
      </c>
      <c r="AD22" s="11">
        <f>COUNTIFS(Tracking!Z:Z,A22&amp;C22,Tracking!C:C,"5v5",Tracking!Y:Y,"C")</f>
        <v>1</v>
      </c>
      <c r="AE22" s="11">
        <f>COUNTIFS(Tracking!Z:Z,A22&amp;C22,Tracking!C:C,"5v5",Tracking!Y:Y,"F")</f>
        <v>0</v>
      </c>
      <c r="AF22" s="11">
        <f>COUNTIFS(Tracking!Z:Z,A22&amp;C22,Tracking!C:C,"5v5",Tracking!Y:Y,"C",Tracking!AB:AB,"Y")</f>
        <v>1</v>
      </c>
      <c r="AG22" s="11">
        <f>COUNTIFS(Tracking!AD:AD,A22&amp;C22,Tracking!C:C,"5v5")</f>
        <v>0</v>
      </c>
      <c r="AH22" s="11">
        <f>COUNTIFS(Tracking!Z:Z,A22&amp;C22,Tracking!C:C,"5v5",Tracking!Y:Y,"C",Tracking!AE:AE,"Y")</f>
        <v>0</v>
      </c>
      <c r="AI22" s="11">
        <f>COUNTIFS(Tracking!Z:Z,A22&amp;C22,Tracking!C:C,"5v5",Tracking!Y:Y,"D",Tracking!AE:AE,"Y")</f>
        <v>0</v>
      </c>
      <c r="AJ22" s="11">
        <f>COUNTIFS(Tracking!AH:AH,A22&amp;C22)</f>
        <v>0</v>
      </c>
      <c r="AK22" s="5">
        <f>COUNTIFS(Tracking!AI:AI,A22&amp;C22,Tracking!C:C,"5v5")+AL22</f>
        <v>5</v>
      </c>
      <c r="AL22" s="5">
        <f>COUNTIFS(Tracking!AF:AF,A22&amp;C22,Tracking!C:C,"5v5")-AT22</f>
        <v>5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0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0</v>
      </c>
      <c r="AO22" s="5">
        <f>COUNTIFS(Tracking!AF:AF,A22&amp;C22,Tracking!C:C,"5v5",Tracking!AG:AG,"CEX")+COUNTIFS(Tracking!AI:AI,A22&amp;C22,Tracking!C:C,"5v5",Tracking!AJ:AJ,"CEX")</f>
        <v>0</v>
      </c>
      <c r="AP22" s="5">
        <f>COUNTIFS(Tracking!AF:AF,A22&amp;C22,Tracking!C:C,"5v5",Tracking!AG:AG,"PEX")</f>
        <v>0</v>
      </c>
      <c r="AQ22" s="5">
        <f>COUNTIFS(Tracking!AF:AF,A22&amp;C22,Tracking!C:C,"5v5",Tracking!AG:AG,"CLE")+COUNTIFS(Tracking!AI:AI,A22&amp;C22,Tracking!C:C,"5v5",Tracking!AJ:AJ,"CLE")</f>
        <v>0</v>
      </c>
      <c r="AR22" s="5">
        <f>COUNTIFS(Tracking!AF:AF,A22&amp;C22,Tracking!C:C,"5v5",Tracking!AG:AG,"MEX")</f>
        <v>0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1</v>
      </c>
      <c r="AT22" s="5">
        <f>COUNTIFS(Tracking!AF:AF,A22&amp;C22,Tracking!C:C,"5v5",Tracking!AG:AG,"BOT")+COUNTIFS(Tracking!AF:AF,A22&amp;C22,Tracking!C:C,"5v5",Tracking!AG:AG,"FEX")</f>
        <v>1</v>
      </c>
      <c r="AU22" s="5">
        <f>COUNTIFS(Tracking!AF:AF,A22&amp;C22,Tracking!C:C,"5v5",Tracking!AG:AG,"EXC")</f>
        <v>5</v>
      </c>
      <c r="AV22" s="5">
        <f>COUNTIFS(Tracking!AF:AF,A22&amp;C22,Tracking!C:C,"5v5",Tracking!AG:AG,"FEX")+COUNTIFS(Tracking!AI:AI,A22&amp;C22,Tracking!C:C,"5v5",Tracking!AJ:AJ,"FEX")</f>
        <v>0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0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0</v>
      </c>
      <c r="AY22" s="1">
        <f>COUNTIFS(Tracking!AA:AA,A22&amp;C22,Tracking!C:C,"5v5")</f>
        <v>6</v>
      </c>
      <c r="AZ22" s="1">
        <f>COUNTIFS(Tracking!AA:AA,A22&amp;C22,Tracking!C:C,"5v5",Tracking!Y:Y,"C")</f>
        <v>4</v>
      </c>
      <c r="BA22" s="1">
        <f>COUNTIFS(Tracking!AA:AA,A22&amp;C22,Tracking!C:C,"5v5",Tracking!Y:Y,"F")</f>
        <v>1</v>
      </c>
      <c r="BB22" s="1">
        <f>COUNTIFS(Tracking!AA:AA,A22&amp;C22,Tracking!C:C,"5v5",Tracking!AB:AB,"Y")</f>
        <v>3</v>
      </c>
      <c r="BC22" s="1">
        <f>COUNTIFS(Tracking!AA:AA,A22&amp;C22,Tracking!C:C,"5v5",Tracking!Y:Y,"C",Tracking!AE:AE,"Y")</f>
        <v>2</v>
      </c>
      <c r="BD22" s="1">
        <f>COUNTIFS(Tracking!AA:AA,A22&amp;C22,Tracking!C:C,"5v5",Tracking!Y:Y,"D",Tracking!AE:AE,"Y")</f>
        <v>0</v>
      </c>
      <c r="BE22" s="10">
        <f>COUNTIFS(Tracking!Z:Z,A22&amp;C22,Tracking!C:C,"5v4")</f>
        <v>0</v>
      </c>
      <c r="BF22" s="10">
        <f>COUNTIFS(Tracking!Z:Z,A22&amp;C22,Tracking!C:C,"5v4",Tracking!Y:Y,"C")</f>
        <v>0</v>
      </c>
      <c r="BG22" s="10">
        <f>COUNTIFS(Tracking!Z:Z,A22&amp;C22,Tracking!C:C,"5v4",Tracking!AB:AB,"Y")</f>
        <v>0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0</v>
      </c>
      <c r="BK22" s="10">
        <f>COUNTIFS(Tracking!G:G,A22,Tracking!D:D,C22,Tracking!C:C,"5v4")+COUNTIFS(Tracking!H:H,A22,Tracking!D:D,C22,Tracking!C:C,"5v4")+COUNTIFS(Tracking!I:I,A22,Tracking!D:D,C22,Tracking!C:C,"5v4")</f>
        <v>0</v>
      </c>
      <c r="BL22" s="10">
        <f>COUNTIFS(Tracking!G:G,A22,Tracking!D:D,C22,Tracking!C:C,"5v4")</f>
        <v>0</v>
      </c>
      <c r="BM22" s="10">
        <f>COUNTIFS(Tracking!E:E,A22,Tracking!D:D,C22,Tracking!C:C,"5v4",Tracking!M:M,"Y")</f>
        <v>0</v>
      </c>
      <c r="BN22" s="10">
        <f>COUNTIFS(Tracking!G:G,A22,Tracking!D:D,C22,Tracking!C:C,"5v4",Tracking!M:M,"Y")</f>
        <v>0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0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0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0</v>
      </c>
      <c r="BU22" s="12">
        <f>COUNTIFS(Tracking!G:G,A22,Tracking!D:D,C22,Tracking!C:C,"5v5",Tracking!F:F,"o")</f>
        <v>1</v>
      </c>
      <c r="BV22" s="12">
        <f>COUNTIFS(Tracking!E:E,A21,Tracking!D:D,C22,Tracking!C:C,"5v5",Tracking!F:F,"r")</f>
        <v>0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1</v>
      </c>
      <c r="BY22" s="12">
        <f>COUNTIFS(Tracking!E:E,A22,Tracking!D:D,C22,Tracking!C:C,"5v5",Tracking!Q:Q,"nZ")</f>
        <v>0</v>
      </c>
      <c r="BZ22" s="12">
        <f>COUNTIFS(Tracking!E:E,A22,Tracking!D:D,C22,Tracking!C:C,"5v5",Tracking!Q:Q,"dZ")</f>
        <v>0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2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2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0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0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0</v>
      </c>
      <c r="CH22" s="12">
        <f>COUNTIFS(Tracking!E:E,A22,Tracking!D:D,C22,Tracking!C:C,"5v5",Tracking!R:R,"nz reload")</f>
        <v>0</v>
      </c>
      <c r="CI22" s="12">
        <f>COUNTIFS(Tracking!E:E,A22,Tracking!D:D,C22,Tracking!C:C,"5v5",Tracking!R:R,"controlled breakout")</f>
        <v>0</v>
      </c>
      <c r="CJ22" s="2">
        <f t="shared" si="1"/>
        <v>0.57000000000000006</v>
      </c>
      <c r="CK22" s="2">
        <f t="shared" si="7"/>
        <v>0.505</v>
      </c>
      <c r="CL22" s="2">
        <f t="shared" si="2"/>
        <v>4.4999999999999998E-2</v>
      </c>
      <c r="CM22" s="2">
        <f t="shared" si="9"/>
        <v>0.03</v>
      </c>
      <c r="CN22" s="2">
        <f t="shared" si="3"/>
        <v>-1.0000000000000002E-2</v>
      </c>
      <c r="CO22" s="2">
        <f t="shared" si="4"/>
        <v>0</v>
      </c>
      <c r="CP22" s="2">
        <f t="shared" si="5"/>
        <v>0</v>
      </c>
      <c r="CQ22" s="2">
        <f t="shared" si="6"/>
        <v>0.57000000000000006</v>
      </c>
    </row>
    <row r="23" spans="1:95" x14ac:dyDescent="0.35">
      <c r="A23" s="8">
        <v>27</v>
      </c>
      <c r="B23" s="8" t="s">
        <v>257</v>
      </c>
      <c r="C23" s="8" t="s">
        <v>148</v>
      </c>
      <c r="D23" s="8" t="s">
        <v>192</v>
      </c>
      <c r="E23" s="8">
        <v>12.783333333332999</v>
      </c>
      <c r="F23" s="8" t="s">
        <v>130</v>
      </c>
      <c r="G23" s="19" t="s">
        <v>275</v>
      </c>
      <c r="H23" s="9">
        <f>COUNTIFS(Tracking!E:E,A23,Tracking!D:D,C23,Tracking!C:C,"5v5")</f>
        <v>4</v>
      </c>
      <c r="I23" s="9">
        <f>COUNTIFS(Tracking!E:E,A23,Tracking!D:D,C23,Tracking!N:N,"y",Tracking!C:C,"5v5")</f>
        <v>4</v>
      </c>
      <c r="J23" s="9">
        <f>COUNTIFS(Tracking!E:E,A23,Tracking!D:D,C23,Tracking!M:M,"y",Tracking!C:C,"5v5")</f>
        <v>2</v>
      </c>
      <c r="K23" s="9">
        <f t="shared" si="0"/>
        <v>4</v>
      </c>
      <c r="L23" s="9">
        <f>COUNTIFS(Tracking!G:G,A23,Tracking!D:D,C23,Tracking!C:C,"5v5")</f>
        <v>3</v>
      </c>
      <c r="M23" s="9">
        <f>COUNTIFS(Tracking!H:H,A23,Tracking!D:D,C23,Tracking!C:C,"5v5")</f>
        <v>1</v>
      </c>
      <c r="N23" s="9">
        <f>COUNTIFS(Tracking!I:I,A23,Tracking!D:D,C23,Tracking!C:C,"5v5")</f>
        <v>0</v>
      </c>
      <c r="O23" s="9">
        <f>COUNTIFS(Tracking!G:G,A23,Tracking!D:D,C23,Tracking!C:C,"5v5",Tracking!M:M,"y")</f>
        <v>1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0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3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0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0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0</v>
      </c>
      <c r="V23" s="9">
        <f>COUNTIFS(Tracking!E:E,A23,Tracking!D:D,C23,Tracking!C:C,"5v5",Tracking!P:P,"r")</f>
        <v>2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0</v>
      </c>
      <c r="X23" s="9">
        <f>COUNTIFS(Tracking!E:E,A23,Tracking!D:D,C23,Tracking!C:C,"5v5",Tracking!P:P,"f")</f>
        <v>1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4</v>
      </c>
      <c r="Z23" s="9">
        <f>COUNTIFS(Tracking!E:E,A23,Tracking!D:D,C23,Tracking!C:C,"5v5",Tracking!P:P,"c")</f>
        <v>0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1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7</v>
      </c>
      <c r="AD23" s="11">
        <f>COUNTIFS(Tracking!Z:Z,A23&amp;C23,Tracking!C:C,"5v5",Tracking!Y:Y,"C")</f>
        <v>2</v>
      </c>
      <c r="AE23" s="11">
        <f>COUNTIFS(Tracking!Z:Z,A23&amp;C23,Tracking!C:C,"5v5",Tracking!Y:Y,"F")</f>
        <v>0</v>
      </c>
      <c r="AF23" s="11">
        <f>COUNTIFS(Tracking!Z:Z,A23&amp;C23,Tracking!C:C,"5v5",Tracking!Y:Y,"C",Tracking!AB:AB,"Y")</f>
        <v>0</v>
      </c>
      <c r="AG23" s="11">
        <f>COUNTIFS(Tracking!AD:AD,A23&amp;C23,Tracking!C:C,"5v5")</f>
        <v>1</v>
      </c>
      <c r="AH23" s="11">
        <f>COUNTIFS(Tracking!Z:Z,A23&amp;C23,Tracking!C:C,"5v5",Tracking!Y:Y,"C",Tracking!AE:AE,"Y")</f>
        <v>1</v>
      </c>
      <c r="AI23" s="11">
        <f>COUNTIFS(Tracking!Z:Z,A23&amp;C23,Tracking!C:C,"5v5",Tracking!Y:Y,"D",Tracking!AE:AE,"Y")</f>
        <v>0</v>
      </c>
      <c r="AJ23" s="11">
        <f>COUNTIFS(Tracking!AH:AH,A23&amp;C23)</f>
        <v>3</v>
      </c>
      <c r="AK23" s="5">
        <f>COUNTIFS(Tracking!AI:AI,A23&amp;C23,Tracking!C:C,"5v5")+AL23</f>
        <v>2</v>
      </c>
      <c r="AL23" s="5">
        <f>COUNTIFS(Tracking!AF:AF,A23&amp;C23,Tracking!C:C,"5v5")-AT23</f>
        <v>0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2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0</v>
      </c>
      <c r="AO23" s="5">
        <f>COUNTIFS(Tracking!AF:AF,A23&amp;C23,Tracking!C:C,"5v5",Tracking!AG:AG,"CEX")+COUNTIFS(Tracking!AI:AI,A23&amp;C23,Tracking!C:C,"5v5",Tracking!AJ:AJ,"CEX")</f>
        <v>0</v>
      </c>
      <c r="AP23" s="5">
        <f>COUNTIFS(Tracking!AF:AF,A23&amp;C23,Tracking!C:C,"5v5",Tracking!AG:AG,"PEX")</f>
        <v>0</v>
      </c>
      <c r="AQ23" s="5">
        <f>COUNTIFS(Tracking!AF:AF,A23&amp;C23,Tracking!C:C,"5v5",Tracking!AG:AG,"CLE")+COUNTIFS(Tracking!AI:AI,A23&amp;C23,Tracking!C:C,"5v5",Tracking!AJ:AJ,"CLE")</f>
        <v>2</v>
      </c>
      <c r="AR23" s="5">
        <f>COUNTIFS(Tracking!AF:AF,A23&amp;C23,Tracking!C:C,"5v5",Tracking!AG:AG,"MEX")</f>
        <v>0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0</v>
      </c>
      <c r="AT23" s="5">
        <f>COUNTIFS(Tracking!AF:AF,A23&amp;C23,Tracking!C:C,"5v5",Tracking!AG:AG,"BOT")+COUNTIFS(Tracking!AF:AF,A23&amp;C23,Tracking!C:C,"5v5",Tracking!AG:AG,"FEX")</f>
        <v>0</v>
      </c>
      <c r="AU23" s="5">
        <f>COUNTIFS(Tracking!AF:AF,A23&amp;C23,Tracking!C:C,"5v5",Tracking!AG:AG,"EXC")</f>
        <v>0</v>
      </c>
      <c r="AV23" s="5">
        <f>COUNTIFS(Tracking!AF:AF,A23&amp;C23,Tracking!C:C,"5v5",Tracking!AG:AG,"FEX")+COUNTIFS(Tracking!AI:AI,A23&amp;C23,Tracking!C:C,"5v5",Tracking!AJ:AJ,"FEX")</f>
        <v>0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0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2</v>
      </c>
      <c r="AY23" s="1">
        <f>COUNTIFS(Tracking!AA:AA,A23&amp;C23,Tracking!C:C,"5v5")</f>
        <v>0</v>
      </c>
      <c r="AZ23" s="1">
        <f>COUNTIFS(Tracking!AA:AA,A23&amp;C23,Tracking!C:C,"5v5",Tracking!Y:Y,"C")</f>
        <v>0</v>
      </c>
      <c r="BA23" s="1">
        <f>COUNTIFS(Tracking!AA:AA,A23&amp;C23,Tracking!C:C,"5v5",Tracking!Y:Y,"F")</f>
        <v>0</v>
      </c>
      <c r="BB23" s="1">
        <f>COUNTIFS(Tracking!AA:AA,A23&amp;C23,Tracking!C:C,"5v5",Tracking!AB:AB,"Y")</f>
        <v>0</v>
      </c>
      <c r="BC23" s="1">
        <f>COUNTIFS(Tracking!AA:AA,A23&amp;C23,Tracking!C:C,"5v5",Tracking!Y:Y,"C",Tracking!AE:AE,"Y")</f>
        <v>0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0</v>
      </c>
      <c r="BF23" s="10">
        <f>COUNTIFS(Tracking!Z:Z,A23&amp;C23,Tracking!C:C,"5v4",Tracking!Y:Y,"C")</f>
        <v>0</v>
      </c>
      <c r="BG23" s="10">
        <f>COUNTIFS(Tracking!Z:Z,A23&amp;C23,Tracking!C:C,"5v4",Tracking!AB:AB,"Y")</f>
        <v>0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0</v>
      </c>
      <c r="BJ23" s="10">
        <f>COUNTIFS(Tracking!E:E,A23,Tracking!D:D,C23,Tracking!C:C,"5v4")</f>
        <v>0</v>
      </c>
      <c r="BK23" s="10">
        <f>COUNTIFS(Tracking!G:G,A23,Tracking!D:D,C23,Tracking!C:C,"5v4")+COUNTIFS(Tracking!H:H,A23,Tracking!D:D,C23,Tracking!C:C,"5v4")+COUNTIFS(Tracking!I:I,A23,Tracking!D:D,C23,Tracking!C:C,"5v4")</f>
        <v>0</v>
      </c>
      <c r="BL23" s="10">
        <f>COUNTIFS(Tracking!G:G,A23,Tracking!D:D,C23,Tracking!C:C,"5v4")</f>
        <v>0</v>
      </c>
      <c r="BM23" s="10">
        <f>COUNTIFS(Tracking!E:E,A23,Tracking!D:D,C23,Tracking!C:C,"5v4",Tracking!M:M,"Y")</f>
        <v>0</v>
      </c>
      <c r="BN23" s="10">
        <f>COUNTIFS(Tracking!G:G,A23,Tracking!D:D,C23,Tracking!C:C,"5v4",Tracking!M:M,"Y")</f>
        <v>0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1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0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2</v>
      </c>
      <c r="BY23" s="12">
        <f>COUNTIFS(Tracking!E:E,A23,Tracking!D:D,C23,Tracking!C:C,"5v5",Tracking!Q:Q,"nZ")</f>
        <v>1</v>
      </c>
      <c r="BZ23" s="12">
        <f>COUNTIFS(Tracking!E:E,A23,Tracking!D:D,C23,Tracking!C:C,"5v5",Tracking!Q:Q,"dZ")</f>
        <v>1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4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0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0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1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1</v>
      </c>
      <c r="CH23" s="12">
        <f>COUNTIFS(Tracking!E:E,A23,Tracking!D:D,C23,Tracking!C:C,"5v5",Tracking!R:R,"nz reload")</f>
        <v>0</v>
      </c>
      <c r="CI23" s="12">
        <f>COUNTIFS(Tracking!E:E,A23,Tracking!D:D,C23,Tracking!C:C,"5v5",Tracking!R:R,"controlled breakout")</f>
        <v>0</v>
      </c>
      <c r="CJ23" s="2">
        <f t="shared" si="1"/>
        <v>1.08</v>
      </c>
      <c r="CK23" s="2">
        <f t="shared" si="7"/>
        <v>0.84500000000000008</v>
      </c>
      <c r="CL23" s="2">
        <f t="shared" si="2"/>
        <v>0.14499999999999999</v>
      </c>
      <c r="CM23" s="2">
        <f t="shared" si="9"/>
        <v>0</v>
      </c>
      <c r="CN23" s="2">
        <f t="shared" si="3"/>
        <v>0</v>
      </c>
      <c r="CO23" s="2">
        <f t="shared" si="4"/>
        <v>0.09</v>
      </c>
      <c r="CP23" s="2">
        <f t="shared" si="5"/>
        <v>0</v>
      </c>
      <c r="CQ23" s="2">
        <f t="shared" si="6"/>
        <v>1.08</v>
      </c>
    </row>
    <row r="24" spans="1:95" x14ac:dyDescent="0.35">
      <c r="A24" s="8">
        <v>11</v>
      </c>
      <c r="B24" s="8" t="s">
        <v>258</v>
      </c>
      <c r="C24" s="8" t="s">
        <v>148</v>
      </c>
      <c r="D24" s="8" t="s">
        <v>192</v>
      </c>
      <c r="E24" s="8">
        <v>12.65</v>
      </c>
      <c r="F24" s="8" t="s">
        <v>130</v>
      </c>
      <c r="G24" s="19" t="s">
        <v>275</v>
      </c>
      <c r="H24" s="9">
        <f>COUNTIFS(Tracking!E:E,A24,Tracking!D:D,C24,Tracking!C:C,"5v5")</f>
        <v>3</v>
      </c>
      <c r="I24" s="9">
        <f>COUNTIFS(Tracking!E:E,A24,Tracking!D:D,C24,Tracking!N:N,"y",Tracking!C:C,"5v5")</f>
        <v>3</v>
      </c>
      <c r="J24" s="9">
        <f>COUNTIFS(Tracking!E:E,A24,Tracking!D:D,C24,Tracking!M:M,"y",Tracking!C:C,"5v5")</f>
        <v>3</v>
      </c>
      <c r="K24" s="9">
        <f t="shared" si="0"/>
        <v>5</v>
      </c>
      <c r="L24" s="9">
        <f>COUNTIFS(Tracking!G:G,A24,Tracking!D:D,C24,Tracking!C:C,"5v5")</f>
        <v>3</v>
      </c>
      <c r="M24" s="9">
        <f>COUNTIFS(Tracking!H:H,A24,Tracking!D:D,C24,Tracking!C:C,"5v5")</f>
        <v>0</v>
      </c>
      <c r="N24" s="9">
        <f>COUNTIFS(Tracking!I:I,A24,Tracking!D:D,C24,Tracking!C:C,"5v5")</f>
        <v>2</v>
      </c>
      <c r="O24" s="9">
        <f>COUNTIFS(Tracking!G:G,A24,Tracking!D:D,C24,Tracking!C:C,"5v5",Tracking!M:M,"y")</f>
        <v>2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1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0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0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1</v>
      </c>
      <c r="V24" s="9">
        <f>COUNTIFS(Tracking!E:E,A24,Tracking!D:D,C24,Tracking!C:C,"5v5",Tracking!P:P,"r")</f>
        <v>1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2</v>
      </c>
      <c r="X24" s="9">
        <f>COUNTIFS(Tracking!E:E,A24,Tracking!D:D,C24,Tracking!C:C,"5v5",Tracking!P:P,"f")</f>
        <v>1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1</v>
      </c>
      <c r="Z24" s="9">
        <f>COUNTIFS(Tracking!E:E,A24,Tracking!D:D,C24,Tracking!C:C,"5v5",Tracking!P:P,"c")</f>
        <v>0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3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0</v>
      </c>
      <c r="AC24" s="11">
        <f>COUNTIFS(Tracking!Z:Z,A24&amp;C24,Tracking!C:C,"5v5")-AE24</f>
        <v>4</v>
      </c>
      <c r="AD24" s="11">
        <f>COUNTIFS(Tracking!Z:Z,A24&amp;C24,Tracking!C:C,"5v5",Tracking!Y:Y,"C")</f>
        <v>0</v>
      </c>
      <c r="AE24" s="11">
        <f>COUNTIFS(Tracking!Z:Z,A24&amp;C24,Tracking!C:C,"5v5",Tracking!Y:Y,"F")</f>
        <v>0</v>
      </c>
      <c r="AF24" s="11">
        <f>COUNTIFS(Tracking!Z:Z,A24&amp;C24,Tracking!C:C,"5v5",Tracking!Y:Y,"C",Tracking!AB:AB,"Y")</f>
        <v>0</v>
      </c>
      <c r="AG24" s="11">
        <f>COUNTIFS(Tracking!AD:AD,A24&amp;C24,Tracking!C:C,"5v5")</f>
        <v>1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0</v>
      </c>
      <c r="AJ24" s="11">
        <f>COUNTIFS(Tracking!AH:AH,A24&amp;C24)</f>
        <v>1</v>
      </c>
      <c r="AK24" s="5">
        <f>COUNTIFS(Tracking!AI:AI,A24&amp;C24,Tracking!C:C,"5v5")+AL24</f>
        <v>5</v>
      </c>
      <c r="AL24" s="5">
        <f>COUNTIFS(Tracking!AF:AF,A24&amp;C24,Tracking!C:C,"5v5")-AT24</f>
        <v>2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3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2</v>
      </c>
      <c r="AO24" s="5">
        <f>COUNTIFS(Tracking!AF:AF,A24&amp;C24,Tracking!C:C,"5v5",Tracking!AG:AG,"CEX")+COUNTIFS(Tracking!AI:AI,A24&amp;C24,Tracking!C:C,"5v5",Tracking!AJ:AJ,"CEX")</f>
        <v>1</v>
      </c>
      <c r="AP24" s="5">
        <f>COUNTIFS(Tracking!AF:AF,A24&amp;C24,Tracking!C:C,"5v5",Tracking!AG:AG,"PEX")</f>
        <v>0</v>
      </c>
      <c r="AQ24" s="5">
        <f>COUNTIFS(Tracking!AF:AF,A24&amp;C24,Tracking!C:C,"5v5",Tracking!AG:AG,"CLE")+COUNTIFS(Tracking!AI:AI,A24&amp;C24,Tracking!C:C,"5v5",Tracking!AJ:AJ,"CLE")</f>
        <v>1</v>
      </c>
      <c r="AR24" s="5">
        <f>COUNTIFS(Tracking!AF:AF,A24&amp;C24,Tracking!C:C,"5v5",Tracking!AG:AG,"MEX")</f>
        <v>0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2</v>
      </c>
      <c r="AT24" s="5">
        <f>COUNTIFS(Tracking!AF:AF,A24&amp;C24,Tracking!C:C,"5v5",Tracking!AG:AG,"BOT")+COUNTIFS(Tracking!AF:AF,A24&amp;C24,Tracking!C:C,"5v5",Tracking!AG:AG,"FEX")</f>
        <v>0</v>
      </c>
      <c r="AU24" s="5">
        <f>COUNTIFS(Tracking!AF:AF,A24&amp;C24,Tracking!C:C,"5v5",Tracking!AG:AG,"EXC")</f>
        <v>1</v>
      </c>
      <c r="AV24" s="5">
        <f>COUNTIFS(Tracking!AF:AF,A24&amp;C24,Tracking!C:C,"5v5",Tracking!AG:AG,"FEX")+COUNTIFS(Tracking!AI:AI,A24&amp;C24,Tracking!C:C,"5v5",Tracking!AJ:AJ,"FEX")</f>
        <v>0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1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2</v>
      </c>
      <c r="AY24" s="1">
        <f>COUNTIFS(Tracking!AA:AA,A24&amp;C24,Tracking!C:C,"5v5")</f>
        <v>1</v>
      </c>
      <c r="AZ24" s="1">
        <f>COUNTIFS(Tracking!AA:AA,A24&amp;C24,Tracking!C:C,"5v5",Tracking!Y:Y,"C")</f>
        <v>1</v>
      </c>
      <c r="BA24" s="1">
        <f>COUNTIFS(Tracking!AA:AA,A24&amp;C24,Tracking!C:C,"5v5",Tracking!Y:Y,"F")</f>
        <v>0</v>
      </c>
      <c r="BB24" s="1">
        <f>COUNTIFS(Tracking!AA:AA,A24&amp;C24,Tracking!C:C,"5v5",Tracking!AB:AB,"Y")</f>
        <v>1</v>
      </c>
      <c r="BC24" s="1">
        <f>COUNTIFS(Tracking!AA:AA,A24&amp;C24,Tracking!C:C,"5v5",Tracking!Y:Y,"C",Tracking!AE:AE,"Y")</f>
        <v>1</v>
      </c>
      <c r="BD24" s="1">
        <f>COUNTIFS(Tracking!AA:AA,A24&amp;C24,Tracking!C:C,"5v5",Tracking!Y:Y,"D",Tracking!AE:AE,"Y")</f>
        <v>0</v>
      </c>
      <c r="BE24" s="10">
        <f>COUNTIFS(Tracking!Z:Z,A24&amp;C24,Tracking!C:C,"5v4")</f>
        <v>0</v>
      </c>
      <c r="BF24" s="10">
        <f>COUNTIFS(Tracking!Z:Z,A24&amp;C24,Tracking!C:C,"5v4",Tracking!Y:Y,"C")</f>
        <v>0</v>
      </c>
      <c r="BG24" s="10">
        <f>COUNTIFS(Tracking!Z:Z,A24&amp;C24,Tracking!C:C,"5v4",Tracking!AB:AB,"Y")</f>
        <v>0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2</v>
      </c>
      <c r="BK24" s="10">
        <f>COUNTIFS(Tracking!G:G,A24,Tracking!D:D,C24,Tracking!C:C,"5v4")+COUNTIFS(Tracking!H:H,A24,Tracking!D:D,C24,Tracking!C:C,"5v4")+COUNTIFS(Tracking!I:I,A24,Tracking!D:D,C24,Tracking!C:C,"5v4")</f>
        <v>0</v>
      </c>
      <c r="BL24" s="10">
        <f>COUNTIFS(Tracking!G:G,A24,Tracking!D:D,C24,Tracking!C:C,"5v4")</f>
        <v>0</v>
      </c>
      <c r="BM24" s="10">
        <f>COUNTIFS(Tracking!E:E,A24,Tracking!D:D,C24,Tracking!C:C,"5v4",Tracking!M:M,"Y")</f>
        <v>1</v>
      </c>
      <c r="BN24" s="10">
        <f>COUNTIFS(Tracking!G:G,A24,Tracking!D:D,C24,Tracking!C:C,"5v4",Tracking!M:M,"Y")</f>
        <v>0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0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0</v>
      </c>
      <c r="BS24" s="12">
        <f>COUNTIFS(Tracking!E:E,A24,Tracking!D:D,C24,Tracking!C:C,"5v5",Tracking!F:F,"r")</f>
        <v>2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2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0</v>
      </c>
      <c r="BX24" s="12">
        <f>COUNTIFS(Tracking!E:E,A24,Tracking!D:D,C24,Tracking!C:C,"5v5",Tracking!Q:Q,"OZ")</f>
        <v>2</v>
      </c>
      <c r="BY24" s="12">
        <f>COUNTIFS(Tracking!E:E,A24,Tracking!D:D,C24,Tracking!C:C,"5v5",Tracking!Q:Q,"nZ")</f>
        <v>0</v>
      </c>
      <c r="BZ24" s="12">
        <f>COUNTIFS(Tracking!E:E,A24,Tracking!D:D,C24,Tracking!C:C,"5v5",Tracking!Q:Q,"dZ")</f>
        <v>1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3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0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2</v>
      </c>
      <c r="CD24" s="12">
        <f>COUNTIFS(Tracking!E:E,A24,Tracking!D:D,C24,Tracking!C:C,"5v5",Tracking!R:R,"dz exit")</f>
        <v>1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0</v>
      </c>
      <c r="CG24" s="12">
        <f>COUNTIFS(Tracking!E:E,A24,Tracking!D:D,C24,Tracking!C:C,"5v5",Tracking!R:R,"nz regroup")</f>
        <v>0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0</v>
      </c>
      <c r="CJ24" s="2">
        <f t="shared" si="1"/>
        <v>1.2550000000000001</v>
      </c>
      <c r="CK24" s="2">
        <f t="shared" si="7"/>
        <v>1.06</v>
      </c>
      <c r="CL24" s="2">
        <f t="shared" si="2"/>
        <v>0</v>
      </c>
      <c r="CM24" s="2">
        <f t="shared" si="9"/>
        <v>-0.04</v>
      </c>
      <c r="CN24" s="2">
        <f t="shared" si="3"/>
        <v>0.12000000000000001</v>
      </c>
      <c r="CO24" s="2">
        <f t="shared" si="4"/>
        <v>0.06</v>
      </c>
      <c r="CP24" s="2">
        <f t="shared" si="5"/>
        <v>5.5E-2</v>
      </c>
      <c r="CQ24" s="2">
        <f t="shared" si="6"/>
        <v>1.2000000000000002</v>
      </c>
    </row>
    <row r="25" spans="1:95" x14ac:dyDescent="0.35">
      <c r="A25" s="8">
        <v>14</v>
      </c>
      <c r="B25" s="8" t="s">
        <v>259</v>
      </c>
      <c r="C25" s="8" t="s">
        <v>148</v>
      </c>
      <c r="D25" s="8" t="s">
        <v>196</v>
      </c>
      <c r="E25" s="8">
        <v>13.983333333333</v>
      </c>
      <c r="F25" s="8" t="s">
        <v>130</v>
      </c>
      <c r="G25" s="19" t="s">
        <v>275</v>
      </c>
      <c r="H25" s="9">
        <f>COUNTIFS(Tracking!E:E,A25,Tracking!D:D,C25,Tracking!C:C,"5v5")</f>
        <v>6</v>
      </c>
      <c r="I25" s="9">
        <f>COUNTIFS(Tracking!E:E,A25,Tracking!D:D,C25,Tracking!N:N,"y",Tracking!C:C,"5v5")</f>
        <v>5</v>
      </c>
      <c r="J25" s="9">
        <f>COUNTIFS(Tracking!E:E,A25,Tracking!D:D,C25,Tracking!M:M,"y",Tracking!C:C,"5v5")</f>
        <v>5</v>
      </c>
      <c r="K25" s="9">
        <f t="shared" si="0"/>
        <v>5</v>
      </c>
      <c r="L25" s="9">
        <f>COUNTIFS(Tracking!G:G,A25,Tracking!D:D,C25,Tracking!C:C,"5v5")</f>
        <v>2</v>
      </c>
      <c r="M25" s="9">
        <f>COUNTIFS(Tracking!H:H,A25,Tracking!D:D,C25,Tracking!C:C,"5v5")</f>
        <v>3</v>
      </c>
      <c r="N25" s="9">
        <f>COUNTIFS(Tracking!I:I,A25,Tracking!D:D,C25,Tracking!C:C,"5v5")</f>
        <v>0</v>
      </c>
      <c r="O25" s="9">
        <f>COUNTIFS(Tracking!G:G,A25,Tracking!D:D,C25,Tracking!C:C,"5v5",Tracking!M:M,"y")</f>
        <v>0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0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1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0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1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0</v>
      </c>
      <c r="V25" s="9">
        <f>COUNTIFS(Tracking!E:E,A25,Tracking!D:D,C25,Tracking!C:C,"5v5",Tracking!P:P,"r")</f>
        <v>2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2</v>
      </c>
      <c r="X25" s="9">
        <f>COUNTIFS(Tracking!E:E,A25,Tracking!D:D,C25,Tracking!C:C,"5v5",Tracking!P:P,"f")</f>
        <v>2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1</v>
      </c>
      <c r="Z25" s="9">
        <f>COUNTIFS(Tracking!E:E,A25,Tracking!D:D,C25,Tracking!C:C,"5v5",Tracking!P:P,"c")</f>
        <v>1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1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2</v>
      </c>
      <c r="AC25" s="11">
        <f>COUNTIFS(Tracking!Z:Z,A25&amp;C25,Tracking!C:C,"5v5")-AE25</f>
        <v>6</v>
      </c>
      <c r="AD25" s="11">
        <f>COUNTIFS(Tracking!Z:Z,A25&amp;C25,Tracking!C:C,"5v5",Tracking!Y:Y,"C")</f>
        <v>4</v>
      </c>
      <c r="AE25" s="11">
        <f>COUNTIFS(Tracking!Z:Z,A25&amp;C25,Tracking!C:C,"5v5",Tracking!Y:Y,"F")</f>
        <v>1</v>
      </c>
      <c r="AF25" s="11">
        <f>COUNTIFS(Tracking!Z:Z,A25&amp;C25,Tracking!C:C,"5v5",Tracking!Y:Y,"C",Tracking!AB:AB,"Y")</f>
        <v>3</v>
      </c>
      <c r="AG25" s="11">
        <f>COUNTIFS(Tracking!AD:AD,A25&amp;C25,Tracking!C:C,"5v5")</f>
        <v>2</v>
      </c>
      <c r="AH25" s="11">
        <f>COUNTIFS(Tracking!Z:Z,A25&amp;C25,Tracking!C:C,"5v5",Tracking!Y:Y,"C",Tracking!AE:AE,"Y")</f>
        <v>2</v>
      </c>
      <c r="AI25" s="11">
        <f>COUNTIFS(Tracking!Z:Z,A25&amp;C25,Tracking!C:C,"5v5",Tracking!Y:Y,"D",Tracking!AE:AE,"Y")</f>
        <v>1</v>
      </c>
      <c r="AJ25" s="11">
        <f>COUNTIFS(Tracking!AH:AH,A25&amp;C25)</f>
        <v>6</v>
      </c>
      <c r="AK25" s="5">
        <f>COUNTIFS(Tracking!AI:AI,A25&amp;C25,Tracking!C:C,"5v5")+AL25</f>
        <v>5</v>
      </c>
      <c r="AL25" s="5">
        <f>COUNTIFS(Tracking!AF:AF,A25&amp;C25,Tracking!C:C,"5v5")-AT25</f>
        <v>3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3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3</v>
      </c>
      <c r="AO25" s="5">
        <f>COUNTIFS(Tracking!AF:AF,A25&amp;C25,Tracking!C:C,"5v5",Tracking!AG:AG,"CEX")+COUNTIFS(Tracking!AI:AI,A25&amp;C25,Tracking!C:C,"5v5",Tracking!AJ:AJ,"CEX")</f>
        <v>1</v>
      </c>
      <c r="AP25" s="5">
        <f>COUNTIFS(Tracking!AF:AF,A25&amp;C25,Tracking!C:C,"5v5",Tracking!AG:AG,"PEX")</f>
        <v>2</v>
      </c>
      <c r="AQ25" s="5">
        <f>COUNTIFS(Tracking!AF:AF,A25&amp;C25,Tracking!C:C,"5v5",Tracking!AG:AG,"CLE")+COUNTIFS(Tracking!AI:AI,A25&amp;C25,Tracking!C:C,"5v5",Tracking!AJ:AJ,"CLE")</f>
        <v>0</v>
      </c>
      <c r="AR25" s="5">
        <f>COUNTIFS(Tracking!AF:AF,A25&amp;C25,Tracking!C:C,"5v5",Tracking!AG:AG,"MEX")</f>
        <v>0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3</v>
      </c>
      <c r="AT25" s="5">
        <f>COUNTIFS(Tracking!AF:AF,A25&amp;C25,Tracking!C:C,"5v5",Tracking!AG:AG,"BOT")+COUNTIFS(Tracking!AF:AF,A25&amp;C25,Tracking!C:C,"5v5",Tracking!AG:AG,"FEX")</f>
        <v>0</v>
      </c>
      <c r="AU25" s="5">
        <f>COUNTIFS(Tracking!AF:AF,A25&amp;C25,Tracking!C:C,"5v5",Tracking!AG:AG,"EXC")</f>
        <v>0</v>
      </c>
      <c r="AV25" s="5">
        <f>COUNTIFS(Tracking!AF:AF,A25&amp;C25,Tracking!C:C,"5v5",Tracking!AG:AG,"FEX")+COUNTIFS(Tracking!AI:AI,A25&amp;C25,Tracking!C:C,"5v5",Tracking!AJ:AJ,"FEX")</f>
        <v>1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3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0</v>
      </c>
      <c r="AY25" s="1">
        <f>COUNTIFS(Tracking!AA:AA,A25&amp;C25,Tracking!C:C,"5v5")</f>
        <v>0</v>
      </c>
      <c r="AZ25" s="1">
        <f>COUNTIFS(Tracking!AA:AA,A25&amp;C25,Tracking!C:C,"5v5",Tracking!Y:Y,"C")</f>
        <v>0</v>
      </c>
      <c r="BA25" s="1">
        <f>COUNTIFS(Tracking!AA:AA,A25&amp;C25,Tracking!C:C,"5v5",Tracking!Y:Y,"F")</f>
        <v>0</v>
      </c>
      <c r="BB25" s="1">
        <f>COUNTIFS(Tracking!AA:AA,A25&amp;C25,Tracking!C:C,"5v5",Tracking!AB:AB,"Y")</f>
        <v>0</v>
      </c>
      <c r="BC25" s="1">
        <f>COUNTIFS(Tracking!AA:AA,A25&amp;C25,Tracking!C:C,"5v5",Tracking!Y:Y,"C",Tracking!AE:AE,"Y")</f>
        <v>0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0</v>
      </c>
      <c r="BI25" s="10">
        <f>COUNTIFS(Tracking!AA:AA,A25&amp;C25,Tracking!C:C,"5v4",Tracking!Y:Y,"D")+COUNTIFS(Tracking!AA:AA,A25&amp;C25,Tracking!C:C,"5v4",Tracking!Y:Y,"F")</f>
        <v>0</v>
      </c>
      <c r="BJ25" s="10">
        <f>COUNTIFS(Tracking!E:E,A25,Tracking!D:D,C25,Tracking!C:C,"5v4")</f>
        <v>3</v>
      </c>
      <c r="BK25" s="10">
        <f>COUNTIFS(Tracking!G:G,A25,Tracking!D:D,C25,Tracking!C:C,"5v4")+COUNTIFS(Tracking!H:H,A25,Tracking!D:D,C25,Tracking!C:C,"5v4")+COUNTIFS(Tracking!I:I,A25,Tracking!D:D,C25,Tracking!C:C,"5v4")</f>
        <v>1</v>
      </c>
      <c r="BL25" s="10">
        <f>COUNTIFS(Tracking!G:G,A25,Tracking!D:D,C25,Tracking!C:C,"5v4")</f>
        <v>1</v>
      </c>
      <c r="BM25" s="10">
        <f>COUNTIFS(Tracking!E:E,A25,Tracking!D:D,C25,Tracking!C:C,"5v4",Tracking!M:M,"Y")</f>
        <v>2</v>
      </c>
      <c r="BN25" s="10">
        <f>COUNTIFS(Tracking!G:G,A25,Tracking!D:D,C25,Tracking!C:C,"5v4",Tracking!M:M,"Y")</f>
        <v>0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3</v>
      </c>
      <c r="BS25" s="12">
        <f>COUNTIFS(Tracking!E:E,A25,Tracking!D:D,C25,Tracking!C:C,"5v5",Tracking!F:F,"r")</f>
        <v>1</v>
      </c>
      <c r="BT25" s="12">
        <f>COUNTIFS(Tracking!E:E,A25,Tracking!D:D,C25,Tracking!C:C,"5v5",Tracking!F:F,"t")</f>
        <v>0</v>
      </c>
      <c r="BU25" s="12">
        <f>COUNTIFS(Tracking!G:G,A25,Tracking!D:D,C25,Tracking!C:C,"5v5",Tracking!F:F,"o")</f>
        <v>0</v>
      </c>
      <c r="BV25" s="12">
        <f>COUNTIFS(Tracking!E:E,A24,Tracking!D:D,C25,Tracking!C:C,"5v5",Tracking!F:F,"r")</f>
        <v>2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4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2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3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0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2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2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0</v>
      </c>
      <c r="CJ25" s="2">
        <f t="shared" si="1"/>
        <v>2.0449999999999999</v>
      </c>
      <c r="CK25" s="2">
        <f t="shared" si="7"/>
        <v>1.33</v>
      </c>
      <c r="CL25" s="2">
        <f t="shared" si="2"/>
        <v>0.28000000000000003</v>
      </c>
      <c r="CM25" s="2">
        <f t="shared" si="9"/>
        <v>0</v>
      </c>
      <c r="CN25" s="2">
        <f t="shared" si="3"/>
        <v>0.14500000000000002</v>
      </c>
      <c r="CO25" s="2">
        <f t="shared" si="4"/>
        <v>0.18</v>
      </c>
      <c r="CP25" s="2">
        <f t="shared" si="5"/>
        <v>0.11</v>
      </c>
      <c r="CQ25" s="2">
        <f t="shared" si="6"/>
        <v>1.9350000000000001</v>
      </c>
    </row>
    <row r="26" spans="1:95" x14ac:dyDescent="0.35">
      <c r="A26" s="8">
        <v>53</v>
      </c>
      <c r="B26" s="8" t="s">
        <v>260</v>
      </c>
      <c r="C26" s="8" t="s">
        <v>148</v>
      </c>
      <c r="D26" s="8" t="s">
        <v>196</v>
      </c>
      <c r="E26" s="8">
        <v>11.2</v>
      </c>
      <c r="F26" s="8" t="s">
        <v>130</v>
      </c>
      <c r="G26" s="19" t="s">
        <v>275</v>
      </c>
      <c r="H26" s="9">
        <f>COUNTIFS(Tracking!E:E,A26,Tracking!D:D,C26,Tracking!C:C,"5v5")</f>
        <v>2</v>
      </c>
      <c r="I26" s="9">
        <f>COUNTIFS(Tracking!E:E,A26,Tracking!D:D,C26,Tracking!N:N,"y",Tracking!C:C,"5v5")</f>
        <v>2</v>
      </c>
      <c r="J26" s="9">
        <f>COUNTIFS(Tracking!E:E,A26,Tracking!D:D,C26,Tracking!M:M,"y",Tracking!C:C,"5v5")</f>
        <v>0</v>
      </c>
      <c r="K26" s="9">
        <f t="shared" si="0"/>
        <v>0</v>
      </c>
      <c r="L26" s="9">
        <f>COUNTIFS(Tracking!G:G,A26,Tracking!D:D,C26,Tracking!C:C,"5v5")</f>
        <v>0</v>
      </c>
      <c r="M26" s="9">
        <f>COUNTIFS(Tracking!H:H,A26,Tracking!D:D,C26,Tracking!C:C,"5v5")</f>
        <v>0</v>
      </c>
      <c r="N26" s="9">
        <f>COUNTIFS(Tracking!I:I,A26,Tracking!D:D,C26,Tracking!C:C,"5v5")</f>
        <v>0</v>
      </c>
      <c r="O26" s="9">
        <f>COUNTIFS(Tracking!G:G,A26,Tracking!D:D,C26,Tracking!C:C,"5v5",Tracking!M:M,"y")</f>
        <v>0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0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0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0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0</v>
      </c>
      <c r="V26" s="9">
        <f>COUNTIFS(Tracking!E:E,A26,Tracking!D:D,C26,Tracking!C:C,"5v5",Tracking!P:P,"r")</f>
        <v>1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0</v>
      </c>
      <c r="X26" s="9">
        <f>COUNTIFS(Tracking!E:E,A26,Tracking!D:D,C26,Tracking!C:C,"5v5",Tracking!P:P,"f")</f>
        <v>1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0</v>
      </c>
      <c r="Z26" s="9">
        <f>COUNTIFS(Tracking!E:E,A26,Tracking!D:D,C26,Tracking!C:C,"5v5",Tracking!P:P,"c")</f>
        <v>0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0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0</v>
      </c>
      <c r="AC26" s="11">
        <f>COUNTIFS(Tracking!Z:Z,A26&amp;C26,Tracking!C:C,"5v5")-AE26</f>
        <v>1</v>
      </c>
      <c r="AD26" s="11">
        <f>COUNTIFS(Tracking!Z:Z,A26&amp;C26,Tracking!C:C,"5v5",Tracking!Y:Y,"C")</f>
        <v>0</v>
      </c>
      <c r="AE26" s="11">
        <f>COUNTIFS(Tracking!Z:Z,A26&amp;C26,Tracking!C:C,"5v5",Tracking!Y:Y,"F")</f>
        <v>0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0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0</v>
      </c>
      <c r="AJ26" s="11">
        <f>COUNTIFS(Tracking!AH:AH,A26&amp;C26)</f>
        <v>2</v>
      </c>
      <c r="AK26" s="5">
        <f>COUNTIFS(Tracking!AI:AI,A26&amp;C26,Tracking!C:C,"5v5")+AL26</f>
        <v>2</v>
      </c>
      <c r="AL26" s="5">
        <f>COUNTIFS(Tracking!AF:AF,A26&amp;C26,Tracking!C:C,"5v5")-AT26</f>
        <v>1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2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1</v>
      </c>
      <c r="AO26" s="5">
        <f>COUNTIFS(Tracking!AF:AF,A26&amp;C26,Tracking!C:C,"5v5",Tracking!AG:AG,"CEX")+COUNTIFS(Tracking!AI:AI,A26&amp;C26,Tracking!C:C,"5v5",Tracking!AJ:AJ,"CEX")</f>
        <v>0</v>
      </c>
      <c r="AP26" s="5">
        <f>COUNTIFS(Tracking!AF:AF,A26&amp;C26,Tracking!C:C,"5v5",Tracking!AG:AG,"PEX")</f>
        <v>1</v>
      </c>
      <c r="AQ26" s="5">
        <f>COUNTIFS(Tracking!AF:AF,A26&amp;C26,Tracking!C:C,"5v5",Tracking!AG:AG,"CLE")+COUNTIFS(Tracking!AI:AI,A26&amp;C26,Tracking!C:C,"5v5",Tracking!AJ:AJ,"CLE")</f>
        <v>1</v>
      </c>
      <c r="AR26" s="5">
        <f>COUNTIFS(Tracking!AF:AF,A26&amp;C26,Tracking!C:C,"5v5",Tracking!AG:AG,"MEX")</f>
        <v>0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1</v>
      </c>
      <c r="AT26" s="5">
        <f>COUNTIFS(Tracking!AF:AF,A26&amp;C26,Tracking!C:C,"5v5",Tracking!AG:AG,"BOT")+COUNTIFS(Tracking!AF:AF,A26&amp;C26,Tracking!C:C,"5v5",Tracking!AG:AG,"FEX")</f>
        <v>0</v>
      </c>
      <c r="AU26" s="5">
        <f>COUNTIFS(Tracking!AF:AF,A26&amp;C26,Tracking!C:C,"5v5",Tracking!AG:AG,"EXC")</f>
        <v>0</v>
      </c>
      <c r="AV26" s="5">
        <f>COUNTIFS(Tracking!AF:AF,A26&amp;C26,Tracking!C:C,"5v5",Tracking!AG:AG,"FEX")+COUNTIFS(Tracking!AI:AI,A26&amp;C26,Tracking!C:C,"5v5",Tracking!AJ:AJ,"FEX")</f>
        <v>0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1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1</v>
      </c>
      <c r="AY26" s="1">
        <f>COUNTIFS(Tracking!AA:AA,A26&amp;C26,Tracking!C:C,"5v5")</f>
        <v>2</v>
      </c>
      <c r="AZ26" s="1">
        <f>COUNTIFS(Tracking!AA:AA,A26&amp;C26,Tracking!C:C,"5v5",Tracking!Y:Y,"C")</f>
        <v>1</v>
      </c>
      <c r="BA26" s="1">
        <f>COUNTIFS(Tracking!AA:AA,A26&amp;C26,Tracking!C:C,"5v5",Tracking!Y:Y,"F")</f>
        <v>1</v>
      </c>
      <c r="BB26" s="1">
        <f>COUNTIFS(Tracking!AA:AA,A26&amp;C26,Tracking!C:C,"5v5",Tracking!AB:AB,"Y")</f>
        <v>0</v>
      </c>
      <c r="BC26" s="1">
        <f>COUNTIFS(Tracking!AA:AA,A26&amp;C26,Tracking!C:C,"5v5",Tracking!Y:Y,"C",Tracking!AE:AE,"Y")</f>
        <v>0</v>
      </c>
      <c r="BD26" s="1">
        <f>COUNTIFS(Tracking!AA:AA,A26&amp;C26,Tracking!C:C,"5v5",Tracking!Y:Y,"D",Tracking!AE:AE,"Y")</f>
        <v>0</v>
      </c>
      <c r="BE26" s="10">
        <f>COUNTIFS(Tracking!Z:Z,A26&amp;C26,Tracking!C:C,"5v4")</f>
        <v>0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0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0</v>
      </c>
      <c r="BK26" s="10">
        <f>COUNTIFS(Tracking!G:G,A26,Tracking!D:D,C26,Tracking!C:C,"5v4")+COUNTIFS(Tracking!H:H,A26,Tracking!D:D,C26,Tracking!C:C,"5v4")+COUNTIFS(Tracking!I:I,A26,Tracking!D:D,C26,Tracking!C:C,"5v4")</f>
        <v>0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0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0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0</v>
      </c>
      <c r="BV26" s="12">
        <f>COUNTIFS(Tracking!E:E,A25,Tracking!D:D,C26,Tracking!C:C,"5v5",Tracking!F:F,"r")</f>
        <v>1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1</v>
      </c>
      <c r="BY26" s="12">
        <f>COUNTIFS(Tracking!E:E,A26,Tracking!D:D,C26,Tracking!C:C,"5v5",Tracking!Q:Q,"nZ")</f>
        <v>1</v>
      </c>
      <c r="BZ26" s="12">
        <f>COUNTIFS(Tracking!E:E,A26,Tracking!D:D,C26,Tracking!C:C,"5v5",Tracking!Q:Q,"dZ")</f>
        <v>0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0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0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0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0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1</v>
      </c>
      <c r="CI26" s="12">
        <f>COUNTIFS(Tracking!E:E,A26,Tracking!D:D,C26,Tracking!C:C,"5v5",Tracking!R:R,"controlled breakout")</f>
        <v>0</v>
      </c>
      <c r="CJ26" s="2">
        <f t="shared" si="1"/>
        <v>0.31999999999999995</v>
      </c>
      <c r="CK26" s="2">
        <f t="shared" si="7"/>
        <v>0.15</v>
      </c>
      <c r="CL26" s="2">
        <f t="shared" si="2"/>
        <v>0</v>
      </c>
      <c r="CM26" s="2">
        <f t="shared" si="9"/>
        <v>0.08</v>
      </c>
      <c r="CN26" s="2">
        <f t="shared" si="3"/>
        <v>6.0000000000000005E-2</v>
      </c>
      <c r="CO26" s="2">
        <f t="shared" si="4"/>
        <v>0.03</v>
      </c>
      <c r="CP26" s="2">
        <f t="shared" si="5"/>
        <v>0</v>
      </c>
      <c r="CQ26" s="2">
        <f t="shared" si="6"/>
        <v>0.31999999999999995</v>
      </c>
    </row>
    <row r="27" spans="1:95" x14ac:dyDescent="0.35">
      <c r="A27" s="8">
        <v>20</v>
      </c>
      <c r="B27" s="8" t="s">
        <v>261</v>
      </c>
      <c r="C27" s="8" t="s">
        <v>148</v>
      </c>
      <c r="D27" s="8" t="s">
        <v>179</v>
      </c>
      <c r="E27" s="8">
        <v>11.483333333333</v>
      </c>
      <c r="F27" s="8" t="s">
        <v>130</v>
      </c>
      <c r="G27" s="19" t="s">
        <v>275</v>
      </c>
      <c r="H27" s="9">
        <f>COUNTIFS(Tracking!E:E,A27,Tracking!D:D,C27,Tracking!C:C,"5v5")</f>
        <v>1</v>
      </c>
      <c r="I27" s="9">
        <f>COUNTIFS(Tracking!E:E,A27,Tracking!D:D,C27,Tracking!N:N,"y",Tracking!C:C,"5v5")</f>
        <v>1</v>
      </c>
      <c r="J27" s="9">
        <f>COUNTIFS(Tracking!E:E,A27,Tracking!D:D,C27,Tracking!M:M,"y",Tracking!C:C,"5v5")</f>
        <v>1</v>
      </c>
      <c r="K27" s="9">
        <f t="shared" si="0"/>
        <v>2</v>
      </c>
      <c r="L27" s="9">
        <f>COUNTIFS(Tracking!G:G,A27,Tracking!D:D,C27,Tracking!C:C,"5v5")</f>
        <v>2</v>
      </c>
      <c r="M27" s="9">
        <f>COUNTIFS(Tracking!H:H,A27,Tracking!D:D,C27,Tracking!C:C,"5v5")</f>
        <v>0</v>
      </c>
      <c r="N27" s="9">
        <f>COUNTIFS(Tracking!I:I,A27,Tracking!D:D,C27,Tracking!C:C,"5v5")</f>
        <v>0</v>
      </c>
      <c r="O27" s="9">
        <f>COUNTIFS(Tracking!G:G,A27,Tracking!D:D,C27,Tracking!C:C,"5v5",Tracking!M:M,"y")</f>
        <v>0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0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0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0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1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0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1</v>
      </c>
      <c r="X27" s="9">
        <f>COUNTIFS(Tracking!E:E,A27,Tracking!D:D,C27,Tracking!C:C,"5v5",Tracking!P:P,"f")</f>
        <v>1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1</v>
      </c>
      <c r="Z27" s="9">
        <f>COUNTIFS(Tracking!E:E,A27,Tracking!D:D,C27,Tracking!C:C,"5v5",Tracking!P:P,"c")</f>
        <v>0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0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4</v>
      </c>
      <c r="AD27" s="11">
        <f>COUNTIFS(Tracking!Z:Z,A27&amp;C27,Tracking!C:C,"5v5",Tracking!Y:Y,"C")</f>
        <v>2</v>
      </c>
      <c r="AE27" s="11">
        <f>COUNTIFS(Tracking!Z:Z,A27&amp;C27,Tracking!C:C,"5v5",Tracking!Y:Y,"F")</f>
        <v>1</v>
      </c>
      <c r="AF27" s="11">
        <f>COUNTIFS(Tracking!Z:Z,A27&amp;C27,Tracking!C:C,"5v5",Tracking!Y:Y,"C",Tracking!AB:AB,"Y")</f>
        <v>1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0</v>
      </c>
      <c r="AI27" s="11">
        <f>COUNTIFS(Tracking!Z:Z,A27&amp;C27,Tracking!C:C,"5v5",Tracking!Y:Y,"D",Tracking!AE:AE,"Y")</f>
        <v>1</v>
      </c>
      <c r="AJ27" s="11">
        <f>COUNTIFS(Tracking!AH:AH,A27&amp;C27)</f>
        <v>4</v>
      </c>
      <c r="AK27" s="5">
        <f>COUNTIFS(Tracking!AI:AI,A27&amp;C27,Tracking!C:C,"5v5")+AL27</f>
        <v>1</v>
      </c>
      <c r="AL27" s="5">
        <f>COUNTIFS(Tracking!AF:AF,A27&amp;C27,Tracking!C:C,"5v5")-AT27</f>
        <v>0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1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1</v>
      </c>
      <c r="AO27" s="5">
        <f>COUNTIFS(Tracking!AF:AF,A27&amp;C27,Tracking!C:C,"5v5",Tracking!AG:AG,"CEX")+COUNTIFS(Tracking!AI:AI,A27&amp;C27,Tracking!C:C,"5v5",Tracking!AJ:AJ,"CEX")</f>
        <v>1</v>
      </c>
      <c r="AP27" s="5">
        <f>COUNTIFS(Tracking!AF:AF,A27&amp;C27,Tracking!C:C,"5v5",Tracking!AG:AG,"PEX")</f>
        <v>0</v>
      </c>
      <c r="AQ27" s="5">
        <f>COUNTIFS(Tracking!AF:AF,A27&amp;C27,Tracking!C:C,"5v5",Tracking!AG:AG,"CLE")+COUNTIFS(Tracking!AI:AI,A27&amp;C27,Tracking!C:C,"5v5",Tracking!AJ:AJ,"CLE")</f>
        <v>0</v>
      </c>
      <c r="AR27" s="5">
        <f>COUNTIFS(Tracking!AF:AF,A27&amp;C27,Tracking!C:C,"5v5",Tracking!AG:AG,"MEX")</f>
        <v>0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0</v>
      </c>
      <c r="AT27" s="5">
        <f>COUNTIFS(Tracking!AF:AF,A27&amp;C27,Tracking!C:C,"5v5",Tracking!AG:AG,"BOT")+COUNTIFS(Tracking!AF:AF,A27&amp;C27,Tracking!C:C,"5v5",Tracking!AG:AG,"FEX")</f>
        <v>2</v>
      </c>
      <c r="AU27" s="5">
        <f>COUNTIFS(Tracking!AF:AF,A27&amp;C27,Tracking!C:C,"5v5",Tracking!AG:AG,"EXC")</f>
        <v>0</v>
      </c>
      <c r="AV27" s="5">
        <f>COUNTIFS(Tracking!AF:AF,A27&amp;C27,Tracking!C:C,"5v5",Tracking!AG:AG,"FEX")+COUNTIFS(Tracking!AI:AI,A27&amp;C27,Tracking!C:C,"5v5",Tracking!AJ:AJ,"FEX")</f>
        <v>2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0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1</v>
      </c>
      <c r="AY27" s="1">
        <f>COUNTIFS(Tracking!AA:AA,A27&amp;C27,Tracking!C:C,"5v5")</f>
        <v>0</v>
      </c>
      <c r="AZ27" s="1">
        <f>COUNTIFS(Tracking!AA:AA,A27&amp;C27,Tracking!C:C,"5v5",Tracking!Y:Y,"C")</f>
        <v>0</v>
      </c>
      <c r="BA27" s="1">
        <f>COUNTIFS(Tracking!AA:AA,A27&amp;C27,Tracking!C:C,"5v5",Tracking!Y:Y,"F")</f>
        <v>0</v>
      </c>
      <c r="BB27" s="1">
        <f>COUNTIFS(Tracking!AA:AA,A27&amp;C27,Tracking!C:C,"5v5",Tracking!AB:AB,"Y")</f>
        <v>0</v>
      </c>
      <c r="BC27" s="1">
        <f>COUNTIFS(Tracking!AA:AA,A27&amp;C27,Tracking!C:C,"5v5",Tracking!Y:Y,"C",Tracking!AE:AE,"Y")</f>
        <v>0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0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0</v>
      </c>
      <c r="BH27" s="10">
        <f>COUNTIFS(Tracking!Z:Z,A27&amp;C27,Tracking!C:C,"4v5")</f>
        <v>0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0</v>
      </c>
      <c r="BK27" s="10">
        <f>COUNTIFS(Tracking!G:G,A27,Tracking!D:D,C27,Tracking!C:C,"5v4")+COUNTIFS(Tracking!H:H,A27,Tracking!D:D,C27,Tracking!C:C,"5v4")+COUNTIFS(Tracking!I:I,A27,Tracking!D:D,C27,Tracking!C:C,"5v4")</f>
        <v>0</v>
      </c>
      <c r="BL27" s="10">
        <f>COUNTIFS(Tracking!G:G,A27,Tracking!D:D,C27,Tracking!C:C,"5v4")</f>
        <v>0</v>
      </c>
      <c r="BM27" s="10">
        <f>COUNTIFS(Tracking!E:E,A27,Tracking!D:D,C27,Tracking!C:C,"5v4",Tracking!M:M,"Y")</f>
        <v>0</v>
      </c>
      <c r="BN27" s="10">
        <f>COUNTIFS(Tracking!G:G,A27,Tracking!D:D,C27,Tracking!C:C,"5v4",Tracking!M:M,"Y")</f>
        <v>0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0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0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0</v>
      </c>
      <c r="BX27" s="12">
        <f>COUNTIFS(Tracking!E:E,A27,Tracking!D:D,C27,Tracking!C:C,"5v5",Tracking!Q:Q,"OZ")</f>
        <v>1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1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1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0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0.39500000000000007</v>
      </c>
      <c r="CK27" s="2">
        <f t="shared" si="7"/>
        <v>0.36000000000000004</v>
      </c>
      <c r="CL27" s="2">
        <f t="shared" si="2"/>
        <v>0.08</v>
      </c>
      <c r="CM27" s="2">
        <f t="shared" si="9"/>
        <v>0</v>
      </c>
      <c r="CN27" s="2">
        <f t="shared" si="3"/>
        <v>-0.10500000000000001</v>
      </c>
      <c r="CO27" s="2">
        <f t="shared" si="4"/>
        <v>0.06</v>
      </c>
      <c r="CP27" s="2">
        <f t="shared" si="5"/>
        <v>0</v>
      </c>
      <c r="CQ27" s="2">
        <f t="shared" si="6"/>
        <v>0.39500000000000007</v>
      </c>
    </row>
    <row r="28" spans="1:95" x14ac:dyDescent="0.35">
      <c r="A28" s="8">
        <v>44</v>
      </c>
      <c r="B28" s="8" t="s">
        <v>262</v>
      </c>
      <c r="C28" s="8" t="s">
        <v>148</v>
      </c>
      <c r="D28" s="8" t="s">
        <v>196</v>
      </c>
      <c r="E28" s="8">
        <v>12.233333333333</v>
      </c>
      <c r="F28" s="8" t="s">
        <v>130</v>
      </c>
      <c r="G28" s="19" t="s">
        <v>275</v>
      </c>
      <c r="H28" s="9">
        <f>COUNTIFS(Tracking!E:E,A28,Tracking!D:D,C28,Tracking!C:C,"5v5")</f>
        <v>2</v>
      </c>
      <c r="I28" s="9">
        <f>COUNTIFS(Tracking!E:E,A28,Tracking!D:D,C28,Tracking!N:N,"y",Tracking!C:C,"5v5")</f>
        <v>2</v>
      </c>
      <c r="J28" s="9">
        <f>COUNTIFS(Tracking!E:E,A28,Tracking!D:D,C28,Tracking!M:M,"y",Tracking!C:C,"5v5")</f>
        <v>2</v>
      </c>
      <c r="K28" s="9">
        <f t="shared" si="0"/>
        <v>5</v>
      </c>
      <c r="L28" s="9">
        <f>COUNTIFS(Tracking!G:G,A28,Tracking!D:D,C28,Tracking!C:C,"5v5")</f>
        <v>2</v>
      </c>
      <c r="M28" s="9">
        <f>COUNTIFS(Tracking!H:H,A28,Tracking!D:D,C28,Tracking!C:C,"5v5")</f>
        <v>3</v>
      </c>
      <c r="N28" s="9">
        <f>COUNTIFS(Tracking!I:I,A28,Tracking!D:D,C28,Tracking!C:C,"5v5")</f>
        <v>0</v>
      </c>
      <c r="O28" s="9">
        <f>COUNTIFS(Tracking!G:G,A28,Tracking!D:D,C28,Tracking!C:C,"5v5",Tracking!M:M,"y")</f>
        <v>0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0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1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1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0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0</v>
      </c>
      <c r="V28" s="9">
        <f>COUNTIFS(Tracking!E:E,A28,Tracking!D:D,C28,Tracking!C:C,"5v5",Tracking!P:P,"r")</f>
        <v>0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1</v>
      </c>
      <c r="X28" s="9">
        <f>COUNTIFS(Tracking!E:E,A28,Tracking!D:D,C28,Tracking!C:C,"5v5",Tracking!P:P,"f")</f>
        <v>1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3</v>
      </c>
      <c r="Z28" s="9">
        <f>COUNTIFS(Tracking!E:E,A28,Tracking!D:D,C28,Tracking!C:C,"5v5",Tracking!P:P,"c")</f>
        <v>1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2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1</v>
      </c>
      <c r="AC28" s="11">
        <f>COUNTIFS(Tracking!Z:Z,A28&amp;C28,Tracking!C:C,"5v5")-AE28</f>
        <v>3</v>
      </c>
      <c r="AD28" s="11">
        <f>COUNTIFS(Tracking!Z:Z,A28&amp;C28,Tracking!C:C,"5v5",Tracking!Y:Y,"C")</f>
        <v>1</v>
      </c>
      <c r="AE28" s="11">
        <f>COUNTIFS(Tracking!Z:Z,A28&amp;C28,Tracking!C:C,"5v5",Tracking!Y:Y,"F")</f>
        <v>0</v>
      </c>
      <c r="AF28" s="11">
        <f>COUNTIFS(Tracking!Z:Z,A28&amp;C28,Tracking!C:C,"5v5",Tracking!Y:Y,"C",Tracking!AB:AB,"Y")</f>
        <v>1</v>
      </c>
      <c r="AG28" s="11">
        <f>COUNTIFS(Tracking!AD:AD,A28&amp;C28,Tracking!C:C,"5v5")</f>
        <v>2</v>
      </c>
      <c r="AH28" s="11">
        <f>COUNTIFS(Tracking!Z:Z,A28&amp;C28,Tracking!C:C,"5v5",Tracking!Y:Y,"C",Tracking!AE:AE,"Y")</f>
        <v>0</v>
      </c>
      <c r="AI28" s="11">
        <f>COUNTIFS(Tracking!Z:Z,A28&amp;C28,Tracking!C:C,"5v5",Tracking!Y:Y,"D",Tracking!AE:AE,"Y")</f>
        <v>0</v>
      </c>
      <c r="AJ28" s="11">
        <f>COUNTIFS(Tracking!AH:AH,A28&amp;C28)</f>
        <v>1</v>
      </c>
      <c r="AK28" s="5">
        <f>COUNTIFS(Tracking!AI:AI,A28&amp;C28,Tracking!C:C,"5v5")+AL28</f>
        <v>3</v>
      </c>
      <c r="AL28" s="5">
        <f>COUNTIFS(Tracking!AF:AF,A28&amp;C28,Tracking!C:C,"5v5")-AT28</f>
        <v>1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3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2</v>
      </c>
      <c r="AO28" s="5">
        <f>COUNTIFS(Tracking!AF:AF,A28&amp;C28,Tracking!C:C,"5v5",Tracking!AG:AG,"CEX")+COUNTIFS(Tracking!AI:AI,A28&amp;C28,Tracking!C:C,"5v5",Tracking!AJ:AJ,"CEX")</f>
        <v>1</v>
      </c>
      <c r="AP28" s="5">
        <f>COUNTIFS(Tracking!AF:AF,A28&amp;C28,Tracking!C:C,"5v5",Tracking!AG:AG,"PEX")</f>
        <v>0</v>
      </c>
      <c r="AQ28" s="5">
        <f>COUNTIFS(Tracking!AF:AF,A28&amp;C28,Tracking!C:C,"5v5",Tracking!AG:AG,"CLE")+COUNTIFS(Tracking!AI:AI,A28&amp;C28,Tracking!C:C,"5v5",Tracking!AJ:AJ,"CLE")</f>
        <v>1</v>
      </c>
      <c r="AR28" s="5">
        <f>COUNTIFS(Tracking!AF:AF,A28&amp;C28,Tracking!C:C,"5v5",Tracking!AG:AG,"MEX")</f>
        <v>0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1</v>
      </c>
      <c r="AT28" s="5">
        <f>COUNTIFS(Tracking!AF:AF,A28&amp;C28,Tracking!C:C,"5v5",Tracking!AG:AG,"BOT")+COUNTIFS(Tracking!AF:AF,A28&amp;C28,Tracking!C:C,"5v5",Tracking!AG:AG,"FEX")</f>
        <v>1</v>
      </c>
      <c r="AU28" s="5">
        <f>COUNTIFS(Tracking!AF:AF,A28&amp;C28,Tracking!C:C,"5v5",Tracking!AG:AG,"EXC")</f>
        <v>0</v>
      </c>
      <c r="AV28" s="5">
        <f>COUNTIFS(Tracking!AF:AF,A28&amp;C28,Tracking!C:C,"5v5",Tracking!AG:AG,"FEX")+COUNTIFS(Tracking!AI:AI,A28&amp;C28,Tracking!C:C,"5v5",Tracking!AJ:AJ,"FEX")</f>
        <v>0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1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2</v>
      </c>
      <c r="AY28" s="1">
        <f>COUNTIFS(Tracking!AA:AA,A28&amp;C28,Tracking!C:C,"5v5")</f>
        <v>2</v>
      </c>
      <c r="AZ28" s="1">
        <f>COUNTIFS(Tracking!AA:AA,A28&amp;C28,Tracking!C:C,"5v5",Tracking!Y:Y,"C")</f>
        <v>1</v>
      </c>
      <c r="BA28" s="1">
        <f>COUNTIFS(Tracking!AA:AA,A28&amp;C28,Tracking!C:C,"5v5",Tracking!Y:Y,"F")</f>
        <v>0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1</v>
      </c>
      <c r="BD28" s="1">
        <f>COUNTIFS(Tracking!AA:AA,A28&amp;C28,Tracking!C:C,"5v5",Tracking!Y:Y,"D",Tracking!AE:AE,"Y")</f>
        <v>0</v>
      </c>
      <c r="BE28" s="10">
        <f>COUNTIFS(Tracking!Z:Z,A28&amp;C28,Tracking!C:C,"5v4")</f>
        <v>1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1</v>
      </c>
      <c r="BJ28" s="10">
        <f>COUNTIFS(Tracking!E:E,A28,Tracking!D:D,C28,Tracking!C:C,"5v4")</f>
        <v>0</v>
      </c>
      <c r="BK28" s="10">
        <f>COUNTIFS(Tracking!G:G,A28,Tracking!D:D,C28,Tracking!C:C,"5v4")+COUNTIFS(Tracking!H:H,A28,Tracking!D:D,C28,Tracking!C:C,"5v4")+COUNTIFS(Tracking!I:I,A28,Tracking!D:D,C28,Tracking!C:C,"5v4")</f>
        <v>1</v>
      </c>
      <c r="BL28" s="10">
        <f>COUNTIFS(Tracking!G:G,A28,Tracking!D:D,C28,Tracking!C:C,"5v4")</f>
        <v>1</v>
      </c>
      <c r="BM28" s="10">
        <f>COUNTIFS(Tracking!E:E,A28,Tracking!D:D,C28,Tracking!C:C,"5v4",Tracking!M:M,"Y")</f>
        <v>0</v>
      </c>
      <c r="BN28" s="10">
        <f>COUNTIFS(Tracking!G:G,A28,Tracking!D:D,C28,Tracking!C:C,"5v4",Tracking!M:M,"Y")</f>
        <v>0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1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1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0</v>
      </c>
      <c r="BU28" s="12">
        <f>COUNTIFS(Tracking!G:G,A28,Tracking!D:D,C28,Tracking!C:C,"5v5",Tracking!F:F,"o")</f>
        <v>1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0</v>
      </c>
      <c r="BX28" s="12">
        <f>COUNTIFS(Tracking!E:E,A28,Tracking!D:D,C28,Tracking!C:C,"5v5",Tracking!Q:Q,"OZ")</f>
        <v>2</v>
      </c>
      <c r="BY28" s="12">
        <f>COUNTIFS(Tracking!E:E,A28,Tracking!D:D,C28,Tracking!C:C,"5v5",Tracking!Q:Q,"nZ")</f>
        <v>0</v>
      </c>
      <c r="BZ28" s="12">
        <f>COUNTIFS(Tracking!E:E,A28,Tracking!D:D,C28,Tracking!C:C,"5v5",Tracking!Q:Q,"dZ")</f>
        <v>0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4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0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1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0</v>
      </c>
      <c r="CH28" s="12">
        <f>COUNTIFS(Tracking!E:E,A28,Tracking!D:D,C28,Tracking!C:C,"5v5",Tracking!R:R,"nz reload")</f>
        <v>0</v>
      </c>
      <c r="CI28" s="12">
        <f>COUNTIFS(Tracking!E:E,A28,Tracking!D:D,C28,Tracking!C:C,"5v5",Tracking!R:R,"controlled breakout")</f>
        <v>0</v>
      </c>
      <c r="CJ28" s="2">
        <f t="shared" si="1"/>
        <v>0.99500000000000022</v>
      </c>
      <c r="CK28" s="2">
        <f t="shared" si="7"/>
        <v>0.74500000000000011</v>
      </c>
      <c r="CL28" s="2">
        <f t="shared" si="2"/>
        <v>4.4999999999999998E-2</v>
      </c>
      <c r="CM28" s="2">
        <f t="shared" si="9"/>
        <v>4.9999999999999975E-3</v>
      </c>
      <c r="CN28" s="2">
        <f t="shared" si="3"/>
        <v>0.06</v>
      </c>
      <c r="CO28" s="2">
        <f t="shared" si="4"/>
        <v>0.105</v>
      </c>
      <c r="CP28" s="2">
        <f t="shared" si="5"/>
        <v>3.5000000000000003E-2</v>
      </c>
      <c r="CQ28" s="2">
        <f t="shared" si="6"/>
        <v>0.96000000000000019</v>
      </c>
    </row>
    <row r="29" spans="1:95" x14ac:dyDescent="0.35">
      <c r="A29" s="8">
        <v>32</v>
      </c>
      <c r="B29" s="8" t="s">
        <v>263</v>
      </c>
      <c r="C29" s="8" t="s">
        <v>148</v>
      </c>
      <c r="D29" s="8" t="s">
        <v>196</v>
      </c>
      <c r="E29" s="8">
        <v>9.4666666666667005</v>
      </c>
      <c r="F29" s="8" t="s">
        <v>130</v>
      </c>
      <c r="G29" s="19" t="s">
        <v>275</v>
      </c>
      <c r="H29" s="9">
        <f>COUNTIFS(Tracking!E:E,A29,Tracking!D:D,C29,Tracking!C:C,"5v5")</f>
        <v>0</v>
      </c>
      <c r="I29" s="9">
        <f>COUNTIFS(Tracking!E:E,A29,Tracking!D:D,C29,Tracking!N:N,"y",Tracking!C:C,"5v5")</f>
        <v>0</v>
      </c>
      <c r="J29" s="9">
        <f>COUNTIFS(Tracking!E:E,A29,Tracking!D:D,C29,Tracking!M:M,"y",Tracking!C:C,"5v5")</f>
        <v>0</v>
      </c>
      <c r="K29" s="9">
        <f t="shared" si="0"/>
        <v>0</v>
      </c>
      <c r="L29" s="9">
        <f>COUNTIFS(Tracking!G:G,A29,Tracking!D:D,C29,Tracking!C:C,"5v5")</f>
        <v>0</v>
      </c>
      <c r="M29" s="9">
        <f>COUNTIFS(Tracking!H:H,A29,Tracking!D:D,C29,Tracking!C:C,"5v5")</f>
        <v>0</v>
      </c>
      <c r="N29" s="9">
        <f>COUNTIFS(Tracking!I:I,A29,Tracking!D:D,C29,Tracking!C:C,"5v5")</f>
        <v>0</v>
      </c>
      <c r="O29" s="9">
        <f>COUNTIFS(Tracking!G:G,A29,Tracking!D:D,C29,Tracking!C:C,"5v5",Tracking!M:M,"y")</f>
        <v>0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0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0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0</v>
      </c>
      <c r="V29" s="9">
        <f>COUNTIFS(Tracking!E:E,A29,Tracking!D:D,C29,Tracking!C:C,"5v5",Tracking!P:P,"r")</f>
        <v>0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0</v>
      </c>
      <c r="X29" s="9">
        <f>COUNTIFS(Tracking!E:E,A29,Tracking!D:D,C29,Tracking!C:C,"5v5",Tracking!P:P,"f")</f>
        <v>0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0</v>
      </c>
      <c r="Z29" s="9">
        <f>COUNTIFS(Tracking!E:E,A29,Tracking!D:D,C29,Tracking!C:C,"5v5",Tracking!P:P,"c")</f>
        <v>0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2</v>
      </c>
      <c r="AD29" s="11">
        <f>COUNTIFS(Tracking!Z:Z,A29&amp;C29,Tracking!C:C,"5v5",Tracking!Y:Y,"C")</f>
        <v>0</v>
      </c>
      <c r="AE29" s="11">
        <f>COUNTIFS(Tracking!Z:Z,A29&amp;C29,Tracking!C:C,"5v5",Tracking!Y:Y,"F")</f>
        <v>0</v>
      </c>
      <c r="AF29" s="11">
        <f>COUNTIFS(Tracking!Z:Z,A29&amp;C29,Tracking!C:C,"5v5",Tracking!Y:Y,"C",Tracking!AB:AB,"Y")</f>
        <v>0</v>
      </c>
      <c r="AG29" s="11">
        <f>COUNTIFS(Tracking!AD:AD,A29&amp;C29,Tracking!C:C,"5v5")</f>
        <v>0</v>
      </c>
      <c r="AH29" s="11">
        <f>COUNTIFS(Tracking!Z:Z,A29&amp;C29,Tracking!C:C,"5v5",Tracking!Y:Y,"C",Tracking!AE:AE,"Y")</f>
        <v>0</v>
      </c>
      <c r="AI29" s="11">
        <f>COUNTIFS(Tracking!Z:Z,A29&amp;C29,Tracking!C:C,"5v5",Tracking!Y:Y,"D",Tracking!AE:AE,"Y")</f>
        <v>0</v>
      </c>
      <c r="AJ29" s="11">
        <f>COUNTIFS(Tracking!AH:AH,A29&amp;C29)</f>
        <v>1</v>
      </c>
      <c r="AK29" s="5">
        <f>COUNTIFS(Tracking!AI:AI,A29&amp;C29,Tracking!C:C,"5v5")+AL29</f>
        <v>4</v>
      </c>
      <c r="AL29" s="5">
        <f>COUNTIFS(Tracking!AF:AF,A29&amp;C29,Tracking!C:C,"5v5")-AT29</f>
        <v>3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4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1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1</v>
      </c>
      <c r="AQ29" s="5">
        <f>COUNTIFS(Tracking!AF:AF,A29&amp;C29,Tracking!C:C,"5v5",Tracking!AG:AG,"CLE")+COUNTIFS(Tracking!AI:AI,A29&amp;C29,Tracking!C:C,"5v5",Tracking!AJ:AJ,"CLE")</f>
        <v>3</v>
      </c>
      <c r="AR29" s="5">
        <f>COUNTIFS(Tracking!AF:AF,A29&amp;C29,Tracking!C:C,"5v5",Tracking!AG:AG,"MEX")</f>
        <v>0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1</v>
      </c>
      <c r="AT29" s="5">
        <f>COUNTIFS(Tracking!AF:AF,A29&amp;C29,Tracking!C:C,"5v5",Tracking!AG:AG,"BOT")+COUNTIFS(Tracking!AF:AF,A29&amp;C29,Tracking!C:C,"5v5",Tracking!AG:AG,"FEX")</f>
        <v>0</v>
      </c>
      <c r="AU29" s="5">
        <f>COUNTIFS(Tracking!AF:AF,A29&amp;C29,Tracking!C:C,"5v5",Tracking!AG:AG,"EXC")</f>
        <v>0</v>
      </c>
      <c r="AV29" s="5">
        <f>COUNTIFS(Tracking!AF:AF,A29&amp;C29,Tracking!C:C,"5v5",Tracking!AG:AG,"FEX")+COUNTIFS(Tracking!AI:AI,A29&amp;C29,Tracking!C:C,"5v5",Tracking!AJ:AJ,"FEX")</f>
        <v>0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3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1</v>
      </c>
      <c r="AY29" s="1">
        <f>COUNTIFS(Tracking!AA:AA,A29&amp;C29,Tracking!C:C,"5v5")</f>
        <v>0</v>
      </c>
      <c r="AZ29" s="1">
        <f>COUNTIFS(Tracking!AA:AA,A29&amp;C29,Tracking!C:C,"5v5",Tracking!Y:Y,"C")</f>
        <v>0</v>
      </c>
      <c r="BA29" s="1">
        <f>COUNTIFS(Tracking!AA:AA,A29&amp;C29,Tracking!C:C,"5v5",Tracking!Y:Y,"F")</f>
        <v>0</v>
      </c>
      <c r="BB29" s="1">
        <f>COUNTIFS(Tracking!AA:AA,A29&amp;C29,Tracking!C:C,"5v5",Tracking!AB:AB,"Y")</f>
        <v>0</v>
      </c>
      <c r="BC29" s="1">
        <f>COUNTIFS(Tracking!AA:AA,A29&amp;C29,Tracking!C:C,"5v5",Tracking!Y:Y,"C",Tracking!AE:AE,"Y")</f>
        <v>0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0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0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0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0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0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0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0</v>
      </c>
      <c r="CD29" s="12">
        <f>COUNTIFS(Tracking!E:E,A29,Tracking!D:D,C29,Tracking!C:C,"5v5",Tracking!R:R,"dz exit")</f>
        <v>0</v>
      </c>
      <c r="CE29" s="12">
        <f>COUNTIFS(Tracking!E:E,A29,Tracking!D:D,C29,Tracking!C:C,"5v5",Tracking!R:R,"dz counter")</f>
        <v>0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7.5000000000000011E-2</v>
      </c>
      <c r="CK29" s="2">
        <f t="shared" si="7"/>
        <v>0</v>
      </c>
      <c r="CL29" s="2">
        <f t="shared" si="2"/>
        <v>0</v>
      </c>
      <c r="CM29" s="2">
        <f t="shared" si="9"/>
        <v>0</v>
      </c>
      <c r="CN29" s="2">
        <f t="shared" si="3"/>
        <v>6.0000000000000005E-2</v>
      </c>
      <c r="CO29" s="2">
        <f t="shared" si="4"/>
        <v>1.4999999999999999E-2</v>
      </c>
      <c r="CP29" s="2">
        <f t="shared" si="5"/>
        <v>0</v>
      </c>
      <c r="CQ29" s="2">
        <f t="shared" si="6"/>
        <v>7.5000000000000011E-2</v>
      </c>
    </row>
    <row r="30" spans="1:95" x14ac:dyDescent="0.35">
      <c r="A30" s="8">
        <v>21</v>
      </c>
      <c r="B30" s="8" t="s">
        <v>264</v>
      </c>
      <c r="C30" s="8" t="s">
        <v>148</v>
      </c>
      <c r="D30" s="8" t="s">
        <v>196</v>
      </c>
      <c r="E30" s="8">
        <v>12.816666666667</v>
      </c>
      <c r="F30" s="8" t="s">
        <v>130</v>
      </c>
      <c r="G30" s="19" t="s">
        <v>275</v>
      </c>
      <c r="H30" s="9">
        <f>COUNTIFS(Tracking!E:E,A30,Tracking!D:D,C30,Tracking!C:C,"5v5")</f>
        <v>6</v>
      </c>
      <c r="I30" s="9">
        <f>COUNTIFS(Tracking!E:E,A30,Tracking!D:D,C30,Tracking!N:N,"y",Tracking!C:C,"5v5")</f>
        <v>6</v>
      </c>
      <c r="J30" s="9">
        <f>COUNTIFS(Tracking!E:E,A30,Tracking!D:D,C30,Tracking!M:M,"y",Tracking!C:C,"5v5")</f>
        <v>4</v>
      </c>
      <c r="K30" s="9">
        <f t="shared" si="0"/>
        <v>4</v>
      </c>
      <c r="L30" s="9">
        <f>COUNTIFS(Tracking!G:G,A30,Tracking!D:D,C30,Tracking!C:C,"5v5")</f>
        <v>3</v>
      </c>
      <c r="M30" s="9">
        <f>COUNTIFS(Tracking!H:H,A30,Tracking!D:D,C30,Tracking!C:C,"5v5")</f>
        <v>1</v>
      </c>
      <c r="N30" s="9">
        <f>COUNTIFS(Tracking!I:I,A30,Tracking!D:D,C30,Tracking!C:C,"5v5")</f>
        <v>0</v>
      </c>
      <c r="O30" s="9">
        <f>COUNTIFS(Tracking!G:G,A30,Tracking!D:D,C30,Tracking!C:C,"5v5",Tracking!M:M,"y")</f>
        <v>3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1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0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1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0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0</v>
      </c>
      <c r="V30" s="9">
        <f>COUNTIFS(Tracking!E:E,A30,Tracking!D:D,C30,Tracking!C:C,"5v5",Tracking!P:P,"r")</f>
        <v>0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1</v>
      </c>
      <c r="X30" s="9">
        <f>COUNTIFS(Tracking!E:E,A30,Tracking!D:D,C30,Tracking!C:C,"5v5",Tracking!P:P,"f")</f>
        <v>4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2</v>
      </c>
      <c r="Z30" s="9">
        <f>COUNTIFS(Tracking!E:E,A30,Tracking!D:D,C30,Tracking!C:C,"5v5",Tracking!P:P,"c")</f>
        <v>1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1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0</v>
      </c>
      <c r="AC30" s="11">
        <f>COUNTIFS(Tracking!Z:Z,A30&amp;C30,Tracking!C:C,"5v5")-AE30</f>
        <v>2</v>
      </c>
      <c r="AD30" s="11">
        <f>COUNTIFS(Tracking!Z:Z,A30&amp;C30,Tracking!C:C,"5v5",Tracking!Y:Y,"C")</f>
        <v>1</v>
      </c>
      <c r="AE30" s="11">
        <f>COUNTIFS(Tracking!Z:Z,A30&amp;C30,Tracking!C:C,"5v5",Tracking!Y:Y,"F")</f>
        <v>0</v>
      </c>
      <c r="AF30" s="11">
        <f>COUNTIFS(Tracking!Z:Z,A30&amp;C30,Tracking!C:C,"5v5",Tracking!Y:Y,"C",Tracking!AB:AB,"Y")</f>
        <v>0</v>
      </c>
      <c r="AG30" s="11">
        <f>COUNTIFS(Tracking!AD:AD,A30&amp;C30,Tracking!C:C,"5v5")</f>
        <v>2</v>
      </c>
      <c r="AH30" s="11">
        <f>COUNTIFS(Tracking!Z:Z,A30&amp;C30,Tracking!C:C,"5v5",Tracking!Y:Y,"C",Tracking!AE:AE,"Y")</f>
        <v>1</v>
      </c>
      <c r="AI30" s="11">
        <f>COUNTIFS(Tracking!Z:Z,A30&amp;C30,Tracking!C:C,"5v5",Tracking!Y:Y,"D",Tracking!AE:AE,"Y")</f>
        <v>0</v>
      </c>
      <c r="AJ30" s="11">
        <f>COUNTIFS(Tracking!AH:AH,A30&amp;C30)</f>
        <v>1</v>
      </c>
      <c r="AK30" s="5">
        <f>COUNTIFS(Tracking!AI:AI,A30&amp;C30,Tracking!C:C,"5v5")+AL30</f>
        <v>0</v>
      </c>
      <c r="AL30" s="5">
        <f>COUNTIFS(Tracking!AF:AF,A30&amp;C30,Tracking!C:C,"5v5")-AT30</f>
        <v>0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0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0</v>
      </c>
      <c r="AO30" s="5">
        <f>COUNTIFS(Tracking!AF:AF,A30&amp;C30,Tracking!C:C,"5v5",Tracking!AG:AG,"CEX")+COUNTIFS(Tracking!AI:AI,A30&amp;C30,Tracking!C:C,"5v5",Tracking!AJ:AJ,"CEX")</f>
        <v>0</v>
      </c>
      <c r="AP30" s="5">
        <f>COUNTIFS(Tracking!AF:AF,A30&amp;C30,Tracking!C:C,"5v5",Tracking!AG:AG,"PEX")</f>
        <v>0</v>
      </c>
      <c r="AQ30" s="5">
        <f>COUNTIFS(Tracking!AF:AF,A30&amp;C30,Tracking!C:C,"5v5",Tracking!AG:AG,"CLE")+COUNTIFS(Tracking!AI:AI,A30&amp;C30,Tracking!C:C,"5v5",Tracking!AJ:AJ,"CLE")</f>
        <v>0</v>
      </c>
      <c r="AR30" s="5">
        <f>COUNTIFS(Tracking!AF:AF,A30&amp;C30,Tracking!C:C,"5v5",Tracking!AG:AG,"MEX")</f>
        <v>0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0</v>
      </c>
      <c r="AT30" s="5">
        <f>COUNTIFS(Tracking!AF:AF,A30&amp;C30,Tracking!C:C,"5v5",Tracking!AG:AG,"BOT")+COUNTIFS(Tracking!AF:AF,A30&amp;C30,Tracking!C:C,"5v5",Tracking!AG:AG,"FEX")</f>
        <v>0</v>
      </c>
      <c r="AU30" s="5">
        <f>COUNTIFS(Tracking!AF:AF,A30&amp;C30,Tracking!C:C,"5v5",Tracking!AG:AG,"EXC")</f>
        <v>0</v>
      </c>
      <c r="AV30" s="5">
        <f>COUNTIFS(Tracking!AF:AF,A30&amp;C30,Tracking!C:C,"5v5",Tracking!AG:AG,"FEX")+COUNTIFS(Tracking!AI:AI,A30&amp;C30,Tracking!C:C,"5v5",Tracking!AJ:AJ,"FEX")</f>
        <v>0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0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0</v>
      </c>
      <c r="AY30" s="1">
        <f>COUNTIFS(Tracking!AA:AA,A30&amp;C30,Tracking!C:C,"5v5")</f>
        <v>0</v>
      </c>
      <c r="AZ30" s="1">
        <f>COUNTIFS(Tracking!AA:AA,A30&amp;C30,Tracking!C:C,"5v5",Tracking!Y:Y,"C")</f>
        <v>0</v>
      </c>
      <c r="BA30" s="1">
        <f>COUNTIFS(Tracking!AA:AA,A30&amp;C30,Tracking!C:C,"5v5",Tracking!Y:Y,"F")</f>
        <v>0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0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0</v>
      </c>
      <c r="BF30" s="10">
        <f>COUNTIFS(Tracking!Z:Z,A30&amp;C30,Tracking!C:C,"5v4",Tracking!Y:Y,"C")</f>
        <v>0</v>
      </c>
      <c r="BG30" s="10">
        <f>COUNTIFS(Tracking!Z:Z,A30&amp;C30,Tracking!C:C,"5v4",Tracking!AB:AB,"Y")</f>
        <v>0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1</v>
      </c>
      <c r="BK30" s="10">
        <f>COUNTIFS(Tracking!G:G,A30,Tracking!D:D,C30,Tracking!C:C,"5v4")+COUNTIFS(Tracking!H:H,A30,Tracking!D:D,C30,Tracking!C:C,"5v4")+COUNTIFS(Tracking!I:I,A30,Tracking!D:D,C30,Tracking!C:C,"5v4")</f>
        <v>2</v>
      </c>
      <c r="BL30" s="10">
        <f>COUNTIFS(Tracking!G:G,A30,Tracking!D:D,C30,Tracking!C:C,"5v4")</f>
        <v>2</v>
      </c>
      <c r="BM30" s="10">
        <f>COUNTIFS(Tracking!E:E,A30,Tracking!D:D,C30,Tracking!C:C,"5v4",Tracking!M:M,"Y")</f>
        <v>1</v>
      </c>
      <c r="BN30" s="10">
        <f>COUNTIFS(Tracking!G:G,A30,Tracking!D:D,C30,Tracking!C:C,"5v4",Tracking!M:M,"Y")</f>
        <v>2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0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1</v>
      </c>
      <c r="BR30" s="12">
        <f>COUNTIFS(Tracking!E:E,A30,Tracking!D:D,C30,Tracking!C:C,"5v5",Tracking!F:F,"o")</f>
        <v>1</v>
      </c>
      <c r="BS30" s="12">
        <f>COUNTIFS(Tracking!E:E,A30,Tracking!D:D,C30,Tracking!C:C,"5v5",Tracking!F:F,"r")</f>
        <v>1</v>
      </c>
      <c r="BT30" s="12">
        <f>COUNTIFS(Tracking!E:E,A30,Tracking!D:D,C30,Tracking!C:C,"5v5",Tracking!F:F,"t")</f>
        <v>2</v>
      </c>
      <c r="BU30" s="12">
        <f>COUNTIFS(Tracking!G:G,A30,Tracking!D:D,C30,Tracking!C:C,"5v5",Tracking!F:F,"o")</f>
        <v>1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0</v>
      </c>
      <c r="BX30" s="12">
        <f>COUNTIFS(Tracking!E:E,A30,Tracking!D:D,C30,Tracking!C:C,"5v5",Tracking!Q:Q,"OZ")</f>
        <v>6</v>
      </c>
      <c r="BY30" s="12">
        <f>COUNTIFS(Tracking!E:E,A30,Tracking!D:D,C30,Tracking!C:C,"5v5",Tracking!Q:Q,"nZ")</f>
        <v>0</v>
      </c>
      <c r="BZ30" s="12">
        <f>COUNTIFS(Tracking!E:E,A30,Tracking!D:D,C30,Tracking!C:C,"5v5",Tracking!Q:Q,"dZ")</f>
        <v>0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3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0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1</v>
      </c>
      <c r="CD30" s="12">
        <f>COUNTIFS(Tracking!E:E,A30,Tracking!D:D,C30,Tracking!C:C,"5v5",Tracking!R:R,"dz exit")</f>
        <v>0</v>
      </c>
      <c r="CE30" s="12">
        <f>COUNTIFS(Tracking!E:E,A30,Tracking!D:D,C30,Tracking!C:C,"5v5",Tracking!R:R,"dz counter")</f>
        <v>0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0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0</v>
      </c>
      <c r="CJ30" s="2">
        <f t="shared" si="1"/>
        <v>1.87</v>
      </c>
      <c r="CK30" s="2">
        <f t="shared" si="7"/>
        <v>1.4650000000000001</v>
      </c>
      <c r="CL30" s="2">
        <f t="shared" si="2"/>
        <v>0.1</v>
      </c>
      <c r="CM30" s="2">
        <f t="shared" si="9"/>
        <v>0</v>
      </c>
      <c r="CN30" s="2">
        <f t="shared" si="3"/>
        <v>0</v>
      </c>
      <c r="CO30" s="2">
        <f t="shared" si="4"/>
        <v>0.105</v>
      </c>
      <c r="CP30" s="2">
        <f t="shared" si="5"/>
        <v>0.2</v>
      </c>
      <c r="CQ30" s="2">
        <f t="shared" si="6"/>
        <v>1.6700000000000002</v>
      </c>
    </row>
    <row r="31" spans="1:95" x14ac:dyDescent="0.35">
      <c r="A31" s="8">
        <v>16</v>
      </c>
      <c r="B31" s="8" t="s">
        <v>265</v>
      </c>
      <c r="C31" s="8" t="s">
        <v>148</v>
      </c>
      <c r="D31" s="8" t="s">
        <v>196</v>
      </c>
      <c r="E31" s="8">
        <v>8.0166666666666995</v>
      </c>
      <c r="F31" s="8" t="s">
        <v>130</v>
      </c>
      <c r="G31" s="19" t="s">
        <v>275</v>
      </c>
      <c r="H31" s="9">
        <f>COUNTIFS(Tracking!E:E,A31,Tracking!D:D,C31,Tracking!C:C,"5v5")</f>
        <v>0</v>
      </c>
      <c r="I31" s="9">
        <f>COUNTIFS(Tracking!E:E,A31,Tracking!D:D,C31,Tracking!N:N,"y",Tracking!C:C,"5v5")</f>
        <v>0</v>
      </c>
      <c r="J31" s="9">
        <f>COUNTIFS(Tracking!E:E,A31,Tracking!D:D,C31,Tracking!M:M,"y",Tracking!C:C,"5v5")</f>
        <v>0</v>
      </c>
      <c r="K31" s="9">
        <f t="shared" si="0"/>
        <v>0</v>
      </c>
      <c r="L31" s="9">
        <f>COUNTIFS(Tracking!G:G,A31,Tracking!D:D,C31,Tracking!C:C,"5v5")</f>
        <v>0</v>
      </c>
      <c r="M31" s="9">
        <f>COUNTIFS(Tracking!H:H,A31,Tracking!D:D,C31,Tracking!C:C,"5v5")</f>
        <v>0</v>
      </c>
      <c r="N31" s="9">
        <f>COUNTIFS(Tracking!I:I,A31,Tracking!D:D,C31,Tracking!C:C,"5v5")</f>
        <v>0</v>
      </c>
      <c r="O31" s="9">
        <f>COUNTIFS(Tracking!G:G,A31,Tracking!D:D,C31,Tracking!C:C,"5v5",Tracking!M:M,"y")</f>
        <v>0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0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0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0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0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0</v>
      </c>
      <c r="V31" s="9">
        <f>COUNTIFS(Tracking!E:E,A31,Tracking!D:D,C31,Tracking!C:C,"5v5",Tracking!P:P,"r")</f>
        <v>0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0</v>
      </c>
      <c r="X31" s="9">
        <f>COUNTIFS(Tracking!E:E,A31,Tracking!D:D,C31,Tracking!C:C,"5v5",Tracking!P:P,"f")</f>
        <v>0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0</v>
      </c>
      <c r="Z31" s="9">
        <f>COUNTIFS(Tracking!E:E,A31,Tracking!D:D,C31,Tracking!C:C,"5v5",Tracking!P:P,"c")</f>
        <v>0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0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0</v>
      </c>
      <c r="AC31" s="11">
        <f>COUNTIFS(Tracking!Z:Z,A31&amp;C31,Tracking!C:C,"5v5")-AE31</f>
        <v>1</v>
      </c>
      <c r="AD31" s="11">
        <f>COUNTIFS(Tracking!Z:Z,A31&amp;C31,Tracking!C:C,"5v5",Tracking!Y:Y,"C")</f>
        <v>0</v>
      </c>
      <c r="AE31" s="11">
        <f>COUNTIFS(Tracking!Z:Z,A31&amp;C31,Tracking!C:C,"5v5",Tracking!Y:Y,"F")</f>
        <v>0</v>
      </c>
      <c r="AF31" s="11">
        <f>COUNTIFS(Tracking!Z:Z,A31&amp;C31,Tracking!C:C,"5v5",Tracking!Y:Y,"C",Tracking!AB:AB,"Y")</f>
        <v>0</v>
      </c>
      <c r="AG31" s="11">
        <f>COUNTIFS(Tracking!AD:AD,A31&amp;C31,Tracking!C:C,"5v5")</f>
        <v>2</v>
      </c>
      <c r="AH31" s="11">
        <f>COUNTIFS(Tracking!Z:Z,A31&amp;C31,Tracking!C:C,"5v5",Tracking!Y:Y,"C",Tracking!AE:AE,"Y")</f>
        <v>0</v>
      </c>
      <c r="AI31" s="11">
        <f>COUNTIFS(Tracking!Z:Z,A31&amp;C31,Tracking!C:C,"5v5",Tracking!Y:Y,"D",Tracking!AE:AE,"Y")</f>
        <v>0</v>
      </c>
      <c r="AJ31" s="11">
        <f>COUNTIFS(Tracking!AH:AH,A31&amp;C31)</f>
        <v>3</v>
      </c>
      <c r="AK31" s="5">
        <f>COUNTIFS(Tracking!AI:AI,A31&amp;C31,Tracking!C:C,"5v5")+AL31</f>
        <v>0</v>
      </c>
      <c r="AL31" s="5">
        <f>COUNTIFS(Tracking!AF:AF,A31&amp;C31,Tracking!C:C,"5v5")-AT31</f>
        <v>0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0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0</v>
      </c>
      <c r="AO31" s="5">
        <f>COUNTIFS(Tracking!AF:AF,A31&amp;C31,Tracking!C:C,"5v5",Tracking!AG:AG,"CEX")+COUNTIFS(Tracking!AI:AI,A31&amp;C31,Tracking!C:C,"5v5",Tracking!AJ:AJ,"CEX")</f>
        <v>0</v>
      </c>
      <c r="AP31" s="5">
        <f>COUNTIFS(Tracking!AF:AF,A31&amp;C31,Tracking!C:C,"5v5",Tracking!AG:AG,"PEX")</f>
        <v>0</v>
      </c>
      <c r="AQ31" s="5">
        <f>COUNTIFS(Tracking!AF:AF,A31&amp;C31,Tracking!C:C,"5v5",Tracking!AG:AG,"CLE")+COUNTIFS(Tracking!AI:AI,A31&amp;C31,Tracking!C:C,"5v5",Tracking!AJ:AJ,"CLE")</f>
        <v>0</v>
      </c>
      <c r="AR31" s="5">
        <f>COUNTIFS(Tracking!AF:AF,A31&amp;C31,Tracking!C:C,"5v5",Tracking!AG:AG,"MEX")</f>
        <v>0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0</v>
      </c>
      <c r="AT31" s="5">
        <f>COUNTIFS(Tracking!AF:AF,A31&amp;C31,Tracking!C:C,"5v5",Tracking!AG:AG,"BOT")+COUNTIFS(Tracking!AF:AF,A31&amp;C31,Tracking!C:C,"5v5",Tracking!AG:AG,"FEX")</f>
        <v>0</v>
      </c>
      <c r="AU31" s="5">
        <f>COUNTIFS(Tracking!AF:AF,A31&amp;C31,Tracking!C:C,"5v5",Tracking!AG:AG,"EXC")</f>
        <v>0</v>
      </c>
      <c r="AV31" s="5">
        <f>COUNTIFS(Tracking!AF:AF,A31&amp;C31,Tracking!C:C,"5v5",Tracking!AG:AG,"FEX")+COUNTIFS(Tracking!AI:AI,A31&amp;C31,Tracking!C:C,"5v5",Tracking!AJ:AJ,"FEX")</f>
        <v>0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0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0</v>
      </c>
      <c r="AY31" s="1">
        <f>COUNTIFS(Tracking!AA:AA,A31&amp;C31,Tracking!C:C,"5v5")</f>
        <v>0</v>
      </c>
      <c r="AZ31" s="1">
        <f>COUNTIFS(Tracking!AA:AA,A31&amp;C31,Tracking!C:C,"5v5",Tracking!Y:Y,"C")</f>
        <v>0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0</v>
      </c>
      <c r="BD31" s="1">
        <f>COUNTIFS(Tracking!AA:AA,A31&amp;C31,Tracking!C:C,"5v5",Tracking!Y:Y,"D",Tracking!AE:AE,"Y")</f>
        <v>0</v>
      </c>
      <c r="BE31" s="10">
        <f>COUNTIFS(Tracking!Z:Z,A31&amp;C31,Tracking!C:C,"5v4")</f>
        <v>0</v>
      </c>
      <c r="BF31" s="10">
        <f>COUNTIFS(Tracking!Z:Z,A31&amp;C31,Tracking!C:C,"5v4",Tracking!Y:Y,"C")</f>
        <v>0</v>
      </c>
      <c r="BG31" s="10">
        <f>COUNTIFS(Tracking!Z:Z,A31&amp;C31,Tracking!C:C,"5v4",Tracking!AB:AB,"Y")</f>
        <v>0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0</v>
      </c>
      <c r="BK31" s="10">
        <f>COUNTIFS(Tracking!G:G,A31,Tracking!D:D,C31,Tracking!C:C,"5v4")+COUNTIFS(Tracking!H:H,A31,Tracking!D:D,C31,Tracking!C:C,"5v4")+COUNTIFS(Tracking!I:I,A31,Tracking!D:D,C31,Tracking!C:C,"5v4")</f>
        <v>0</v>
      </c>
      <c r="BL31" s="10">
        <f>COUNTIFS(Tracking!G:G,A31,Tracking!D:D,C31,Tracking!C:C,"5v4")</f>
        <v>0</v>
      </c>
      <c r="BM31" s="10">
        <f>COUNTIFS(Tracking!E:E,A31,Tracking!D:D,C31,Tracking!C:C,"5v4",Tracking!M:M,"Y")</f>
        <v>0</v>
      </c>
      <c r="BN31" s="10">
        <f>COUNTIFS(Tracking!G:G,A31,Tracking!D:D,C31,Tracking!C:C,"5v4",Tracking!M:M,"Y")</f>
        <v>0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0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0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0</v>
      </c>
      <c r="BR31" s="12">
        <f>COUNTIFS(Tracking!E:E,A31,Tracking!D:D,C31,Tracking!C:C,"5v5",Tracking!F:F,"o")</f>
        <v>0</v>
      </c>
      <c r="BS31" s="12">
        <f>COUNTIFS(Tracking!E:E,A31,Tracking!D:D,C31,Tracking!C:C,"5v5",Tracking!F:F,"r")</f>
        <v>0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0</v>
      </c>
      <c r="BV31" s="12">
        <f>COUNTIFS(Tracking!E:E,A30,Tracking!D:D,C31,Tracking!C:C,"5v5",Tracking!F:F,"r")</f>
        <v>1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0</v>
      </c>
      <c r="BY31" s="12">
        <f>COUNTIFS(Tracking!E:E,A31,Tracking!D:D,C31,Tracking!C:C,"5v5",Tracking!Q:Q,"nZ")</f>
        <v>0</v>
      </c>
      <c r="BZ31" s="12">
        <f>COUNTIFS(Tracking!E:E,A31,Tracking!D:D,C31,Tracking!C:C,"5v5",Tracking!Q:Q,"dZ")</f>
        <v>0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0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0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0</v>
      </c>
      <c r="CD31" s="12">
        <f>COUNTIFS(Tracking!E:E,A31,Tracking!D:D,C31,Tracking!C:C,"5v5",Tracking!R:R,"dz exit")</f>
        <v>0</v>
      </c>
      <c r="CE31" s="12">
        <f>COUNTIFS(Tracking!E:E,A31,Tracking!D:D,C31,Tracking!C:C,"5v5",Tracking!R:R,"dz counter")</f>
        <v>0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0</v>
      </c>
      <c r="CI31" s="12">
        <f>COUNTIFS(Tracking!E:E,A31,Tracking!D:D,C31,Tracking!C:C,"5v5",Tracking!R:R,"controlled breakout")</f>
        <v>0</v>
      </c>
      <c r="CJ31" s="2">
        <f t="shared" si="1"/>
        <v>0.13500000000000001</v>
      </c>
      <c r="CK31" s="2">
        <f t="shared" si="7"/>
        <v>0</v>
      </c>
      <c r="CL31" s="2">
        <f t="shared" si="2"/>
        <v>0</v>
      </c>
      <c r="CM31" s="2">
        <f t="shared" si="9"/>
        <v>0</v>
      </c>
      <c r="CN31" s="2">
        <f t="shared" si="3"/>
        <v>0</v>
      </c>
      <c r="CO31" s="2">
        <f t="shared" si="4"/>
        <v>0.13500000000000001</v>
      </c>
      <c r="CP31" s="2">
        <f t="shared" si="5"/>
        <v>0</v>
      </c>
      <c r="CQ31" s="2">
        <f t="shared" si="6"/>
        <v>0.13500000000000001</v>
      </c>
    </row>
    <row r="32" spans="1:95" x14ac:dyDescent="0.35">
      <c r="A32" s="8">
        <v>7</v>
      </c>
      <c r="B32" s="8" t="s">
        <v>266</v>
      </c>
      <c r="C32" s="8" t="s">
        <v>148</v>
      </c>
      <c r="D32" s="8" t="s">
        <v>179</v>
      </c>
      <c r="E32" s="8">
        <v>10.55</v>
      </c>
      <c r="F32" s="8" t="s">
        <v>130</v>
      </c>
      <c r="G32" s="19" t="s">
        <v>275</v>
      </c>
      <c r="H32" s="9">
        <f>COUNTIFS(Tracking!E:E,A32,Tracking!D:D,C32,Tracking!C:C,"5v5")</f>
        <v>1</v>
      </c>
      <c r="I32" s="9">
        <f>COUNTIFS(Tracking!E:E,A32,Tracking!D:D,C32,Tracking!N:N,"y",Tracking!C:C,"5v5")</f>
        <v>1</v>
      </c>
      <c r="J32" s="9">
        <f>COUNTIFS(Tracking!E:E,A32,Tracking!D:D,C32,Tracking!M:M,"y",Tracking!C:C,"5v5")</f>
        <v>0</v>
      </c>
      <c r="K32" s="9">
        <f t="shared" si="0"/>
        <v>1</v>
      </c>
      <c r="L32" s="9">
        <f>COUNTIFS(Tracking!G:G,A32,Tracking!D:D,C32,Tracking!C:C,"5v5")</f>
        <v>0</v>
      </c>
      <c r="M32" s="9">
        <f>COUNTIFS(Tracking!H:H,A32,Tracking!D:D,C32,Tracking!C:C,"5v5")</f>
        <v>1</v>
      </c>
      <c r="N32" s="9">
        <f>COUNTIFS(Tracking!I:I,A32,Tracking!D:D,C32,Tracking!C:C,"5v5")</f>
        <v>0</v>
      </c>
      <c r="O32" s="9">
        <f>COUNTIFS(Tracking!G:G,A32,Tracking!D:D,C32,Tracking!C:C,"5v5",Tracking!M:M,"y")</f>
        <v>0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0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0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0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0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0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0</v>
      </c>
      <c r="V32" s="9">
        <f>COUNTIFS(Tracking!E:E,A32,Tracking!D:D,C32,Tracking!C:C,"5v5",Tracking!P:P,"r")</f>
        <v>0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0</v>
      </c>
      <c r="X32" s="9">
        <f>COUNTIFS(Tracking!E:E,A32,Tracking!D:D,C32,Tracking!C:C,"5v5",Tracking!P:P,"f")</f>
        <v>0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1</v>
      </c>
      <c r="Z32" s="9">
        <f>COUNTIFS(Tracking!E:E,A32,Tracking!D:D,C32,Tracking!C:C,"5v5",Tracking!P:P,"c")</f>
        <v>1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1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0</v>
      </c>
      <c r="AC32" s="11">
        <f>COUNTIFS(Tracking!Z:Z,A32&amp;C32,Tracking!C:C,"5v5")-AE32</f>
        <v>4</v>
      </c>
      <c r="AD32" s="11">
        <f>COUNTIFS(Tracking!Z:Z,A32&amp;C32,Tracking!C:C,"5v5",Tracking!Y:Y,"C")</f>
        <v>1</v>
      </c>
      <c r="AE32" s="11">
        <f>COUNTIFS(Tracking!Z:Z,A32&amp;C32,Tracking!C:C,"5v5",Tracking!Y:Y,"F")</f>
        <v>0</v>
      </c>
      <c r="AF32" s="11">
        <f>COUNTIFS(Tracking!Z:Z,A32&amp;C32,Tracking!C:C,"5v5",Tracking!Y:Y,"C",Tracking!AB:AB,"Y")</f>
        <v>1</v>
      </c>
      <c r="AG32" s="11">
        <f>COUNTIFS(Tracking!AD:AD,A32&amp;C32,Tracking!C:C,"5v5")</f>
        <v>1</v>
      </c>
      <c r="AH32" s="11">
        <f>COUNTIFS(Tracking!Z:Z,A32&amp;C32,Tracking!C:C,"5v5",Tracking!Y:Y,"C",Tracking!AE:AE,"Y")</f>
        <v>0</v>
      </c>
      <c r="AI32" s="11">
        <f>COUNTIFS(Tracking!Z:Z,A32&amp;C32,Tracking!C:C,"5v5",Tracking!Y:Y,"D",Tracking!AE:AE,"Y")</f>
        <v>0</v>
      </c>
      <c r="AJ32" s="11">
        <f>COUNTIFS(Tracking!AH:AH,A32&amp;C32)</f>
        <v>1</v>
      </c>
      <c r="AK32" s="5">
        <f>COUNTIFS(Tracking!AI:AI,A32&amp;C32,Tracking!C:C,"5v5")+AL32</f>
        <v>2</v>
      </c>
      <c r="AL32" s="5">
        <f>COUNTIFS(Tracking!AF:AF,A32&amp;C32,Tracking!C:C,"5v5")-AT32</f>
        <v>1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1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1</v>
      </c>
      <c r="AO32" s="5">
        <f>COUNTIFS(Tracking!AF:AF,A32&amp;C32,Tracking!C:C,"5v5",Tracking!AG:AG,"CEX")+COUNTIFS(Tracking!AI:AI,A32&amp;C32,Tracking!C:C,"5v5",Tracking!AJ:AJ,"CEX")</f>
        <v>1</v>
      </c>
      <c r="AP32" s="5">
        <f>COUNTIFS(Tracking!AF:AF,A32&amp;C32,Tracking!C:C,"5v5",Tracking!AG:AG,"PEX")</f>
        <v>0</v>
      </c>
      <c r="AQ32" s="5">
        <f>COUNTIFS(Tracking!AF:AF,A32&amp;C32,Tracking!C:C,"5v5",Tracking!AG:AG,"CLE")+COUNTIFS(Tracking!AI:AI,A32&amp;C32,Tracking!C:C,"5v5",Tracking!AJ:AJ,"CLE")</f>
        <v>0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1</v>
      </c>
      <c r="AT32" s="5">
        <f>COUNTIFS(Tracking!AF:AF,A32&amp;C32,Tracking!C:C,"5v5",Tracking!AG:AG,"BOT")+COUNTIFS(Tracking!AF:AF,A32&amp;C32,Tracking!C:C,"5v5",Tracking!AG:AG,"FEX")</f>
        <v>0</v>
      </c>
      <c r="AU32" s="5">
        <f>COUNTIFS(Tracking!AF:AF,A32&amp;C32,Tracking!C:C,"5v5",Tracking!AG:AG,"EXC")</f>
        <v>0</v>
      </c>
      <c r="AV32" s="5">
        <f>COUNTIFS(Tracking!AF:AF,A32&amp;C32,Tracking!C:C,"5v5",Tracking!AG:AG,"FEX")+COUNTIFS(Tracking!AI:AI,A32&amp;C32,Tracking!C:C,"5v5",Tracking!AJ:AJ,"FEX")</f>
        <v>1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1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0</v>
      </c>
      <c r="AY32" s="1">
        <f>COUNTIFS(Tracking!AA:AA,A32&amp;C32,Tracking!C:C,"5v5")</f>
        <v>0</v>
      </c>
      <c r="AZ32" s="1">
        <f>COUNTIFS(Tracking!AA:AA,A32&amp;C32,Tracking!C:C,"5v5",Tracking!Y:Y,"C")</f>
        <v>0</v>
      </c>
      <c r="BA32" s="1">
        <f>COUNTIFS(Tracking!AA:AA,A32&amp;C32,Tracking!C:C,"5v5",Tracking!Y:Y,"F")</f>
        <v>0</v>
      </c>
      <c r="BB32" s="1">
        <f>COUNTIFS(Tracking!AA:AA,A32&amp;C32,Tracking!C:C,"5v5",Tracking!AB:AB,"Y")</f>
        <v>0</v>
      </c>
      <c r="BC32" s="1">
        <f>COUNTIFS(Tracking!AA:AA,A32&amp;C32,Tracking!C:C,"5v5",Tracking!Y:Y,"C",Tracking!AE:AE,"Y")</f>
        <v>0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1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1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0</v>
      </c>
      <c r="BJ32" s="10">
        <f>COUNTIFS(Tracking!E:E,A32,Tracking!D:D,C32,Tracking!C:C,"5v4")</f>
        <v>0</v>
      </c>
      <c r="BK32" s="10">
        <f>COUNTIFS(Tracking!G:G,A32,Tracking!D:D,C32,Tracking!C:C,"5v4")+COUNTIFS(Tracking!H:H,A32,Tracking!D:D,C32,Tracking!C:C,"5v4")+COUNTIFS(Tracking!I:I,A32,Tracking!D:D,C32,Tracking!C:C,"5v4")</f>
        <v>0</v>
      </c>
      <c r="BL32" s="10">
        <f>COUNTIFS(Tracking!G:G,A32,Tracking!D:D,C32,Tracking!C:C,"5v4")</f>
        <v>0</v>
      </c>
      <c r="BM32" s="10">
        <f>COUNTIFS(Tracking!E:E,A32,Tracking!D:D,C32,Tracking!C:C,"5v4",Tracking!M:M,"Y")</f>
        <v>0</v>
      </c>
      <c r="BN32" s="10">
        <f>COUNTIFS(Tracking!G:G,A32,Tracking!D:D,C32,Tracking!C:C,"5v4",Tracking!M:M,"Y")</f>
        <v>0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0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0</v>
      </c>
      <c r="BU32" s="12">
        <f>COUNTIFS(Tracking!G:G,A32,Tracking!D:D,C32,Tracking!C:C,"5v5",Tracking!F:F,"o")</f>
        <v>0</v>
      </c>
      <c r="BV32" s="12">
        <f>COUNTIFS(Tracking!E:E,A31,Tracking!D:D,C32,Tracking!C:C,"5v5",Tracking!F:F,"r")</f>
        <v>0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1</v>
      </c>
      <c r="BY32" s="12">
        <f>COUNTIFS(Tracking!E:E,A32,Tracking!D:D,C32,Tracking!C:C,"5v5",Tracking!Q:Q,"nZ")</f>
        <v>0</v>
      </c>
      <c r="BZ32" s="12">
        <f>COUNTIFS(Tracking!E:E,A32,Tracking!D:D,C32,Tracking!C:C,"5v5",Tracking!Q:Q,"dZ")</f>
        <v>0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1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0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0</v>
      </c>
      <c r="CD32" s="12">
        <f>COUNTIFS(Tracking!E:E,A32,Tracking!D:D,C32,Tracking!C:C,"5v5",Tracking!R:R,"dz exit")</f>
        <v>0</v>
      </c>
      <c r="CE32" s="12">
        <f>COUNTIFS(Tracking!E:E,A32,Tracking!D:D,C32,Tracking!C:C,"5v5",Tracking!R:R,"dz counter")</f>
        <v>0</v>
      </c>
      <c r="CF32" s="12">
        <f>COUNTIFS(Tracking!E:E,A32,Tracking!D:D,C32,Tracking!C:C,"5v5",Tracking!R:R,"nz turnover")</f>
        <v>0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0</v>
      </c>
      <c r="CJ32" s="2">
        <f t="shared" si="1"/>
        <v>0.29500000000000004</v>
      </c>
      <c r="CK32" s="2">
        <f t="shared" si="7"/>
        <v>0.13</v>
      </c>
      <c r="CL32" s="2">
        <f t="shared" si="2"/>
        <v>4.4999999999999998E-2</v>
      </c>
      <c r="CM32" s="2">
        <f t="shared" si="9"/>
        <v>0</v>
      </c>
      <c r="CN32" s="2">
        <f t="shared" si="3"/>
        <v>2.5000000000000001E-2</v>
      </c>
      <c r="CO32" s="2">
        <f t="shared" si="4"/>
        <v>0.06</v>
      </c>
      <c r="CP32" s="2">
        <f t="shared" si="5"/>
        <v>3.5000000000000003E-2</v>
      </c>
      <c r="CQ32" s="2">
        <f t="shared" si="6"/>
        <v>0.26</v>
      </c>
    </row>
    <row r="33" spans="1:95" x14ac:dyDescent="0.35">
      <c r="A33" s="8">
        <v>8</v>
      </c>
      <c r="B33" s="8" t="s">
        <v>267</v>
      </c>
      <c r="C33" s="8" t="s">
        <v>148</v>
      </c>
      <c r="D33" s="8" t="s">
        <v>189</v>
      </c>
      <c r="E33" s="8">
        <v>15.416666666667</v>
      </c>
      <c r="F33" s="8" t="s">
        <v>130</v>
      </c>
      <c r="G33" s="19" t="s">
        <v>275</v>
      </c>
      <c r="H33" s="9">
        <f>COUNTIFS(Tracking!E:E,A33,Tracking!D:D,C33,Tracking!C:C,"5v5")</f>
        <v>5</v>
      </c>
      <c r="I33" s="9">
        <f>COUNTIFS(Tracking!E:E,A33,Tracking!D:D,C33,Tracking!N:N,"y",Tracking!C:C,"5v5")</f>
        <v>5</v>
      </c>
      <c r="J33" s="9">
        <f>COUNTIFS(Tracking!E:E,A33,Tracking!D:D,C33,Tracking!M:M,"y",Tracking!C:C,"5v5")</f>
        <v>1</v>
      </c>
      <c r="K33" s="9">
        <f t="shared" si="0"/>
        <v>3</v>
      </c>
      <c r="L33" s="9">
        <f>COUNTIFS(Tracking!G:G,A33,Tracking!D:D,C33,Tracking!C:C,"5v5")</f>
        <v>2</v>
      </c>
      <c r="M33" s="9">
        <f>COUNTIFS(Tracking!H:H,A33,Tracking!D:D,C33,Tracking!C:C,"5v5")</f>
        <v>1</v>
      </c>
      <c r="N33" s="9">
        <f>COUNTIFS(Tracking!I:I,A33,Tracking!D:D,C33,Tracking!C:C,"5v5")</f>
        <v>0</v>
      </c>
      <c r="O33" s="9">
        <f>COUNTIFS(Tracking!G:G,A33,Tracking!D:D,C33,Tracking!C:C,"5v5",Tracking!M:M,"y")</f>
        <v>2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0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1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0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0</v>
      </c>
      <c r="V33" s="9">
        <f>COUNTIFS(Tracking!E:E,A33,Tracking!D:D,C33,Tracking!C:C,"5v5",Tracking!P:P,"r")</f>
        <v>0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0</v>
      </c>
      <c r="X33" s="9">
        <f>COUNTIFS(Tracking!E:E,A33,Tracking!D:D,C33,Tracking!C:C,"5v5",Tracking!P:P,"f")</f>
        <v>4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1</v>
      </c>
      <c r="Z33" s="9">
        <f>COUNTIFS(Tracking!E:E,A33,Tracking!D:D,C33,Tracking!C:C,"5v5",Tracking!P:P,"c")</f>
        <v>0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1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0</v>
      </c>
      <c r="AC33" s="11">
        <f>COUNTIFS(Tracking!Z:Z,A33&amp;C33,Tracking!C:C,"5v5")-AE33</f>
        <v>0</v>
      </c>
      <c r="AD33" s="11">
        <f>COUNTIFS(Tracking!Z:Z,A33&amp;C33,Tracking!C:C,"5v5",Tracking!Y:Y,"C")</f>
        <v>0</v>
      </c>
      <c r="AE33" s="11">
        <f>COUNTIFS(Tracking!Z:Z,A33&amp;C33,Tracking!C:C,"5v5",Tracking!Y:Y,"F")</f>
        <v>0</v>
      </c>
      <c r="AF33" s="11">
        <f>COUNTIFS(Tracking!Z:Z,A33&amp;C33,Tracking!C:C,"5v5",Tracking!Y:Y,"C",Tracking!AB:AB,"Y")</f>
        <v>0</v>
      </c>
      <c r="AG33" s="11">
        <f>COUNTIFS(Tracking!AD:AD,A33&amp;C33,Tracking!C:C,"5v5")</f>
        <v>0</v>
      </c>
      <c r="AH33" s="11">
        <f>COUNTIFS(Tracking!Z:Z,A33&amp;C33,Tracking!C:C,"5v5",Tracking!Y:Y,"C",Tracking!AE:AE,"Y")</f>
        <v>0</v>
      </c>
      <c r="AI33" s="11">
        <f>COUNTIFS(Tracking!Z:Z,A33&amp;C33,Tracking!C:C,"5v5",Tracking!Y:Y,"D",Tracking!AE:AE,"Y")</f>
        <v>0</v>
      </c>
      <c r="AJ33" s="11">
        <f>COUNTIFS(Tracking!AH:AH,A33&amp;C33)</f>
        <v>0</v>
      </c>
      <c r="AK33" s="5">
        <f>COUNTIFS(Tracking!AI:AI,A33&amp;C33,Tracking!C:C,"5v5")+AL33</f>
        <v>9</v>
      </c>
      <c r="AL33" s="5">
        <f>COUNTIFS(Tracking!AF:AF,A33&amp;C33,Tracking!C:C,"5v5")-AT33</f>
        <v>7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7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6</v>
      </c>
      <c r="AO33" s="5">
        <f>COUNTIFS(Tracking!AF:AF,A33&amp;C33,Tracking!C:C,"5v5",Tracking!AG:AG,"CEX")+COUNTIFS(Tracking!AI:AI,A33&amp;C33,Tracking!C:C,"5v5",Tracking!AJ:AJ,"CEX")</f>
        <v>0</v>
      </c>
      <c r="AP33" s="5">
        <f>COUNTIFS(Tracking!AF:AF,A33&amp;C33,Tracking!C:C,"5v5",Tracking!AG:AG,"PEX")</f>
        <v>4</v>
      </c>
      <c r="AQ33" s="5">
        <f>COUNTIFS(Tracking!AF:AF,A33&amp;C33,Tracking!C:C,"5v5",Tracking!AG:AG,"CLE")+COUNTIFS(Tracking!AI:AI,A33&amp;C33,Tracking!C:C,"5v5",Tracking!AJ:AJ,"CLE")</f>
        <v>1</v>
      </c>
      <c r="AR33" s="5">
        <f>COUNTIFS(Tracking!AF:AF,A33&amp;C33,Tracking!C:C,"5v5",Tracking!AG:AG,"MEX")</f>
        <v>1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5</v>
      </c>
      <c r="AT33" s="5">
        <f>COUNTIFS(Tracking!AF:AF,A33&amp;C33,Tracking!C:C,"5v5",Tracking!AG:AG,"BOT")+COUNTIFS(Tracking!AF:AF,A33&amp;C33,Tracking!C:C,"5v5",Tracking!AG:AG,"FEX")</f>
        <v>1</v>
      </c>
      <c r="AU33" s="5">
        <f>COUNTIFS(Tracking!AF:AF,A33&amp;C33,Tracking!C:C,"5v5",Tracking!AG:AG,"EXC")</f>
        <v>1</v>
      </c>
      <c r="AV33" s="5">
        <f>COUNTIFS(Tracking!AF:AF,A33&amp;C33,Tracking!C:C,"5v5",Tracking!AG:AG,"FEX")+COUNTIFS(Tracking!AI:AI,A33&amp;C33,Tracking!C:C,"5v5",Tracking!AJ:AJ,"FEX")</f>
        <v>0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5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2</v>
      </c>
      <c r="AY33" s="1">
        <f>COUNTIFS(Tracking!AA:AA,A33&amp;C33,Tracking!C:C,"5v5")</f>
        <v>1</v>
      </c>
      <c r="AZ33" s="1">
        <f>COUNTIFS(Tracking!AA:AA,A33&amp;C33,Tracking!C:C,"5v5",Tracking!Y:Y,"C")</f>
        <v>0</v>
      </c>
      <c r="BA33" s="1">
        <f>COUNTIFS(Tracking!AA:AA,A33&amp;C33,Tracking!C:C,"5v5",Tracking!Y:Y,"F")</f>
        <v>1</v>
      </c>
      <c r="BB33" s="1">
        <f>COUNTIFS(Tracking!AA:AA,A33&amp;C33,Tracking!C:C,"5v5",Tracking!AB:AB,"Y")</f>
        <v>0</v>
      </c>
      <c r="BC33" s="1">
        <f>COUNTIFS(Tracking!AA:AA,A33&amp;C33,Tracking!C:C,"5v5",Tracking!Y:Y,"C",Tracking!AE:AE,"Y")</f>
        <v>0</v>
      </c>
      <c r="BD33" s="1">
        <f>COUNTIFS(Tracking!AA:AA,A33&amp;C33,Tracking!C:C,"5v5",Tracking!Y:Y,"D",Tracking!AE:AE,"Y")</f>
        <v>0</v>
      </c>
      <c r="BE33" s="10">
        <f>COUNTIFS(Tracking!Z:Z,A33&amp;C33,Tracking!C:C,"5v4")</f>
        <v>1</v>
      </c>
      <c r="BF33" s="10">
        <f>COUNTIFS(Tracking!Z:Z,A33&amp;C33,Tracking!C:C,"5v4",Tracking!Y:Y,"C")</f>
        <v>1</v>
      </c>
      <c r="BG33" s="10">
        <f>COUNTIFS(Tracking!Z:Z,A33&amp;C33,Tracking!C:C,"5v4",Tracking!AB:AB,"Y")</f>
        <v>1</v>
      </c>
      <c r="BH33" s="10">
        <f>COUNTIFS(Tracking!Z:Z,A33&amp;C33,Tracking!C:C,"4v5")</f>
        <v>0</v>
      </c>
      <c r="BI33" s="10">
        <f>COUNTIFS(Tracking!AA:AA,A33&amp;C33,Tracking!C:C,"5v4",Tracking!Y:Y,"D")+COUNTIFS(Tracking!AA:AA,A33&amp;C33,Tracking!C:C,"5v4",Tracking!Y:Y,"F")</f>
        <v>0</v>
      </c>
      <c r="BJ33" s="10">
        <f>COUNTIFS(Tracking!E:E,A33,Tracking!D:D,C33,Tracking!C:C,"5v4")</f>
        <v>1</v>
      </c>
      <c r="BK33" s="10">
        <f>COUNTIFS(Tracking!G:G,A33,Tracking!D:D,C33,Tracking!C:C,"5v4")+COUNTIFS(Tracking!H:H,A33,Tracking!D:D,C33,Tracking!C:C,"5v4")+COUNTIFS(Tracking!I:I,A33,Tracking!D:D,C33,Tracking!C:C,"5v4")</f>
        <v>3</v>
      </c>
      <c r="BL33" s="10">
        <f>COUNTIFS(Tracking!G:G,A33,Tracking!D:D,C33,Tracking!C:C,"5v4")</f>
        <v>0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0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0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1</v>
      </c>
      <c r="BS33" s="12">
        <f>COUNTIFS(Tracking!E:E,A33,Tracking!D:D,C33,Tracking!C:C,"5v5",Tracking!F:F,"r")</f>
        <v>0</v>
      </c>
      <c r="BT33" s="12">
        <f>COUNTIFS(Tracking!E:E,A33,Tracking!D:D,C33,Tracking!C:C,"5v5",Tracking!F:F,"t")</f>
        <v>0</v>
      </c>
      <c r="BU33" s="12">
        <f>COUNTIFS(Tracking!G:G,A33,Tracking!D:D,C33,Tracking!C:C,"5v5",Tracking!F:F,"o")</f>
        <v>1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1</v>
      </c>
      <c r="BX33" s="12">
        <f>COUNTIFS(Tracking!E:E,A33,Tracking!D:D,C33,Tracking!C:C,"5v5",Tracking!Q:Q,"OZ")</f>
        <v>4</v>
      </c>
      <c r="BY33" s="12">
        <f>COUNTIFS(Tracking!E:E,A33,Tracking!D:D,C33,Tracking!C:C,"5v5",Tracking!Q:Q,"nZ")</f>
        <v>0</v>
      </c>
      <c r="BZ33" s="12">
        <f>COUNTIFS(Tracking!E:E,A33,Tracking!D:D,C33,Tracking!C:C,"5v5",Tracking!Q:Q,"dZ")</f>
        <v>0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3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0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0</v>
      </c>
      <c r="CD33" s="12">
        <f>COUNTIFS(Tracking!E:E,A33,Tracking!D:D,C33,Tracking!C:C,"5v5",Tracking!R:R,"dz exit")</f>
        <v>0</v>
      </c>
      <c r="CE33" s="12">
        <f>COUNTIFS(Tracking!E:E,A33,Tracking!D:D,C33,Tracking!C:C,"5v5",Tracking!R:R,"dz counter")</f>
        <v>0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0</v>
      </c>
      <c r="CH33" s="12">
        <f>COUNTIFS(Tracking!E:E,A33,Tracking!D:D,C33,Tracking!C:C,"5v5",Tracking!R:R,"nz reload")</f>
        <v>0</v>
      </c>
      <c r="CI33" s="12">
        <f>COUNTIFS(Tracking!E:E,A33,Tracking!D:D,C33,Tracking!C:C,"5v5",Tracking!R:R,"controlled breakout")</f>
        <v>0</v>
      </c>
      <c r="CJ33" s="2">
        <f t="shared" si="1"/>
        <v>1.2949999999999999</v>
      </c>
      <c r="CK33" s="2">
        <f t="shared" si="7"/>
        <v>0.89500000000000002</v>
      </c>
      <c r="CL33" s="2">
        <f t="shared" si="2"/>
        <v>0</v>
      </c>
      <c r="CM33" s="2">
        <f t="shared" si="9"/>
        <v>6.5000000000000002E-2</v>
      </c>
      <c r="CN33" s="2">
        <f t="shared" si="3"/>
        <v>0.30000000000000004</v>
      </c>
      <c r="CO33" s="2">
        <f t="shared" si="4"/>
        <v>0</v>
      </c>
      <c r="CP33" s="2">
        <f t="shared" si="5"/>
        <v>3.5000000000000003E-2</v>
      </c>
      <c r="CQ33" s="2">
        <f t="shared" si="6"/>
        <v>1.26</v>
      </c>
    </row>
    <row r="34" spans="1:95" x14ac:dyDescent="0.35">
      <c r="A34" s="8">
        <v>18</v>
      </c>
      <c r="B34" s="8" t="s">
        <v>268</v>
      </c>
      <c r="C34" s="8" t="s">
        <v>148</v>
      </c>
      <c r="D34" s="8" t="s">
        <v>192</v>
      </c>
      <c r="E34" s="8">
        <v>8.6999999999999993</v>
      </c>
      <c r="F34" s="8" t="s">
        <v>130</v>
      </c>
      <c r="G34" s="19" t="s">
        <v>275</v>
      </c>
      <c r="H34" s="9">
        <f>COUNTIFS(Tracking!E:E,A34,Tracking!D:D,C34,Tracking!C:C,"5v5")</f>
        <v>1</v>
      </c>
      <c r="I34" s="9">
        <f>COUNTIFS(Tracking!E:E,A34,Tracking!D:D,C34,Tracking!N:N,"y",Tracking!C:C,"5v5")</f>
        <v>1</v>
      </c>
      <c r="J34" s="9">
        <f>COUNTIFS(Tracking!E:E,A34,Tracking!D:D,C34,Tracking!M:M,"y",Tracking!C:C,"5v5")</f>
        <v>0</v>
      </c>
      <c r="K34" s="9">
        <f t="shared" si="0"/>
        <v>0</v>
      </c>
      <c r="L34" s="9">
        <f>COUNTIFS(Tracking!G:G,A34,Tracking!D:D,C34,Tracking!C:C,"5v5")</f>
        <v>0</v>
      </c>
      <c r="M34" s="9">
        <f>COUNTIFS(Tracking!H:H,A34,Tracking!D:D,C34,Tracking!C:C,"5v5")</f>
        <v>0</v>
      </c>
      <c r="N34" s="9">
        <f>COUNTIFS(Tracking!I:I,A34,Tracking!D:D,C34,Tracking!C:C,"5v5")</f>
        <v>0</v>
      </c>
      <c r="O34" s="9">
        <f>COUNTIFS(Tracking!G:G,A34,Tracking!D:D,C34,Tracking!C:C,"5v5",Tracking!M:M,"y")</f>
        <v>0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0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0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0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0</v>
      </c>
      <c r="V34" s="9">
        <f>COUNTIFS(Tracking!E:E,A34,Tracking!D:D,C34,Tracking!C:C,"5v5",Tracking!P:P,"r")</f>
        <v>0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0</v>
      </c>
      <c r="X34" s="9">
        <f>COUNTIFS(Tracking!E:E,A34,Tracking!D:D,C34,Tracking!C:C,"5v5",Tracking!P:P,"f")</f>
        <v>1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0</v>
      </c>
      <c r="Z34" s="9">
        <f>COUNTIFS(Tracking!E:E,A34,Tracking!D:D,C34,Tracking!C:C,"5v5",Tracking!P:P,"c")</f>
        <v>0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0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1</v>
      </c>
      <c r="AD34" s="11">
        <f>COUNTIFS(Tracking!Z:Z,A34&amp;C34,Tracking!C:C,"5v5",Tracking!Y:Y,"C")</f>
        <v>0</v>
      </c>
      <c r="AE34" s="11">
        <f>COUNTIFS(Tracking!Z:Z,A34&amp;C34,Tracking!C:C,"5v5",Tracking!Y:Y,"F")</f>
        <v>1</v>
      </c>
      <c r="AF34" s="11">
        <f>COUNTIFS(Tracking!Z:Z,A34&amp;C34,Tracking!C:C,"5v5",Tracking!Y:Y,"C",Tracking!AB:AB,"Y")</f>
        <v>0</v>
      </c>
      <c r="AG34" s="11">
        <f>COUNTIFS(Tracking!AD:AD,A34&amp;C34,Tracking!C:C,"5v5")</f>
        <v>1</v>
      </c>
      <c r="AH34" s="11">
        <f>COUNTIFS(Tracking!Z:Z,A34&amp;C34,Tracking!C:C,"5v5",Tracking!Y:Y,"C",Tracking!AE:AE,"Y")</f>
        <v>0</v>
      </c>
      <c r="AI34" s="11">
        <f>COUNTIFS(Tracking!Z:Z,A34&amp;C34,Tracking!C:C,"5v5",Tracking!Y:Y,"D",Tracking!AE:AE,"Y")</f>
        <v>0</v>
      </c>
      <c r="AJ34" s="11">
        <f>COUNTIFS(Tracking!AH:AH,A34&amp;C34)</f>
        <v>2</v>
      </c>
      <c r="AK34" s="5">
        <f>COUNTIFS(Tracking!AI:AI,A34&amp;C34,Tracking!C:C,"5v5")+AL34</f>
        <v>3</v>
      </c>
      <c r="AL34" s="5">
        <f>COUNTIFS(Tracking!AF:AF,A34&amp;C34,Tracking!C:C,"5v5")-AT34</f>
        <v>2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1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0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0</v>
      </c>
      <c r="AQ34" s="5">
        <f>COUNTIFS(Tracking!AF:AF,A34&amp;C34,Tracking!C:C,"5v5",Tracking!AG:AG,"CLE")+COUNTIFS(Tracking!AI:AI,A34&amp;C34,Tracking!C:C,"5v5",Tracking!AJ:AJ,"CLE")</f>
        <v>1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0</v>
      </c>
      <c r="AT34" s="5">
        <f>COUNTIFS(Tracking!AF:AF,A34&amp;C34,Tracking!C:C,"5v5",Tracking!AG:AG,"BOT")+COUNTIFS(Tracking!AF:AF,A34&amp;C34,Tracking!C:C,"5v5",Tracking!AG:AG,"FEX")</f>
        <v>2</v>
      </c>
      <c r="AU34" s="5">
        <f>COUNTIFS(Tracking!AF:AF,A34&amp;C34,Tracking!C:C,"5v5",Tracking!AG:AG,"EXC")</f>
        <v>1</v>
      </c>
      <c r="AV34" s="5">
        <f>COUNTIFS(Tracking!AF:AF,A34&amp;C34,Tracking!C:C,"5v5",Tracking!AG:AG,"FEX")+COUNTIFS(Tracking!AI:AI,A34&amp;C34,Tracking!C:C,"5v5",Tracking!AJ:AJ,"FEX")</f>
        <v>2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1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0</v>
      </c>
      <c r="AY34" s="1">
        <f>COUNTIFS(Tracking!AA:AA,A34&amp;C34,Tracking!C:C,"5v5")</f>
        <v>0</v>
      </c>
      <c r="AZ34" s="1">
        <f>COUNTIFS(Tracking!AA:AA,A34&amp;C34,Tracking!C:C,"5v5",Tracking!Y:Y,"C")</f>
        <v>0</v>
      </c>
      <c r="BA34" s="1">
        <f>COUNTIFS(Tracking!AA:AA,A34&amp;C34,Tracking!C:C,"5v5",Tracking!Y:Y,"F")</f>
        <v>0</v>
      </c>
      <c r="BB34" s="1">
        <f>COUNTIFS(Tracking!AA:AA,A34&amp;C34,Tracking!C:C,"5v5",Tracking!AB:AB,"Y")</f>
        <v>0</v>
      </c>
      <c r="BC34" s="1">
        <f>COUNTIFS(Tracking!AA:AA,A34&amp;C34,Tracking!C:C,"5v5",Tracking!Y:Y,"C",Tracking!AE:AE,"Y")</f>
        <v>0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0</v>
      </c>
      <c r="BF34" s="10">
        <f>COUNTIFS(Tracking!Z:Z,A34&amp;C34,Tracking!C:C,"5v4",Tracking!Y:Y,"C")</f>
        <v>0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0</v>
      </c>
      <c r="BK34" s="10">
        <f>COUNTIFS(Tracking!G:G,A34,Tracking!D:D,C34,Tracking!C:C,"5v4")+COUNTIFS(Tracking!H:H,A34,Tracking!D:D,C34,Tracking!C:C,"5v4")+COUNTIFS(Tracking!I:I,A34,Tracking!D:D,C34,Tracking!C:C,"5v4")</f>
        <v>0</v>
      </c>
      <c r="BL34" s="10">
        <f>COUNTIFS(Tracking!G:G,A34,Tracking!D:D,C34,Tracking!C:C,"5v4")</f>
        <v>0</v>
      </c>
      <c r="BM34" s="10">
        <f>COUNTIFS(Tracking!E:E,A34,Tracking!D:D,C34,Tracking!C:C,"5v4",Tracking!M:M,"Y")</f>
        <v>0</v>
      </c>
      <c r="BN34" s="10">
        <f>COUNTIFS(Tracking!G:G,A34,Tracking!D:D,C34,Tracking!C:C,"5v4",Tracking!M:M,"Y")</f>
        <v>0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0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0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0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0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1</v>
      </c>
      <c r="BY34" s="12">
        <f>COUNTIFS(Tracking!E:E,A34,Tracking!D:D,C34,Tracking!C:C,"5v5",Tracking!Q:Q,"nZ")</f>
        <v>0</v>
      </c>
      <c r="BZ34" s="12">
        <f>COUNTIFS(Tracking!E:E,A34,Tracking!D:D,C34,Tracking!C:C,"5v5",Tracking!Q:Q,"dZ")</f>
        <v>0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0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0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0</v>
      </c>
      <c r="CD34" s="12">
        <f>COUNTIFS(Tracking!E:E,A34,Tracking!D:D,C34,Tracking!C:C,"5v5",Tracking!R:R,"dz exit")</f>
        <v>0</v>
      </c>
      <c r="CE34" s="12">
        <f>COUNTIFS(Tracking!E:E,A34,Tracking!D:D,C34,Tracking!C:C,"5v5",Tracking!R:R,"dz counter")</f>
        <v>0</v>
      </c>
      <c r="CF34" s="12">
        <f>COUNTIFS(Tracking!E:E,A34,Tracking!D:D,C34,Tracking!C:C,"5v5",Tracking!R:R,"nz turnover")</f>
        <v>0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-3.5000000000000017E-2</v>
      </c>
      <c r="CK34" s="2">
        <f t="shared" si="7"/>
        <v>7.4999999999999997E-2</v>
      </c>
      <c r="CL34" s="2">
        <f t="shared" si="2"/>
        <v>-4.4999999999999998E-2</v>
      </c>
      <c r="CM34" s="2">
        <f t="shared" si="9"/>
        <v>0</v>
      </c>
      <c r="CN34" s="2">
        <f t="shared" si="3"/>
        <v>-0.14000000000000001</v>
      </c>
      <c r="CO34" s="2">
        <f t="shared" si="4"/>
        <v>7.4999999999999997E-2</v>
      </c>
      <c r="CP34" s="2">
        <f t="shared" si="5"/>
        <v>0</v>
      </c>
      <c r="CQ34" s="2">
        <f t="shared" si="6"/>
        <v>-3.5000000000000017E-2</v>
      </c>
    </row>
    <row r="35" spans="1:95" x14ac:dyDescent="0.35">
      <c r="A35" s="8">
        <v>6</v>
      </c>
      <c r="B35" s="8" t="s">
        <v>269</v>
      </c>
      <c r="C35" s="8" t="s">
        <v>148</v>
      </c>
      <c r="D35" s="8" t="s">
        <v>189</v>
      </c>
      <c r="E35" s="8">
        <v>11.083333333333</v>
      </c>
      <c r="F35" s="8" t="s">
        <v>130</v>
      </c>
      <c r="G35" s="19" t="s">
        <v>275</v>
      </c>
      <c r="H35" s="9">
        <f>COUNTIFS(Tracking!E:E,A35,Tracking!D:D,C35,Tracking!C:C,"5v5")</f>
        <v>0</v>
      </c>
      <c r="I35" s="9">
        <f>COUNTIFS(Tracking!E:E,A35,Tracking!D:D,C35,Tracking!N:N,"y",Tracking!C:C,"5v5")</f>
        <v>0</v>
      </c>
      <c r="J35" s="9">
        <f>COUNTIFS(Tracking!E:E,A35,Tracking!D:D,C35,Tracking!M:M,"y",Tracking!C:C,"5v5")</f>
        <v>0</v>
      </c>
      <c r="K35" s="9">
        <f t="shared" si="0"/>
        <v>0</v>
      </c>
      <c r="L35" s="9">
        <f>COUNTIFS(Tracking!G:G,A35,Tracking!D:D,C35,Tracking!C:C,"5v5")</f>
        <v>0</v>
      </c>
      <c r="M35" s="9">
        <f>COUNTIFS(Tracking!H:H,A35,Tracking!D:D,C35,Tracking!C:C,"5v5")</f>
        <v>0</v>
      </c>
      <c r="N35" s="9">
        <f>COUNTIFS(Tracking!I:I,A35,Tracking!D:D,C35,Tracking!C:C,"5v5")</f>
        <v>0</v>
      </c>
      <c r="O35" s="9">
        <f>COUNTIFS(Tracking!G:G,A35,Tracking!D:D,C35,Tracking!C:C,"5v5",Tracking!M:M,"y")</f>
        <v>0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0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0</v>
      </c>
      <c r="V35" s="9">
        <f>COUNTIFS(Tracking!E:E,A35,Tracking!D:D,C35,Tracking!C:C,"5v5",Tracking!P:P,"r")</f>
        <v>0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0</v>
      </c>
      <c r="X35" s="9">
        <f>COUNTIFS(Tracking!E:E,A35,Tracking!D:D,C35,Tracking!C:C,"5v5",Tracking!P:P,"f")</f>
        <v>0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0</v>
      </c>
      <c r="Z35" s="9">
        <f>COUNTIFS(Tracking!E:E,A35,Tracking!D:D,C35,Tracking!C:C,"5v5",Tracking!P:P,"c")</f>
        <v>0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0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1</v>
      </c>
      <c r="AD35" s="11">
        <f>COUNTIFS(Tracking!Z:Z,A35&amp;C35,Tracking!C:C,"5v5",Tracking!Y:Y,"C")</f>
        <v>1</v>
      </c>
      <c r="AE35" s="11">
        <f>COUNTIFS(Tracking!Z:Z,A35&amp;C35,Tracking!C:C,"5v5",Tracking!Y:Y,"F")</f>
        <v>0</v>
      </c>
      <c r="AF35" s="11">
        <f>COUNTIFS(Tracking!Z:Z,A35&amp;C35,Tracking!C:C,"5v5",Tracking!Y:Y,"C",Tracking!AB:AB,"Y")</f>
        <v>0</v>
      </c>
      <c r="AG35" s="11">
        <f>COUNTIFS(Tracking!AD:AD,A35&amp;C35,Tracking!C:C,"5v5")</f>
        <v>0</v>
      </c>
      <c r="AH35" s="11">
        <f>COUNTIFS(Tracking!Z:Z,A35&amp;C35,Tracking!C:C,"5v5",Tracking!Y:Y,"C",Tracking!AE:AE,"Y")</f>
        <v>0</v>
      </c>
      <c r="AI35" s="11">
        <f>COUNTIFS(Tracking!Z:Z,A35&amp;C35,Tracking!C:C,"5v5",Tracking!Y:Y,"D",Tracking!AE:AE,"Y")</f>
        <v>0</v>
      </c>
      <c r="AJ35" s="11">
        <f>COUNTIFS(Tracking!AH:AH,A35&amp;C35)</f>
        <v>0</v>
      </c>
      <c r="AK35" s="5">
        <f>COUNTIFS(Tracking!AI:AI,A35&amp;C35,Tracking!C:C,"5v5")+AL35</f>
        <v>8</v>
      </c>
      <c r="AL35" s="5">
        <f>COUNTIFS(Tracking!AF:AF,A35&amp;C35,Tracking!C:C,"5v5")-AT35</f>
        <v>7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2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1</v>
      </c>
      <c r="AO35" s="5">
        <f>COUNTIFS(Tracking!AF:AF,A35&amp;C35,Tracking!C:C,"5v5",Tracking!AG:AG,"CEX")+COUNTIFS(Tracking!AI:AI,A35&amp;C35,Tracking!C:C,"5v5",Tracking!AJ:AJ,"CEX")</f>
        <v>0</v>
      </c>
      <c r="AP35" s="5">
        <f>COUNTIFS(Tracking!AF:AF,A35&amp;C35,Tracking!C:C,"5v5",Tracking!AG:AG,"PEX")</f>
        <v>1</v>
      </c>
      <c r="AQ35" s="5">
        <f>COUNTIFS(Tracking!AF:AF,A35&amp;C35,Tracking!C:C,"5v5",Tracking!AG:AG,"CLE")+COUNTIFS(Tracking!AI:AI,A35&amp;C35,Tracking!C:C,"5v5",Tracking!AJ:AJ,"CLE")</f>
        <v>1</v>
      </c>
      <c r="AR35" s="5">
        <f>COUNTIFS(Tracking!AF:AF,A35&amp;C35,Tracking!C:C,"5v5",Tracking!AG:AG,"MEX")</f>
        <v>2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2</v>
      </c>
      <c r="AT35" s="5">
        <f>COUNTIFS(Tracking!AF:AF,A35&amp;C35,Tracking!C:C,"5v5",Tracking!AG:AG,"BOT")+COUNTIFS(Tracking!AF:AF,A35&amp;C35,Tracking!C:C,"5v5",Tracking!AG:AG,"FEX")</f>
        <v>1</v>
      </c>
      <c r="AU35" s="5">
        <f>COUNTIFS(Tracking!AF:AF,A35&amp;C35,Tracking!C:C,"5v5",Tracking!AG:AG,"EXC")</f>
        <v>3</v>
      </c>
      <c r="AV35" s="5">
        <f>COUNTIFS(Tracking!AF:AF,A35&amp;C35,Tracking!C:C,"5v5",Tracking!AG:AG,"FEX")+COUNTIFS(Tracking!AI:AI,A35&amp;C35,Tracking!C:C,"5v5",Tracking!AJ:AJ,"FEX")</f>
        <v>2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2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0</v>
      </c>
      <c r="AY35" s="1">
        <f>COUNTIFS(Tracking!AA:AA,A35&amp;C35,Tracking!C:C,"5v5")</f>
        <v>5</v>
      </c>
      <c r="AZ35" s="1">
        <f>COUNTIFS(Tracking!AA:AA,A35&amp;C35,Tracking!C:C,"5v5",Tracking!Y:Y,"C")</f>
        <v>3</v>
      </c>
      <c r="BA35" s="1">
        <f>COUNTIFS(Tracking!AA:AA,A35&amp;C35,Tracking!C:C,"5v5",Tracking!Y:Y,"F")</f>
        <v>2</v>
      </c>
      <c r="BB35" s="1">
        <f>COUNTIFS(Tracking!AA:AA,A35&amp;C35,Tracking!C:C,"5v5",Tracking!AB:AB,"Y")</f>
        <v>1</v>
      </c>
      <c r="BC35" s="1">
        <f>COUNTIFS(Tracking!AA:AA,A35&amp;C35,Tracking!C:C,"5v5",Tracking!Y:Y,"C",Tracking!AE:AE,"Y")</f>
        <v>0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0</v>
      </c>
      <c r="BF35" s="10">
        <f>COUNTIFS(Tracking!Z:Z,A35&amp;C35,Tracking!C:C,"5v4",Tracking!Y:Y,"C")</f>
        <v>0</v>
      </c>
      <c r="BG35" s="10">
        <f>COUNTIFS(Tracking!Z:Z,A35&amp;C35,Tracking!C:C,"5v4",Tracking!AB:AB,"Y")</f>
        <v>0</v>
      </c>
      <c r="BH35" s="10">
        <f>COUNTIFS(Tracking!Z:Z,A35&amp;C35,Tracking!C:C,"4v5")</f>
        <v>0</v>
      </c>
      <c r="BI35" s="10">
        <f>COUNTIFS(Tracking!AA:AA,A35&amp;C35,Tracking!C:C,"5v4",Tracking!Y:Y,"D")+COUNTIFS(Tracking!AA:AA,A35&amp;C35,Tracking!C:C,"5v4",Tracking!Y:Y,"F")</f>
        <v>0</v>
      </c>
      <c r="BJ35" s="10">
        <f>COUNTIFS(Tracking!E:E,A35,Tracking!D:D,C35,Tracking!C:C,"5v4")</f>
        <v>0</v>
      </c>
      <c r="BK35" s="10">
        <f>COUNTIFS(Tracking!G:G,A35,Tracking!D:D,C35,Tracking!C:C,"5v4")+COUNTIFS(Tracking!H:H,A35,Tracking!D:D,C35,Tracking!C:C,"5v4")+COUNTIFS(Tracking!I:I,A35,Tracking!D:D,C35,Tracking!C:C,"5v4")</f>
        <v>0</v>
      </c>
      <c r="BL35" s="10">
        <f>COUNTIFS(Tracking!G:G,A35,Tracking!D:D,C35,Tracking!C:C,"5v4")</f>
        <v>0</v>
      </c>
      <c r="BM35" s="10">
        <f>COUNTIFS(Tracking!E:E,A35,Tracking!D:D,C35,Tracking!C:C,"5v4",Tracking!M:M,"Y")</f>
        <v>0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0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0</v>
      </c>
      <c r="BS35" s="12">
        <f>COUNTIFS(Tracking!E:E,A35,Tracking!D:D,C35,Tracking!C:C,"5v5",Tracking!F:F,"r")</f>
        <v>0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0</v>
      </c>
      <c r="BX35" s="12">
        <f>COUNTIFS(Tracking!E:E,A35,Tracking!D:D,C35,Tracking!C:C,"5v5",Tracking!Q:Q,"OZ")</f>
        <v>0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0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0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0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0</v>
      </c>
      <c r="CJ35" s="2">
        <f t="shared" si="1"/>
        <v>0.185</v>
      </c>
      <c r="CK35" s="2">
        <f t="shared" si="7"/>
        <v>0</v>
      </c>
      <c r="CL35" s="2">
        <f t="shared" si="2"/>
        <v>4.4999999999999998E-2</v>
      </c>
      <c r="CM35" s="2">
        <f t="shared" si="9"/>
        <v>0.16</v>
      </c>
      <c r="CN35" s="2">
        <f t="shared" si="3"/>
        <v>-2.0000000000000004E-2</v>
      </c>
      <c r="CO35" s="2">
        <f t="shared" si="4"/>
        <v>0</v>
      </c>
      <c r="CP35" s="2">
        <f t="shared" si="5"/>
        <v>0</v>
      </c>
      <c r="CQ35" s="2">
        <f t="shared" si="6"/>
        <v>0.185</v>
      </c>
    </row>
    <row r="36" spans="1:95" x14ac:dyDescent="0.35">
      <c r="A36" s="8">
        <v>10</v>
      </c>
      <c r="B36" s="8" t="s">
        <v>270</v>
      </c>
      <c r="C36" s="8" t="s">
        <v>148</v>
      </c>
      <c r="D36" s="8" t="s">
        <v>179</v>
      </c>
      <c r="E36" s="8">
        <v>12.766666666667</v>
      </c>
      <c r="F36" s="8" t="s">
        <v>130</v>
      </c>
      <c r="G36" s="19" t="s">
        <v>275</v>
      </c>
      <c r="H36" s="9">
        <f>COUNTIFS(Tracking!E:E,A36,Tracking!D:D,C36,Tracking!C:C,"5v5")</f>
        <v>1</v>
      </c>
      <c r="I36" s="9">
        <f>COUNTIFS(Tracking!E:E,A36,Tracking!D:D,C36,Tracking!N:N,"y",Tracking!C:C,"5v5")</f>
        <v>0</v>
      </c>
      <c r="J36" s="9">
        <f>COUNTIFS(Tracking!E:E,A36,Tracking!D:D,C36,Tracking!M:M,"y",Tracking!C:C,"5v5")</f>
        <v>0</v>
      </c>
      <c r="K36" s="9">
        <f t="shared" si="0"/>
        <v>3</v>
      </c>
      <c r="L36" s="9">
        <f>COUNTIFS(Tracking!G:G,A36,Tracking!D:D,C36,Tracking!C:C,"5v5")</f>
        <v>3</v>
      </c>
      <c r="M36" s="9">
        <f>COUNTIFS(Tracking!H:H,A36,Tracking!D:D,C36,Tracking!C:C,"5v5")</f>
        <v>0</v>
      </c>
      <c r="N36" s="9">
        <f>COUNTIFS(Tracking!I:I,A36,Tracking!D:D,C36,Tracking!C:C,"5v5")</f>
        <v>0</v>
      </c>
      <c r="O36" s="9">
        <f>COUNTIFS(Tracking!G:G,A36,Tracking!D:D,C36,Tracking!C:C,"5v5",Tracking!M:M,"y")</f>
        <v>1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2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1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1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0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0</v>
      </c>
      <c r="X36" s="9">
        <f>COUNTIFS(Tracking!E:E,A36,Tracking!D:D,C36,Tracking!C:C,"5v5",Tracking!P:P,"f")</f>
        <v>0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2</v>
      </c>
      <c r="Z36" s="9">
        <f>COUNTIFS(Tracking!E:E,A36,Tracking!D:D,C36,Tracking!C:C,"5v5",Tracking!P:P,"c")</f>
        <v>0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0</v>
      </c>
      <c r="AC36" s="11">
        <f>COUNTIFS(Tracking!Z:Z,A36&amp;C36,Tracking!C:C,"5v5")-AE36</f>
        <v>5</v>
      </c>
      <c r="AD36" s="11">
        <f>COUNTIFS(Tracking!Z:Z,A36&amp;C36,Tracking!C:C,"5v5",Tracking!Y:Y,"C")</f>
        <v>2</v>
      </c>
      <c r="AE36" s="11">
        <f>COUNTIFS(Tracking!Z:Z,A36&amp;C36,Tracking!C:C,"5v5",Tracking!Y:Y,"F")</f>
        <v>0</v>
      </c>
      <c r="AF36" s="11">
        <f>COUNTIFS(Tracking!Z:Z,A36&amp;C36,Tracking!C:C,"5v5",Tracking!Y:Y,"C",Tracking!AB:AB,"Y")</f>
        <v>1</v>
      </c>
      <c r="AG36" s="11">
        <f>COUNTIFS(Tracking!AD:AD,A36&amp;C36,Tracking!C:C,"5v5")</f>
        <v>1</v>
      </c>
      <c r="AH36" s="11">
        <f>COUNTIFS(Tracking!Z:Z,A36&amp;C36,Tracking!C:C,"5v5",Tracking!Y:Y,"C",Tracking!AE:AE,"Y")</f>
        <v>0</v>
      </c>
      <c r="AI36" s="11">
        <f>COUNTIFS(Tracking!Z:Z,A36&amp;C36,Tracking!C:C,"5v5",Tracking!Y:Y,"D",Tracking!AE:AE,"Y")</f>
        <v>1</v>
      </c>
      <c r="AJ36" s="11">
        <f>COUNTIFS(Tracking!AH:AH,A36&amp;C36)</f>
        <v>2</v>
      </c>
      <c r="AK36" s="5">
        <f>COUNTIFS(Tracking!AI:AI,A36&amp;C36,Tracking!C:C,"5v5")+AL36</f>
        <v>1</v>
      </c>
      <c r="AL36" s="5">
        <f>COUNTIFS(Tracking!AF:AF,A36&amp;C36,Tracking!C:C,"5v5")-AT36</f>
        <v>0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1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1</v>
      </c>
      <c r="AO36" s="5">
        <f>COUNTIFS(Tracking!AF:AF,A36&amp;C36,Tracking!C:C,"5v5",Tracking!AG:AG,"CEX")+COUNTIFS(Tracking!AI:AI,A36&amp;C36,Tracking!C:C,"5v5",Tracking!AJ:AJ,"CEX")</f>
        <v>0</v>
      </c>
      <c r="AP36" s="5">
        <f>COUNTIFS(Tracking!AF:AF,A36&amp;C36,Tracking!C:C,"5v5",Tracking!AG:AG,"PEX")</f>
        <v>0</v>
      </c>
      <c r="AQ36" s="5">
        <f>COUNTIFS(Tracking!AF:AF,A36&amp;C36,Tracking!C:C,"5v5",Tracking!AG:AG,"CLE")+COUNTIFS(Tracking!AI:AI,A36&amp;C36,Tracking!C:C,"5v5",Tracking!AJ:AJ,"CLE")</f>
        <v>0</v>
      </c>
      <c r="AR36" s="5">
        <f>COUNTIFS(Tracking!AF:AF,A36&amp;C36,Tracking!C:C,"5v5",Tracking!AG:AG,"MEX")</f>
        <v>0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0</v>
      </c>
      <c r="AT36" s="5">
        <f>COUNTIFS(Tracking!AF:AF,A36&amp;C36,Tracking!C:C,"5v5",Tracking!AG:AG,"BOT")+COUNTIFS(Tracking!AF:AF,A36&amp;C36,Tracking!C:C,"5v5",Tracking!AG:AG,"FEX")</f>
        <v>0</v>
      </c>
      <c r="AU36" s="5">
        <f>COUNTIFS(Tracking!AF:AF,A36&amp;C36,Tracking!C:C,"5v5",Tracking!AG:AG,"EXC")</f>
        <v>0</v>
      </c>
      <c r="AV36" s="5">
        <f>COUNTIFS(Tracking!AF:AF,A36&amp;C36,Tracking!C:C,"5v5",Tracking!AG:AG,"FEX")+COUNTIFS(Tracking!AI:AI,A36&amp;C36,Tracking!C:C,"5v5",Tracking!AJ:AJ,"FEX")</f>
        <v>0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0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1</v>
      </c>
      <c r="AY36" s="1">
        <f>COUNTIFS(Tracking!AA:AA,A36&amp;C36,Tracking!C:C,"5v5")</f>
        <v>0</v>
      </c>
      <c r="AZ36" s="1">
        <f>COUNTIFS(Tracking!AA:AA,A36&amp;C36,Tracking!C:C,"5v5",Tracking!Y:Y,"C")</f>
        <v>0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2</v>
      </c>
      <c r="BF36" s="10">
        <f>COUNTIFS(Tracking!Z:Z,A36&amp;C36,Tracking!C:C,"5v4",Tracking!Y:Y,"C")</f>
        <v>2</v>
      </c>
      <c r="BG36" s="10">
        <f>COUNTIFS(Tracking!Z:Z,A36&amp;C36,Tracking!C:C,"5v4",Tracking!AB:AB,"Y")</f>
        <v>2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1</v>
      </c>
      <c r="BJ36" s="10">
        <f>COUNTIFS(Tracking!E:E,A36,Tracking!D:D,C36,Tracking!C:C,"5v4")</f>
        <v>0</v>
      </c>
      <c r="BK36" s="10">
        <f>COUNTIFS(Tracking!G:G,A36,Tracking!D:D,C36,Tracking!C:C,"5v4")+COUNTIFS(Tracking!H:H,A36,Tracking!D:D,C36,Tracking!C:C,"5v4")+COUNTIFS(Tracking!I:I,A36,Tracking!D:D,C36,Tracking!C:C,"5v4")</f>
        <v>5</v>
      </c>
      <c r="BL36" s="10">
        <f>COUNTIFS(Tracking!G:G,A36,Tracking!D:D,C36,Tracking!C:C,"5v4")</f>
        <v>2</v>
      </c>
      <c r="BM36" s="10">
        <f>COUNTIFS(Tracking!E:E,A36,Tracking!D:D,C36,Tracking!C:C,"5v4",Tracking!M:M,"Y")</f>
        <v>0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0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1</v>
      </c>
      <c r="BU36" s="12">
        <f>COUNTIFS(Tracking!G:G,A36,Tracking!D:D,C36,Tracking!C:C,"5v5",Tracking!F:F,"o")</f>
        <v>1</v>
      </c>
      <c r="BV36" s="12">
        <f>COUNTIFS(Tracking!E:E,A35,Tracking!D:D,C36,Tracking!C:C,"5v5",Tracking!F:F,"r")</f>
        <v>0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1</v>
      </c>
      <c r="BY36" s="12">
        <f>COUNTIFS(Tracking!E:E,A36,Tracking!D:D,C36,Tracking!C:C,"5v5",Tracking!Q:Q,"nZ")</f>
        <v>0</v>
      </c>
      <c r="BZ36" s="12">
        <f>COUNTIFS(Tracking!E:E,A36,Tracking!D:D,C36,Tracking!C:C,"5v5",Tracking!Q:Q,"dZ")</f>
        <v>0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2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0</v>
      </c>
      <c r="CD36" s="12">
        <f>COUNTIFS(Tracking!E:E,A36,Tracking!D:D,C36,Tracking!C:C,"5v5",Tracking!R:R,"dz exit")</f>
        <v>0</v>
      </c>
      <c r="CE36" s="12">
        <f>COUNTIFS(Tracking!E:E,A36,Tracking!D:D,C36,Tracking!C:C,"5v5",Tracking!R:R,"dz counter")</f>
        <v>0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0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0.81499999999999995</v>
      </c>
      <c r="CK36" s="2">
        <f t="shared" si="7"/>
        <v>0.47499999999999998</v>
      </c>
      <c r="CL36" s="2">
        <f t="shared" si="2"/>
        <v>0.125</v>
      </c>
      <c r="CM36" s="2">
        <f t="shared" si="9"/>
        <v>0</v>
      </c>
      <c r="CN36" s="2">
        <f t="shared" si="3"/>
        <v>3.5000000000000003E-2</v>
      </c>
      <c r="CO36" s="2">
        <f t="shared" si="4"/>
        <v>7.4999999999999997E-2</v>
      </c>
      <c r="CP36" s="2">
        <f t="shared" si="5"/>
        <v>0.10500000000000001</v>
      </c>
      <c r="CQ36" s="2">
        <f t="shared" si="6"/>
        <v>0.71</v>
      </c>
    </row>
    <row r="37" spans="1:95" x14ac:dyDescent="0.35">
      <c r="A37" s="8">
        <v>4</v>
      </c>
      <c r="B37" s="8" t="s">
        <v>271</v>
      </c>
      <c r="C37" s="8" t="s">
        <v>148</v>
      </c>
      <c r="D37" s="8" t="s">
        <v>189</v>
      </c>
      <c r="E37" s="8">
        <v>17.733333333333</v>
      </c>
      <c r="F37" s="8" t="s">
        <v>130</v>
      </c>
      <c r="G37" s="19" t="s">
        <v>275</v>
      </c>
      <c r="H37" s="9">
        <f>COUNTIFS(Tracking!E:E,A37,Tracking!D:D,C37,Tracking!C:C,"5v5")</f>
        <v>1</v>
      </c>
      <c r="I37" s="9">
        <f>COUNTIFS(Tracking!E:E,A37,Tracking!D:D,C37,Tracking!N:N,"y",Tracking!C:C,"5v5")</f>
        <v>0</v>
      </c>
      <c r="J37" s="9">
        <f>COUNTIFS(Tracking!E:E,A37,Tracking!D:D,C37,Tracking!M:M,"y",Tracking!C:C,"5v5")</f>
        <v>0</v>
      </c>
      <c r="K37" s="9">
        <f t="shared" si="0"/>
        <v>3</v>
      </c>
      <c r="L37" s="9">
        <f>COUNTIFS(Tracking!G:G,A37,Tracking!D:D,C37,Tracking!C:C,"5v5")</f>
        <v>3</v>
      </c>
      <c r="M37" s="9">
        <f>COUNTIFS(Tracking!H:H,A37,Tracking!D:D,C37,Tracking!C:C,"5v5")</f>
        <v>0</v>
      </c>
      <c r="N37" s="9">
        <f>COUNTIFS(Tracking!I:I,A37,Tracking!D:D,C37,Tracking!C:C,"5v5")</f>
        <v>0</v>
      </c>
      <c r="O37" s="9">
        <f>COUNTIFS(Tracking!G:G,A37,Tracking!D:D,C37,Tracking!C:C,"5v5",Tracking!M:M,"y")</f>
        <v>0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0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0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0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0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1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0</v>
      </c>
      <c r="V37" s="9">
        <f>COUNTIFS(Tracking!E:E,A37,Tracking!D:D,C37,Tracking!C:C,"5v5",Tracking!P:P,"r")</f>
        <v>0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1</v>
      </c>
      <c r="X37" s="9">
        <f>COUNTIFS(Tracking!E:E,A37,Tracking!D:D,C37,Tracking!C:C,"5v5",Tracking!P:P,"f")</f>
        <v>1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1</v>
      </c>
      <c r="Z37" s="9">
        <f>COUNTIFS(Tracking!E:E,A37,Tracking!D:D,C37,Tracking!C:C,"5v5",Tracking!P:P,"c")</f>
        <v>0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0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0</v>
      </c>
      <c r="AC37" s="11">
        <f>COUNTIFS(Tracking!Z:Z,A37&amp;C37,Tracking!C:C,"5v5")-AE37</f>
        <v>2</v>
      </c>
      <c r="AD37" s="11">
        <f>COUNTIFS(Tracking!Z:Z,A37&amp;C37,Tracking!C:C,"5v5",Tracking!Y:Y,"C")</f>
        <v>0</v>
      </c>
      <c r="AE37" s="11">
        <f>COUNTIFS(Tracking!Z:Z,A37&amp;C37,Tracking!C:C,"5v5",Tracking!Y:Y,"F")</f>
        <v>0</v>
      </c>
      <c r="AF37" s="11">
        <f>COUNTIFS(Tracking!Z:Z,A37&amp;C37,Tracking!C:C,"5v5",Tracking!Y:Y,"C",Tracking!AB:AB,"Y")</f>
        <v>0</v>
      </c>
      <c r="AG37" s="11">
        <f>COUNTIFS(Tracking!AD:AD,A37&amp;C37,Tracking!C:C,"5v5")</f>
        <v>0</v>
      </c>
      <c r="AH37" s="11">
        <f>COUNTIFS(Tracking!Z:Z,A37&amp;C37,Tracking!C:C,"5v5",Tracking!Y:Y,"C",Tracking!AE:AE,"Y")</f>
        <v>0</v>
      </c>
      <c r="AI37" s="11">
        <f>COUNTIFS(Tracking!Z:Z,A37&amp;C37,Tracking!C:C,"5v5",Tracking!Y:Y,"D",Tracking!AE:AE,"Y")</f>
        <v>0</v>
      </c>
      <c r="AJ37" s="11">
        <f>COUNTIFS(Tracking!AH:AH,A37&amp;C37)</f>
        <v>0</v>
      </c>
      <c r="AK37" s="5">
        <f>COUNTIFS(Tracking!AI:AI,A37&amp;C37,Tracking!C:C,"5v5")+AL37</f>
        <v>15</v>
      </c>
      <c r="AL37" s="5">
        <f>COUNTIFS(Tracking!AF:AF,A37&amp;C37,Tracking!C:C,"5v5")-AT37</f>
        <v>11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4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4</v>
      </c>
      <c r="AO37" s="5">
        <f>COUNTIFS(Tracking!AF:AF,A37&amp;C37,Tracking!C:C,"5v5",Tracking!AG:AG,"CEX")+COUNTIFS(Tracking!AI:AI,A37&amp;C37,Tracking!C:C,"5v5",Tracking!AJ:AJ,"CEX")</f>
        <v>0</v>
      </c>
      <c r="AP37" s="5">
        <f>COUNTIFS(Tracking!AF:AF,A37&amp;C37,Tracking!C:C,"5v5",Tracking!AG:AG,"PEX")</f>
        <v>2</v>
      </c>
      <c r="AQ37" s="5">
        <f>COUNTIFS(Tracking!AF:AF,A37&amp;C37,Tracking!C:C,"5v5",Tracking!AG:AG,"CLE")+COUNTIFS(Tracking!AI:AI,A37&amp;C37,Tracking!C:C,"5v5",Tracking!AJ:AJ,"CLE")</f>
        <v>0</v>
      </c>
      <c r="AR37" s="5">
        <f>COUNTIFS(Tracking!AF:AF,A37&amp;C37,Tracking!C:C,"5v5",Tracking!AG:AG,"MEX")</f>
        <v>2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8</v>
      </c>
      <c r="AT37" s="5">
        <f>COUNTIFS(Tracking!AF:AF,A37&amp;C37,Tracking!C:C,"5v5",Tracking!AG:AG,"BOT")+COUNTIFS(Tracking!AF:AF,A37&amp;C37,Tracking!C:C,"5v5",Tracking!AG:AG,"FEX")</f>
        <v>1</v>
      </c>
      <c r="AU37" s="5">
        <f>COUNTIFS(Tracking!AF:AF,A37&amp;C37,Tracking!C:C,"5v5",Tracking!AG:AG,"EXC")</f>
        <v>7</v>
      </c>
      <c r="AV37" s="5">
        <f>COUNTIFS(Tracking!AF:AF,A37&amp;C37,Tracking!C:C,"5v5",Tracking!AG:AG,"FEX")+COUNTIFS(Tracking!AI:AI,A37&amp;C37,Tracking!C:C,"5v5",Tracking!AJ:AJ,"FEX")</f>
        <v>2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2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2</v>
      </c>
      <c r="AY37" s="1">
        <f>COUNTIFS(Tracking!AA:AA,A37&amp;C37,Tracking!C:C,"5v5")</f>
        <v>6</v>
      </c>
      <c r="AZ37" s="1">
        <f>COUNTIFS(Tracking!AA:AA,A37&amp;C37,Tracking!C:C,"5v5",Tracking!Y:Y,"C")</f>
        <v>4</v>
      </c>
      <c r="BA37" s="1">
        <f>COUNTIFS(Tracking!AA:AA,A37&amp;C37,Tracking!C:C,"5v5",Tracking!Y:Y,"F")</f>
        <v>1</v>
      </c>
      <c r="BB37" s="1">
        <f>COUNTIFS(Tracking!AA:AA,A37&amp;C37,Tracking!C:C,"5v5",Tracking!AB:AB,"Y")</f>
        <v>0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0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0</v>
      </c>
      <c r="BJ37" s="10">
        <f>COUNTIFS(Tracking!E:E,A37,Tracking!D:D,C37,Tracking!C:C,"5v4")</f>
        <v>1</v>
      </c>
      <c r="BK37" s="10">
        <f>COUNTIFS(Tracking!G:G,A37,Tracking!D:D,C37,Tracking!C:C,"5v4")+COUNTIFS(Tracking!H:H,A37,Tracking!D:D,C37,Tracking!C:C,"5v4")+COUNTIFS(Tracking!I:I,A37,Tracking!D:D,C37,Tracking!C:C,"5v4")</f>
        <v>1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0</v>
      </c>
      <c r="BT37" s="12">
        <f>COUNTIFS(Tracking!E:E,A37,Tracking!D:D,C37,Tracking!C:C,"5v5",Tracking!F:F,"t")</f>
        <v>0</v>
      </c>
      <c r="BU37" s="12">
        <f>COUNTIFS(Tracking!G:G,A37,Tracking!D:D,C37,Tracking!C:C,"5v5",Tracking!F:F,"o")</f>
        <v>0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1</v>
      </c>
      <c r="BX37" s="12">
        <f>COUNTIFS(Tracking!E:E,A37,Tracking!D:D,C37,Tracking!C:C,"5v5",Tracking!Q:Q,"OZ")</f>
        <v>1</v>
      </c>
      <c r="BY37" s="12">
        <f>COUNTIFS(Tracking!E:E,A37,Tracking!D:D,C37,Tracking!C:C,"5v5",Tracking!Q:Q,"nZ")</f>
        <v>0</v>
      </c>
      <c r="BZ37" s="12">
        <f>COUNTIFS(Tracking!E:E,A37,Tracking!D:D,C37,Tracking!C:C,"5v5",Tracking!Q:Q,"dZ")</f>
        <v>0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2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1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0</v>
      </c>
      <c r="CD37" s="12">
        <f>COUNTIFS(Tracking!E:E,A37,Tracking!D:D,C37,Tracking!C:C,"5v5",Tracking!R:R,"dz exit")</f>
        <v>0</v>
      </c>
      <c r="CE37" s="12">
        <f>COUNTIFS(Tracking!E:E,A37,Tracking!D:D,C37,Tracking!C:C,"5v5",Tracking!R:R,"dz counter")</f>
        <v>0</v>
      </c>
      <c r="CF37" s="12">
        <f>COUNTIFS(Tracking!E:E,A37,Tracking!D:D,C37,Tracking!C:C,"5v5",Tracking!R:R,"nz turnover")</f>
        <v>0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0.67500000000000004</v>
      </c>
      <c r="CK37" s="2">
        <f t="shared" si="7"/>
        <v>0.28500000000000003</v>
      </c>
      <c r="CL37" s="2">
        <f t="shared" si="2"/>
        <v>0</v>
      </c>
      <c r="CM37" s="2">
        <f t="shared" si="9"/>
        <v>0.155</v>
      </c>
      <c r="CN37" s="2">
        <f t="shared" si="3"/>
        <v>0.23500000000000004</v>
      </c>
      <c r="CO37" s="2">
        <f t="shared" si="4"/>
        <v>0</v>
      </c>
      <c r="CP37" s="2">
        <f t="shared" si="5"/>
        <v>0</v>
      </c>
      <c r="CQ37" s="2">
        <f t="shared" si="6"/>
        <v>0.67500000000000004</v>
      </c>
    </row>
    <row r="38" spans="1:95" x14ac:dyDescent="0.35">
      <c r="A38" s="8">
        <v>30</v>
      </c>
      <c r="B38" s="8" t="s">
        <v>272</v>
      </c>
      <c r="C38" s="8" t="s">
        <v>148</v>
      </c>
      <c r="D38" s="8" t="s">
        <v>273</v>
      </c>
      <c r="E38" s="8">
        <v>45.583300000000001</v>
      </c>
      <c r="F38" s="8" t="s">
        <v>130</v>
      </c>
      <c r="G38" s="19" t="s">
        <v>275</v>
      </c>
      <c r="AK38" s="5">
        <f>COUNTIFS(Tracking!AI:AI,A38&amp;C38,Tracking!C:C,"5v5")+AL38</f>
        <v>4</v>
      </c>
      <c r="AL38" s="5">
        <f>COUNTIFS(Tracking!AF:AF,A38&amp;C38,Tracking!C:C,"5v5")-AT38</f>
        <v>4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1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0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0</v>
      </c>
      <c r="AQ38" s="5">
        <f>COUNTIFS(Tracking!AF:AF,A38&amp;C38,Tracking!C:C,"5v5",Tracking!AG:AG,"CLE")+COUNTIFS(Tracking!AI:AI,A38&amp;C38,Tracking!C:C,"5v5",Tracking!AJ:AJ,"CLE")</f>
        <v>1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2</v>
      </c>
      <c r="AT38" s="5">
        <f>COUNTIFS(Tracking!AF:AF,A38&amp;C38,Tracking!C:C,"5v5",Tracking!AG:AG,"BOT")+COUNTIFS(Tracking!AF:AF,A38&amp;C38,Tracking!C:C,"5v5",Tracking!AG:AG,"FEX")</f>
        <v>0</v>
      </c>
      <c r="AU38" s="5">
        <f>COUNTIFS(Tracking!AF:AF,A38&amp;C38,Tracking!C:C,"5v5",Tracking!AG:AG,"EXC")</f>
        <v>3</v>
      </c>
      <c r="AV38" s="5">
        <f>COUNTIFS(Tracking!AF:AF,A38&amp;C38,Tracking!C:C,"5v5",Tracking!AG:AG,"FEX")+COUNTIFS(Tracking!AI:AI,A38&amp;C38,Tracking!C:C,"5v5",Tracking!AJ:AJ,"FEX")</f>
        <v>0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1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40</v>
      </c>
      <c r="B39" s="8" t="s">
        <v>274</v>
      </c>
      <c r="C39" s="8" t="s">
        <v>132</v>
      </c>
      <c r="D39" s="8" t="s">
        <v>273</v>
      </c>
      <c r="E39" s="8">
        <v>45.583300000000001</v>
      </c>
      <c r="F39" s="8" t="s">
        <v>130</v>
      </c>
      <c r="G39" s="19" t="s">
        <v>275</v>
      </c>
      <c r="AK39" s="5">
        <f>COUNTIFS(Tracking!AI:AI,A39&amp;C39,Tracking!C:C,"5v5")+AL39</f>
        <v>4</v>
      </c>
      <c r="AL39" s="5">
        <f>COUNTIFS(Tracking!AF:AF,A39&amp;C39,Tracking!C:C,"5v5")-AT39</f>
        <v>4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0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0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0</v>
      </c>
      <c r="AQ39" s="5">
        <f>COUNTIFS(Tracking!AF:AF,A39&amp;C39,Tracking!C:C,"5v5",Tracking!AG:AG,"CLE")+COUNTIFS(Tracking!AI:AI,A39&amp;C39,Tracking!C:C,"5v5",Tracking!AJ:AJ,"CLE")</f>
        <v>0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4</v>
      </c>
      <c r="AT39" s="5">
        <f>COUNTIFS(Tracking!AF:AF,A39&amp;C39,Tracking!C:C,"5v5",Tracking!AG:AG,"BOT")+COUNTIFS(Tracking!AF:AF,A39&amp;C39,Tracking!C:C,"5v5",Tracking!AG:AG,"FEX")</f>
        <v>2</v>
      </c>
      <c r="AU39" s="5">
        <f>COUNTIFS(Tracking!AF:AF,A39&amp;C39,Tracking!C:C,"5v5",Tracking!AG:AG,"EXC")</f>
        <v>4</v>
      </c>
      <c r="AV39" s="5">
        <f>COUNTIFS(Tracking!AF:AF,A39&amp;C39,Tracking!C:C,"5v5",Tracking!AG:AG,"FEX")+COUNTIFS(Tracking!AI:AI,A39&amp;C39,Tracking!C:C,"5v5",Tracking!AJ:AJ,"FEX")</f>
        <v>2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0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E40" s="8"/>
      <c r="F40" s="8"/>
      <c r="G40" s="8"/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0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0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0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0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0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0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0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0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0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0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0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0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0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0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0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0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0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0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0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0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0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0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0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0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0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0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0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0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0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0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0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0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0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0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0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0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2025-03-25T05:50:13Z</dcterms:modified>
</cp:coreProperties>
</file>