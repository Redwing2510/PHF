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8CB6EFE-6AF4-4645-8071-086AC3343B9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<sst xmlns="http://schemas.openxmlformats.org/spreadsheetml/2006/main" count="2335" uniqueCount="275">
  <si>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</si>
  <si>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</si>
  <si>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</si>
  <si>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</si>
  <si>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</si>
  <si>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</si>
  <si>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</si>
  <si>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</si>
  <si>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</si>
  <si>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</si>
  <si>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</si>
  <si>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</si>
  <si>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</si>
  <si>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</si>
  <si>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</si>
  <si>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</si>
  <si>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</si>
  <si>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</si>
  <si>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</si>
  <si>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</si>
  <si>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</si>
  <si>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</si>
  <si>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</si>
  <si>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</si>
  <si>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</si>
  <si>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</si>
  <si>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</si>
  <si>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</si>
  <si>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</si>
  <si>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</si>
  <si>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</si>
  <si>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</si>
  <si>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</si>
  <si>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</si>
  <si>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</si>
  <si>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</si>
  <si>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</si>
  <si>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</si>
  <si>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</si>
  <si>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</si>
  <si>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</si>
  <si>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</si>
  <si>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</si>
  <si>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</si>
  <si>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</si>
  <si>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</si>
  <si>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</si>
  <si>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</si>
  <si>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</si>
  <si>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</si>
  <si>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</si>
  <si>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</si>
  <si>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</si>
  <si>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</si>
  <si>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</si>
  <si>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</si>
  <si>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</si>
  <si>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</si>
  <si>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</si>
  <si>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</si>
  <si>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</si>
  <si>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</si>
  <si>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</si>
  <si>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</si>
  <si>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</si>
  <si>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</si>
  <si>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</si>
  <si>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</si>
  <si>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</si>
  <si>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</si>
  <si>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</si>
  <si>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</si>
  <si>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</si>
  <si>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</si>
  <si>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</si>
  <si>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</si>
  <si>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</si>
  <si>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</si>
  <si>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</si>
  <si>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</si>
  <si>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</si>
  <si>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</si>
  <si>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</si>
  <si>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</si>
  <si>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</si>
  <si>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</si>
  <si>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</si>
  <si>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</si>
  <si>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</si>
  <si>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</si>
  <si>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</si>
  <si>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</si>
  <si>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</si>
  <si>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</si>
  <si>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</si>
  <si>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</si>
  <si>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</si>
  <si>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</si>
  <si>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</si>
  <si>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</si>
  <si>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</si>
  <si>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</si>
  <si>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</si>
  <si>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</si>
  <si>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</si>
  <si>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</si>
  <si>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</si>
  <si>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</si>
  <si>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</si>
  <si>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</si>
  <si>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</si>
  <si>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</si>
  <si>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</si>
  <si>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</si>
  <si>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</si>
  <si>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</si>
  <si>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</si>
  <si>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</si>
  <si>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</si>
  <si>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</si>
  <si>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</si>
  <si>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</si>
  <si>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</si>
  <si>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</si>
  <si>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</si>
  <si>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</si>
  <si>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</si>
  <si>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</si>
  <si>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</si>
  <si>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</si>
  <si>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</si>
  <si>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</si>
  <si>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</si>
  <si>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</si>
  <si>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Y</t>
  </si>
  <si>
    <t>f</t>
  </si>
  <si>
    <t>oz</t>
  </si>
  <si>
    <t>y</t>
  </si>
  <si>
    <t>nc</t>
  </si>
  <si>
    <t>dr</t>
  </si>
  <si>
    <t>r</t>
  </si>
  <si>
    <t>dz</t>
  </si>
  <si>
    <t>dz exit</t>
  </si>
  <si>
    <t>W</t>
  </si>
  <si>
    <t>opr</t>
  </si>
  <si>
    <t>WPG</t>
  </si>
  <si>
    <t>t</t>
  </si>
  <si>
    <t>s</t>
  </si>
  <si>
    <t>ofp</t>
  </si>
  <si>
    <t>oz faceoff</t>
  </si>
  <si>
    <t>oc</t>
  </si>
  <si>
    <t>orrr</t>
  </si>
  <si>
    <t>opl</t>
  </si>
  <si>
    <t>ol</t>
  </si>
  <si>
    <t>c</t>
  </si>
  <si>
    <t>nz</t>
  </si>
  <si>
    <t>nz turnover</t>
  </si>
  <si>
    <t>nz reload</t>
  </si>
  <si>
    <t>oelpl</t>
  </si>
  <si>
    <t>or</t>
  </si>
  <si>
    <t>nr</t>
  </si>
  <si>
    <t>5v4</t>
  </si>
  <si>
    <t>orrl</t>
  </si>
  <si>
    <t>nl</t>
  </si>
  <si>
    <t>oell</t>
  </si>
  <si>
    <t>R</t>
  </si>
  <si>
    <t>4v5</t>
  </si>
  <si>
    <t>b</t>
  </si>
  <si>
    <t>S</t>
  </si>
  <si>
    <t>B</t>
  </si>
  <si>
    <t>of</t>
  </si>
  <si>
    <t>nz faceoff</t>
  </si>
  <si>
    <t>3 on 2</t>
  </si>
  <si>
    <t>o</t>
  </si>
  <si>
    <t>nz regroup</t>
  </si>
  <si>
    <t>dsr</t>
  </si>
  <si>
    <t>dl</t>
  </si>
  <si>
    <t>a</t>
  </si>
  <si>
    <t>A</t>
  </si>
  <si>
    <t>oelc</t>
  </si>
  <si>
    <t>dz counter</t>
  </si>
  <si>
    <t>D</t>
  </si>
  <si>
    <t>4CAR</t>
  </si>
  <si>
    <t>N</t>
  </si>
  <si>
    <t>L</t>
  </si>
  <si>
    <t>11CAR</t>
  </si>
  <si>
    <t>54WPG</t>
  </si>
  <si>
    <t>BOT</t>
  </si>
  <si>
    <t>24CAR</t>
  </si>
  <si>
    <t>15WPG</t>
  </si>
  <si>
    <t>48CAR</t>
  </si>
  <si>
    <t>4WPG</t>
  </si>
  <si>
    <t>FEX</t>
  </si>
  <si>
    <t>62WPG</t>
  </si>
  <si>
    <t>CLE</t>
  </si>
  <si>
    <t>PEX</t>
  </si>
  <si>
    <t>C</t>
  </si>
  <si>
    <t>81WPG</t>
  </si>
  <si>
    <t>74CAR</t>
  </si>
  <si>
    <t>EXC</t>
  </si>
  <si>
    <t>96CAR</t>
  </si>
  <si>
    <t>53CAR</t>
  </si>
  <si>
    <t>2WPG</t>
  </si>
  <si>
    <t>44WPG</t>
  </si>
  <si>
    <t>MEX</t>
  </si>
  <si>
    <t>7CAR</t>
  </si>
  <si>
    <t>37CAR</t>
  </si>
  <si>
    <t>n</t>
  </si>
  <si>
    <t>7WPG</t>
  </si>
  <si>
    <t>82CAR</t>
  </si>
  <si>
    <t>71CAR</t>
  </si>
  <si>
    <t>64WPG</t>
  </si>
  <si>
    <t>6WPG</t>
  </si>
  <si>
    <t>73WPG</t>
  </si>
  <si>
    <t>56CAR</t>
  </si>
  <si>
    <t>19WPG</t>
  </si>
  <si>
    <t>50CAR</t>
  </si>
  <si>
    <t>26CAR</t>
  </si>
  <si>
    <t>98CAR</t>
  </si>
  <si>
    <t>8CAR</t>
  </si>
  <si>
    <t>13WPG</t>
  </si>
  <si>
    <t>CEX</t>
  </si>
  <si>
    <t>27WPG</t>
  </si>
  <si>
    <t>20CAR</t>
  </si>
  <si>
    <t>F</t>
  </si>
  <si>
    <t>52CAR</t>
  </si>
  <si>
    <t>9WPG</t>
  </si>
  <si>
    <t>5CAR</t>
  </si>
  <si>
    <t>91WPG</t>
  </si>
  <si>
    <t>55WPG</t>
  </si>
  <si>
    <t>22WPG</t>
  </si>
  <si>
    <t>X</t>
  </si>
  <si>
    <t>73WPWG</t>
  </si>
  <si>
    <t>1WPG</t>
  </si>
  <si>
    <t>NN</t>
  </si>
  <si>
    <t>Alex Iafallo</t>
  </si>
  <si>
    <t>Cole Perfetti</t>
  </si>
  <si>
    <t>Colin Miller</t>
  </si>
  <si>
    <t>David Gustafsson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</si>
  <si>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</si>
  <si>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</si>
  <si>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</si>
  <si>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</si>
  <si>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</si>
  <si>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</si>
  <si>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</si>
  <si>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</si>
  <si>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</si>
  <si>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</si>
  <si>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</si>
  <si>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Parker Ford</t>
  </si>
  <si>
    <t>Rasmus Kupari</t>
  </si>
  <si>
    <t>Vladislav Namestnikov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</si>
  <si>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</si>
  <si>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</si>
  <si>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</si>
  <si>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</si>
  <si>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</si>
  <si>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</si>
  <si>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</si>
  <si>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</si>
  <si>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</si>
  <si>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</si>
  <si>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</si>
  <si>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Mikko Rantanen</t>
  </si>
  <si>
    <t>Scott Morrow</t>
  </si>
  <si>
    <t>Sean Walker</t>
  </si>
  <si>
    <t>Sebastian Aho</t>
  </si>
  <si>
    <t>Seth Jarvis</t>
  </si>
  <si>
    <t>Shayne Gostisbehere</t>
  </si>
  <si>
    <t>Taylor Hall</t>
  </si>
  <si>
    <t>Pyotr Kochetkov</t>
  </si>
  <si>
    <t>G</t>
  </si>
  <si>
    <t>Eric Comrie</t>
  </si>
  <si>
    <t>2/4/2025 WPG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</si>
</sst>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11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20853</v>
      </c>
      <c r="X2" s="1">
        <v>45692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131</v>
      </c>
      <c r="D3" s="1" t="s">
        <v>132</v>
      </c>
      <c r="E3" s="1">
        <v>24</v>
      </c>
      <c r="F3" s="1" t="s">
        <v>133</v>
      </c>
      <c r="M3" s="1" t="s">
        <v>137</v>
      </c>
      <c r="N3" s="1" t="s">
        <v>137</v>
      </c>
      <c r="P3" s="1" t="s">
        <v>135</v>
      </c>
      <c r="Q3" s="1" t="s">
        <v>136</v>
      </c>
      <c r="U3" s="1">
        <v>0</v>
      </c>
      <c r="V3" s="1">
        <v>1</v>
      </c>
      <c r="W3" s="1">
        <v>20853</v>
      </c>
      <c r="X3" s="1">
        <v>45692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131</v>
      </c>
      <c r="D4" s="1" t="s">
        <v>132</v>
      </c>
      <c r="E4" s="1">
        <v>20</v>
      </c>
      <c r="F4" s="1" t="s">
        <v>133</v>
      </c>
      <c r="G4" s="1">
        <v>53</v>
      </c>
      <c r="H4" s="1">
        <v>96</v>
      </c>
      <c r="I4" s="1">
        <v>74</v>
      </c>
      <c r="J4" s="1" t="s">
        <v>138</v>
      </c>
      <c r="K4" s="1" t="s">
        <v>139</v>
      </c>
      <c r="L4" s="1" t="s">
        <v>139</v>
      </c>
      <c r="N4" s="1" t="s">
        <v>137</v>
      </c>
      <c r="P4" s="1" t="s">
        <v>140</v>
      </c>
      <c r="Q4" s="1" t="s">
        <v>141</v>
      </c>
      <c r="R4" s="1" t="s">
        <v>142</v>
      </c>
      <c r="U4" s="1">
        <v>0</v>
      </c>
      <c r="V4" s="1">
        <v>1</v>
      </c>
      <c r="W4" s="1">
        <v>20853</v>
      </c>
      <c r="X4" s="1">
        <v>45692</v>
      </c>
      <c r="AK4" s="7"/>
      <c r="AL4" s="7"/>
    </row>
    <row r="5" spans="1:40" x14ac:dyDescent="0.35">
      <c r="A5" s="7">
        <v>1</v>
      </c>
      <c r="B5" s="14">
        <v>0.76180555555555551</v>
      </c>
      <c r="C5" s="21" t="s">
        <v>131</v>
      </c>
      <c r="D5" s="1" t="s">
        <v>132</v>
      </c>
      <c r="E5" s="1">
        <v>7</v>
      </c>
      <c r="F5" s="1" t="s">
        <v>143</v>
      </c>
      <c r="G5" s="1">
        <v>37</v>
      </c>
      <c r="J5" s="1" t="s">
        <v>144</v>
      </c>
      <c r="N5" s="1" t="s">
        <v>137</v>
      </c>
      <c r="P5" s="1" t="s">
        <v>135</v>
      </c>
      <c r="Q5" s="1" t="s">
        <v>136</v>
      </c>
      <c r="U5" s="1">
        <v>0</v>
      </c>
      <c r="V5" s="1">
        <v>1</v>
      </c>
      <c r="W5" s="1">
        <v>20853</v>
      </c>
      <c r="X5" s="1">
        <v>45692</v>
      </c>
      <c r="AK5" s="7"/>
      <c r="AL5" s="7"/>
    </row>
    <row r="6" spans="1:40" x14ac:dyDescent="0.35">
      <c r="A6" s="2">
        <v>1</v>
      </c>
      <c r="B6" s="15">
        <v>0.6875</v>
      </c>
      <c r="C6" s="21" t="s">
        <v>131</v>
      </c>
      <c r="D6" s="1" t="s">
        <v>145</v>
      </c>
      <c r="E6" s="1">
        <v>62</v>
      </c>
      <c r="F6" s="1" t="s">
        <v>146</v>
      </c>
      <c r="G6" s="1">
        <v>54</v>
      </c>
      <c r="J6" s="1" t="s">
        <v>147</v>
      </c>
      <c r="M6" s="1" t="s">
        <v>137</v>
      </c>
      <c r="N6" s="1" t="s">
        <v>137</v>
      </c>
      <c r="O6" s="1" t="s">
        <v>137</v>
      </c>
      <c r="P6" s="1" t="s">
        <v>135</v>
      </c>
      <c r="Q6" s="1" t="s">
        <v>136</v>
      </c>
      <c r="U6" s="1">
        <v>0</v>
      </c>
      <c r="V6" s="1">
        <v>52</v>
      </c>
      <c r="W6" s="1">
        <v>20853</v>
      </c>
      <c r="X6" s="1">
        <v>45692</v>
      </c>
      <c r="AK6" s="7"/>
      <c r="AL6" s="7"/>
    </row>
    <row r="7" spans="1:40" x14ac:dyDescent="0.35">
      <c r="A7" s="2">
        <v>1</v>
      </c>
      <c r="B7" s="15">
        <v>0.6875</v>
      </c>
      <c r="C7" s="21" t="s">
        <v>131</v>
      </c>
      <c r="D7" s="1" t="s">
        <v>145</v>
      </c>
      <c r="E7" s="1">
        <v>62</v>
      </c>
      <c r="F7" s="1" t="s">
        <v>140</v>
      </c>
      <c r="M7" s="1" t="s">
        <v>137</v>
      </c>
      <c r="N7" s="1" t="s">
        <v>137</v>
      </c>
      <c r="P7" s="1" t="s">
        <v>135</v>
      </c>
      <c r="Q7" s="1" t="s">
        <v>136</v>
      </c>
      <c r="U7" s="1">
        <v>0</v>
      </c>
      <c r="V7" s="1">
        <v>52</v>
      </c>
      <c r="W7" s="1">
        <v>20853</v>
      </c>
      <c r="X7" s="1">
        <v>45692</v>
      </c>
      <c r="AK7" s="7"/>
      <c r="AL7" s="7"/>
    </row>
    <row r="8" spans="1:40" x14ac:dyDescent="0.35">
      <c r="A8" s="7">
        <v>1</v>
      </c>
      <c r="B8" s="15">
        <v>0.68680555555555556</v>
      </c>
      <c r="C8" s="21" t="s">
        <v>131</v>
      </c>
      <c r="D8" s="1" t="s">
        <v>145</v>
      </c>
      <c r="E8" s="1">
        <v>62</v>
      </c>
      <c r="F8" s="1" t="s">
        <v>140</v>
      </c>
      <c r="M8" s="1" t="s">
        <v>137</v>
      </c>
      <c r="N8" s="1" t="s">
        <v>137</v>
      </c>
      <c r="P8" s="1" t="s">
        <v>135</v>
      </c>
      <c r="Q8" s="1" t="s">
        <v>136</v>
      </c>
      <c r="U8" s="1">
        <v>0</v>
      </c>
      <c r="V8" s="1">
        <v>52</v>
      </c>
      <c r="W8" s="1">
        <v>20853</v>
      </c>
      <c r="X8" s="1">
        <v>45692</v>
      </c>
      <c r="AK8" s="7"/>
      <c r="AL8" s="7"/>
    </row>
    <row r="9" spans="1:40" x14ac:dyDescent="0.35">
      <c r="A9" s="2">
        <v>1</v>
      </c>
      <c r="B9" s="15">
        <v>0.68125000000000002</v>
      </c>
      <c r="C9" s="21" t="s">
        <v>131</v>
      </c>
      <c r="D9" s="1" t="s">
        <v>145</v>
      </c>
      <c r="E9" s="1">
        <v>44</v>
      </c>
      <c r="F9" s="1" t="s">
        <v>133</v>
      </c>
      <c r="G9" s="1">
        <v>13</v>
      </c>
      <c r="J9" s="1" t="s">
        <v>148</v>
      </c>
      <c r="Q9" s="1" t="s">
        <v>136</v>
      </c>
      <c r="R9" s="1" t="s">
        <v>149</v>
      </c>
      <c r="U9" s="1">
        <v>0</v>
      </c>
      <c r="V9" s="1">
        <v>52</v>
      </c>
      <c r="W9" s="1">
        <v>20853</v>
      </c>
      <c r="X9" s="1">
        <v>45692</v>
      </c>
      <c r="AK9" s="7"/>
      <c r="AL9" s="7"/>
    </row>
    <row r="10" spans="1:40" x14ac:dyDescent="0.35">
      <c r="A10" s="2">
        <v>1</v>
      </c>
      <c r="B10" s="15">
        <v>0.66874999999999996</v>
      </c>
      <c r="C10" s="21" t="s">
        <v>131</v>
      </c>
      <c r="D10" s="1" t="s">
        <v>145</v>
      </c>
      <c r="E10" s="1">
        <v>55</v>
      </c>
      <c r="F10" s="1" t="s">
        <v>143</v>
      </c>
      <c r="G10" s="1">
        <v>81</v>
      </c>
      <c r="J10" s="1" t="s">
        <v>150</v>
      </c>
      <c r="M10" s="1" t="s">
        <v>134</v>
      </c>
      <c r="P10" s="1" t="s">
        <v>135</v>
      </c>
      <c r="Q10" s="1" t="s">
        <v>136</v>
      </c>
      <c r="U10" s="1">
        <v>0</v>
      </c>
      <c r="V10" s="1">
        <v>52</v>
      </c>
      <c r="W10" s="1">
        <v>20853</v>
      </c>
      <c r="X10" s="1">
        <v>45692</v>
      </c>
      <c r="AK10" s="7"/>
      <c r="AL10" s="7"/>
    </row>
    <row r="11" spans="1:40" x14ac:dyDescent="0.35">
      <c r="A11" s="2">
        <v>1</v>
      </c>
      <c r="B11" s="15">
        <v>0.61041666666666672</v>
      </c>
      <c r="C11" s="21" t="s">
        <v>131</v>
      </c>
      <c r="D11" s="1" t="s">
        <v>145</v>
      </c>
      <c r="E11" s="1">
        <v>7</v>
      </c>
      <c r="F11" s="1" t="s">
        <v>133</v>
      </c>
      <c r="M11" s="1" t="s">
        <v>137</v>
      </c>
      <c r="N11" s="1" t="s">
        <v>137</v>
      </c>
      <c r="P11" s="1" t="s">
        <v>135</v>
      </c>
      <c r="Q11" s="1" t="s">
        <v>136</v>
      </c>
      <c r="U11" s="1">
        <v>0</v>
      </c>
      <c r="V11" s="1">
        <v>52</v>
      </c>
      <c r="W11" s="1">
        <v>20853</v>
      </c>
      <c r="X11" s="1">
        <v>45692</v>
      </c>
      <c r="AK11" s="7"/>
      <c r="AL11" s="7"/>
    </row>
    <row r="12" spans="1:40" x14ac:dyDescent="0.35">
      <c r="A12" s="2">
        <v>1</v>
      </c>
      <c r="B12" s="15">
        <v>0.6069444444444444</v>
      </c>
      <c r="C12" s="21" t="s">
        <v>131</v>
      </c>
      <c r="D12" s="1" t="s">
        <v>145</v>
      </c>
      <c r="E12" s="1">
        <v>27</v>
      </c>
      <c r="F12" s="1" t="s">
        <v>133</v>
      </c>
      <c r="G12" s="1">
        <v>91</v>
      </c>
      <c r="J12" s="1" t="s">
        <v>151</v>
      </c>
      <c r="M12" s="1" t="s">
        <v>137</v>
      </c>
      <c r="N12" s="1" t="s">
        <v>137</v>
      </c>
      <c r="P12" s="1" t="s">
        <v>135</v>
      </c>
      <c r="Q12" s="1" t="s">
        <v>136</v>
      </c>
      <c r="U12" s="1">
        <v>0</v>
      </c>
      <c r="V12" s="1">
        <v>52</v>
      </c>
      <c r="W12" s="1">
        <v>20853</v>
      </c>
      <c r="X12" s="1">
        <v>45692</v>
      </c>
      <c r="AK12" s="7"/>
      <c r="AL12" s="7"/>
    </row>
    <row r="13" spans="1:40" x14ac:dyDescent="0.35">
      <c r="A13" s="7">
        <v>1</v>
      </c>
      <c r="B13" s="15">
        <v>0.59861111111111109</v>
      </c>
      <c r="C13" s="21" t="s">
        <v>131</v>
      </c>
      <c r="D13" s="1" t="s">
        <v>145</v>
      </c>
      <c r="E13" s="1">
        <v>27</v>
      </c>
      <c r="F13" s="1" t="s">
        <v>146</v>
      </c>
      <c r="G13" s="1">
        <v>7</v>
      </c>
      <c r="H13" s="1">
        <v>44</v>
      </c>
      <c r="I13" s="1">
        <v>7</v>
      </c>
      <c r="J13" s="1" t="s">
        <v>147</v>
      </c>
      <c r="K13" s="1" t="s">
        <v>152</v>
      </c>
      <c r="L13" s="1" t="s">
        <v>153</v>
      </c>
      <c r="M13" s="1" t="s">
        <v>137</v>
      </c>
      <c r="N13" s="1" t="s">
        <v>137</v>
      </c>
      <c r="O13" s="1" t="s">
        <v>137</v>
      </c>
      <c r="P13" s="1" t="s">
        <v>154</v>
      </c>
      <c r="Q13" s="1" t="s">
        <v>136</v>
      </c>
      <c r="U13" s="1">
        <v>0</v>
      </c>
      <c r="V13" s="1">
        <v>52</v>
      </c>
      <c r="W13" s="1">
        <v>20853</v>
      </c>
      <c r="X13" s="1">
        <v>45692</v>
      </c>
      <c r="AK13" s="7"/>
      <c r="AL13" s="7"/>
    </row>
    <row r="14" spans="1:40" x14ac:dyDescent="0.35">
      <c r="A14" s="2">
        <v>1</v>
      </c>
      <c r="B14" s="15">
        <v>0.58611111111111114</v>
      </c>
      <c r="C14" s="21" t="s">
        <v>131</v>
      </c>
      <c r="D14" s="1" t="s">
        <v>132</v>
      </c>
      <c r="E14" s="1">
        <v>7</v>
      </c>
      <c r="F14" s="1" t="s">
        <v>133</v>
      </c>
      <c r="G14" s="1">
        <v>82</v>
      </c>
      <c r="J14" s="1" t="s">
        <v>150</v>
      </c>
      <c r="P14" s="1" t="s">
        <v>140</v>
      </c>
      <c r="Q14" s="1" t="s">
        <v>155</v>
      </c>
      <c r="R14" s="1" t="s">
        <v>156</v>
      </c>
      <c r="U14" s="1">
        <v>0</v>
      </c>
      <c r="V14" s="1">
        <v>1</v>
      </c>
      <c r="W14" s="1">
        <v>20853</v>
      </c>
      <c r="X14" s="1">
        <v>45692</v>
      </c>
      <c r="AK14" s="7"/>
      <c r="AL14" s="7"/>
    </row>
    <row r="15" spans="1:40" x14ac:dyDescent="0.35">
      <c r="A15" s="2">
        <v>1</v>
      </c>
      <c r="B15" s="15">
        <v>0.51111111111111107</v>
      </c>
      <c r="C15" s="21" t="s">
        <v>131</v>
      </c>
      <c r="D15" s="1" t="s">
        <v>132</v>
      </c>
      <c r="E15" s="1">
        <v>96</v>
      </c>
      <c r="F15" s="1" t="s">
        <v>143</v>
      </c>
      <c r="P15" s="1" t="s">
        <v>140</v>
      </c>
      <c r="Q15" s="1" t="s">
        <v>155</v>
      </c>
      <c r="R15" s="1" t="s">
        <v>156</v>
      </c>
      <c r="U15" s="1">
        <v>0</v>
      </c>
      <c r="V15" s="1">
        <v>1</v>
      </c>
      <c r="W15" s="1">
        <v>20853</v>
      </c>
      <c r="X15" s="1">
        <v>45692</v>
      </c>
      <c r="AK15" s="7"/>
      <c r="AL15" s="7"/>
    </row>
    <row r="16" spans="1:40" x14ac:dyDescent="0.35">
      <c r="A16" s="2">
        <v>1</v>
      </c>
      <c r="B16" s="15">
        <v>0.50694444444444442</v>
      </c>
      <c r="C16" s="21" t="s">
        <v>131</v>
      </c>
      <c r="D16" s="1" t="s">
        <v>132</v>
      </c>
      <c r="E16" s="1">
        <v>96</v>
      </c>
      <c r="F16" s="1" t="s">
        <v>133</v>
      </c>
      <c r="G16" s="1">
        <v>20</v>
      </c>
      <c r="J16" s="1" t="s">
        <v>153</v>
      </c>
      <c r="M16" s="1" t="s">
        <v>137</v>
      </c>
      <c r="N16" s="1" t="s">
        <v>137</v>
      </c>
      <c r="P16" s="1" t="s">
        <v>135</v>
      </c>
      <c r="Q16" s="1" t="s">
        <v>136</v>
      </c>
      <c r="U16" s="1">
        <v>0</v>
      </c>
      <c r="V16" s="1">
        <v>1</v>
      </c>
      <c r="W16" s="1">
        <v>20853</v>
      </c>
      <c r="X16" s="1">
        <v>45692</v>
      </c>
      <c r="AK16" s="7"/>
      <c r="AL16" s="7"/>
    </row>
    <row r="17" spans="1:38" x14ac:dyDescent="0.35">
      <c r="A17" s="2">
        <v>1</v>
      </c>
      <c r="B17" s="15">
        <v>0.50624999999999998</v>
      </c>
      <c r="C17" s="21" t="s">
        <v>131</v>
      </c>
      <c r="D17" s="1" t="s">
        <v>132</v>
      </c>
      <c r="E17" s="1">
        <v>53</v>
      </c>
      <c r="F17" s="1" t="s">
        <v>140</v>
      </c>
      <c r="M17" s="1" t="s">
        <v>137</v>
      </c>
      <c r="P17" s="1" t="s">
        <v>135</v>
      </c>
      <c r="Q17" s="1" t="s">
        <v>136</v>
      </c>
      <c r="U17" s="1">
        <v>0</v>
      </c>
      <c r="V17" s="1">
        <v>1</v>
      </c>
      <c r="W17" s="1">
        <v>20853</v>
      </c>
      <c r="X17" s="1">
        <v>45692</v>
      </c>
      <c r="AK17" s="7"/>
      <c r="AL17" s="7"/>
    </row>
    <row r="18" spans="1:38" x14ac:dyDescent="0.35">
      <c r="A18" s="2">
        <v>1</v>
      </c>
      <c r="B18" s="15">
        <v>0.49236111111111114</v>
      </c>
      <c r="C18" s="21" t="s">
        <v>131</v>
      </c>
      <c r="D18" s="1" t="s">
        <v>132</v>
      </c>
      <c r="E18" s="1">
        <v>96</v>
      </c>
      <c r="F18" s="1" t="s">
        <v>133</v>
      </c>
      <c r="P18" s="1" t="s">
        <v>140</v>
      </c>
      <c r="Q18" s="1" t="s">
        <v>141</v>
      </c>
      <c r="R18" s="1" t="s">
        <v>142</v>
      </c>
      <c r="U18" s="1">
        <v>0</v>
      </c>
      <c r="V18" s="1">
        <v>1</v>
      </c>
      <c r="W18" s="1">
        <v>20853</v>
      </c>
      <c r="X18" s="1">
        <v>45692</v>
      </c>
      <c r="AK18" s="7"/>
      <c r="AL18" s="7"/>
    </row>
    <row r="19" spans="1:38" x14ac:dyDescent="0.35">
      <c r="A19" s="7">
        <v>1</v>
      </c>
      <c r="B19" s="15">
        <v>0.40833333333333333</v>
      </c>
      <c r="C19" s="21" t="s">
        <v>131</v>
      </c>
      <c r="D19" s="1" t="s">
        <v>145</v>
      </c>
      <c r="E19" s="1">
        <v>44</v>
      </c>
      <c r="F19" s="1" t="s">
        <v>133</v>
      </c>
      <c r="G19" s="1">
        <v>55</v>
      </c>
      <c r="J19" s="1" t="s">
        <v>152</v>
      </c>
      <c r="N19" s="1" t="s">
        <v>137</v>
      </c>
      <c r="P19" s="1" t="s">
        <v>154</v>
      </c>
      <c r="Q19" s="1" t="s">
        <v>155</v>
      </c>
      <c r="R19" s="1" t="s">
        <v>157</v>
      </c>
      <c r="U19" s="1">
        <v>0</v>
      </c>
      <c r="V19" s="1">
        <v>52</v>
      </c>
      <c r="W19" s="1">
        <v>20853</v>
      </c>
      <c r="X19" s="1">
        <v>45692</v>
      </c>
      <c r="AK19" s="7"/>
      <c r="AL19" s="7"/>
    </row>
    <row r="20" spans="1:38" x14ac:dyDescent="0.35">
      <c r="A20" s="2">
        <v>1</v>
      </c>
      <c r="B20" s="15">
        <v>0.35347222222222224</v>
      </c>
      <c r="C20" s="21" t="s">
        <v>131</v>
      </c>
      <c r="D20" s="1" t="s">
        <v>132</v>
      </c>
      <c r="E20" s="1">
        <v>7</v>
      </c>
      <c r="F20" s="1" t="s">
        <v>143</v>
      </c>
      <c r="G20" s="1">
        <v>11</v>
      </c>
      <c r="H20" s="1">
        <v>24</v>
      </c>
      <c r="I20" s="1">
        <v>11</v>
      </c>
      <c r="J20" s="1" t="s">
        <v>158</v>
      </c>
      <c r="K20" s="1" t="s">
        <v>159</v>
      </c>
      <c r="L20" s="1" t="s">
        <v>160</v>
      </c>
      <c r="N20" s="1" t="s">
        <v>137</v>
      </c>
      <c r="P20" s="1" t="s">
        <v>154</v>
      </c>
      <c r="Q20" s="1" t="s">
        <v>141</v>
      </c>
      <c r="R20" s="1" t="s">
        <v>142</v>
      </c>
      <c r="U20" s="1">
        <v>0</v>
      </c>
      <c r="V20" s="1">
        <v>1</v>
      </c>
      <c r="W20" s="1">
        <v>20853</v>
      </c>
      <c r="X20" s="1">
        <v>45692</v>
      </c>
      <c r="AK20" s="7"/>
      <c r="AL20" s="7"/>
    </row>
    <row r="21" spans="1:38" x14ac:dyDescent="0.35">
      <c r="A21" s="7">
        <v>1</v>
      </c>
      <c r="B21" s="15">
        <v>0.28680555555555554</v>
      </c>
      <c r="C21" s="21" t="s">
        <v>131</v>
      </c>
      <c r="D21" s="1" t="s">
        <v>145</v>
      </c>
      <c r="E21" s="1">
        <v>19</v>
      </c>
      <c r="F21" s="1" t="s">
        <v>143</v>
      </c>
      <c r="G21" s="1">
        <v>9</v>
      </c>
      <c r="J21" s="1" t="s">
        <v>153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52</v>
      </c>
      <c r="W21" s="1">
        <v>20853</v>
      </c>
      <c r="X21" s="1">
        <v>45692</v>
      </c>
      <c r="AK21" s="7"/>
      <c r="AL21" s="7"/>
    </row>
    <row r="22" spans="1:38" x14ac:dyDescent="0.35">
      <c r="A22" s="7">
        <v>1</v>
      </c>
      <c r="B22" s="15">
        <v>0.24791666666666667</v>
      </c>
      <c r="C22" s="21" t="s">
        <v>131</v>
      </c>
      <c r="D22" s="1" t="s">
        <v>132</v>
      </c>
      <c r="E22" s="1">
        <v>7</v>
      </c>
      <c r="F22" s="1" t="s">
        <v>133</v>
      </c>
      <c r="G22" s="1">
        <v>20</v>
      </c>
      <c r="H22" s="1">
        <v>7</v>
      </c>
      <c r="I22" s="1">
        <v>20</v>
      </c>
      <c r="J22" s="1" t="s">
        <v>159</v>
      </c>
      <c r="K22" s="1" t="s">
        <v>153</v>
      </c>
      <c r="L22" s="1" t="s">
        <v>159</v>
      </c>
      <c r="N22" s="1" t="s">
        <v>137</v>
      </c>
      <c r="P22" s="1" t="s">
        <v>154</v>
      </c>
      <c r="Q22" s="1" t="s">
        <v>136</v>
      </c>
      <c r="U22" s="1">
        <v>0</v>
      </c>
      <c r="V22" s="1">
        <v>1</v>
      </c>
      <c r="W22" s="1">
        <v>20853</v>
      </c>
      <c r="X22" s="1">
        <v>45692</v>
      </c>
      <c r="AK22" s="7"/>
      <c r="AL22" s="7"/>
    </row>
    <row r="23" spans="1:38" x14ac:dyDescent="0.35">
      <c r="A23" s="2">
        <v>1</v>
      </c>
      <c r="B23" s="15">
        <v>2.8472222222222222E-2</v>
      </c>
      <c r="C23" s="21" t="s">
        <v>161</v>
      </c>
      <c r="D23" s="1" t="s">
        <v>145</v>
      </c>
      <c r="E23" s="1">
        <v>62</v>
      </c>
      <c r="F23" s="1" t="s">
        <v>133</v>
      </c>
      <c r="G23" s="1">
        <v>9</v>
      </c>
      <c r="H23" s="1">
        <v>7</v>
      </c>
      <c r="J23" s="1" t="s">
        <v>162</v>
      </c>
      <c r="K23" s="1" t="s">
        <v>163</v>
      </c>
      <c r="M23" s="1" t="s">
        <v>137</v>
      </c>
      <c r="N23" s="1" t="s">
        <v>137</v>
      </c>
      <c r="P23" s="1" t="s">
        <v>140</v>
      </c>
      <c r="Q23" s="1" t="s">
        <v>155</v>
      </c>
      <c r="T23" s="1" t="s">
        <v>137</v>
      </c>
      <c r="U23" s="1">
        <v>0</v>
      </c>
      <c r="V23" s="1">
        <v>52</v>
      </c>
      <c r="W23" s="1">
        <v>20853</v>
      </c>
      <c r="X23" s="1">
        <v>45692</v>
      </c>
      <c r="AK23" s="7"/>
      <c r="AL23" s="7"/>
    </row>
    <row r="24" spans="1:38" x14ac:dyDescent="0.35">
      <c r="A24" s="7">
        <v>1</v>
      </c>
      <c r="B24" s="15">
        <v>9.7222222222222224E-3</v>
      </c>
      <c r="C24" s="21" t="s">
        <v>131</v>
      </c>
      <c r="D24" s="1" t="s">
        <v>132</v>
      </c>
      <c r="E24" s="1">
        <v>56</v>
      </c>
      <c r="F24" s="1" t="s">
        <v>143</v>
      </c>
      <c r="G24" s="1">
        <v>71</v>
      </c>
      <c r="J24" s="1" t="s">
        <v>164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1</v>
      </c>
      <c r="W24" s="1">
        <v>20853</v>
      </c>
      <c r="X24" s="1">
        <v>45692</v>
      </c>
      <c r="AK24" s="7"/>
      <c r="AL24" s="7"/>
    </row>
    <row r="25" spans="1:38" x14ac:dyDescent="0.35">
      <c r="A25" s="2">
        <v>1</v>
      </c>
      <c r="B25" s="15">
        <v>6.2500000000000003E-3</v>
      </c>
      <c r="C25" s="21" t="s">
        <v>131</v>
      </c>
      <c r="D25" s="1" t="s">
        <v>132</v>
      </c>
      <c r="E25" s="1">
        <v>71</v>
      </c>
      <c r="F25" s="1" t="s">
        <v>165</v>
      </c>
      <c r="M25" s="1" t="s">
        <v>137</v>
      </c>
      <c r="N25" s="1" t="s">
        <v>137</v>
      </c>
      <c r="P25" s="1" t="s">
        <v>135</v>
      </c>
      <c r="Q25" s="1" t="s">
        <v>136</v>
      </c>
      <c r="U25" s="1">
        <v>1</v>
      </c>
      <c r="V25" s="1">
        <v>1</v>
      </c>
      <c r="W25" s="1">
        <v>20853</v>
      </c>
      <c r="X25" s="1">
        <v>45692</v>
      </c>
      <c r="AK25" s="7"/>
      <c r="AL25" s="7"/>
    </row>
    <row r="26" spans="1:38" x14ac:dyDescent="0.35">
      <c r="A26" s="7">
        <v>2</v>
      </c>
      <c r="B26" s="15">
        <v>0.75972222222222219</v>
      </c>
      <c r="C26" s="21" t="s">
        <v>131</v>
      </c>
      <c r="D26" s="1" t="s">
        <v>132</v>
      </c>
      <c r="E26" s="1">
        <v>8</v>
      </c>
      <c r="F26" s="1" t="s">
        <v>133</v>
      </c>
      <c r="N26" s="1" t="s">
        <v>137</v>
      </c>
      <c r="O26" s="1" t="s">
        <v>137</v>
      </c>
      <c r="P26" s="1" t="s">
        <v>135</v>
      </c>
      <c r="Q26" s="1" t="s">
        <v>136</v>
      </c>
      <c r="U26" s="1">
        <v>1</v>
      </c>
      <c r="V26" s="1">
        <v>1</v>
      </c>
      <c r="W26" s="1">
        <v>20853</v>
      </c>
      <c r="X26" s="1">
        <v>45692</v>
      </c>
      <c r="AK26" s="7"/>
      <c r="AL26" s="7"/>
    </row>
    <row r="27" spans="1:38" x14ac:dyDescent="0.35">
      <c r="A27" s="2">
        <v>2</v>
      </c>
      <c r="B27" s="15">
        <v>0.72430555555555554</v>
      </c>
      <c r="C27" s="21" t="s">
        <v>166</v>
      </c>
      <c r="D27" s="1" t="s">
        <v>132</v>
      </c>
      <c r="E27" s="1">
        <v>11</v>
      </c>
      <c r="F27" s="1" t="s">
        <v>167</v>
      </c>
      <c r="M27" s="1" t="s">
        <v>137</v>
      </c>
      <c r="N27" s="1" t="s">
        <v>137</v>
      </c>
      <c r="P27" s="1" t="s">
        <v>140</v>
      </c>
      <c r="Q27" s="1" t="s">
        <v>141</v>
      </c>
      <c r="U27" s="1">
        <v>1</v>
      </c>
      <c r="V27" s="1">
        <v>1</v>
      </c>
      <c r="W27" s="1">
        <v>20853</v>
      </c>
      <c r="X27" s="1">
        <v>45692</v>
      </c>
      <c r="AK27" s="7"/>
      <c r="AL27" s="7"/>
    </row>
    <row r="28" spans="1:38" x14ac:dyDescent="0.35">
      <c r="A28" s="7">
        <v>2</v>
      </c>
      <c r="B28" s="14">
        <v>0.69861111111111107</v>
      </c>
      <c r="C28" s="21" t="s">
        <v>161</v>
      </c>
      <c r="D28" s="1" t="s">
        <v>145</v>
      </c>
      <c r="E28" s="1">
        <v>4</v>
      </c>
      <c r="F28" s="1" t="s">
        <v>168</v>
      </c>
      <c r="M28" s="1" t="s">
        <v>134</v>
      </c>
      <c r="N28" s="1" t="s">
        <v>134</v>
      </c>
      <c r="O28" s="1" t="s">
        <v>134</v>
      </c>
      <c r="T28" s="1" t="s">
        <v>134</v>
      </c>
      <c r="U28" s="1">
        <v>1</v>
      </c>
      <c r="V28" s="1">
        <v>52</v>
      </c>
      <c r="W28" s="1">
        <v>20853</v>
      </c>
      <c r="X28" s="1">
        <v>45692</v>
      </c>
      <c r="AK28" s="7"/>
      <c r="AL28" s="7"/>
    </row>
    <row r="29" spans="1:38" x14ac:dyDescent="0.35">
      <c r="A29" s="7">
        <v>2</v>
      </c>
      <c r="B29" s="14">
        <v>0.65833333333333333</v>
      </c>
      <c r="C29" s="21" t="s">
        <v>161</v>
      </c>
      <c r="D29" s="1" t="s">
        <v>132</v>
      </c>
      <c r="E29" s="1">
        <v>96</v>
      </c>
      <c r="F29" s="1" t="s">
        <v>169</v>
      </c>
      <c r="G29" s="1">
        <v>24</v>
      </c>
      <c r="J29" s="1" t="s">
        <v>151</v>
      </c>
      <c r="M29" s="1" t="s">
        <v>134</v>
      </c>
      <c r="N29" s="1" t="s">
        <v>134</v>
      </c>
      <c r="U29" s="1">
        <v>2</v>
      </c>
      <c r="V29" s="1">
        <v>1</v>
      </c>
      <c r="W29" s="1">
        <v>20853</v>
      </c>
      <c r="X29" s="1">
        <v>45692</v>
      </c>
      <c r="AK29" s="7"/>
      <c r="AL29" s="7"/>
    </row>
    <row r="30" spans="1:38" x14ac:dyDescent="0.35">
      <c r="A30" s="2">
        <v>2</v>
      </c>
      <c r="B30" s="15">
        <v>0.64652777777777781</v>
      </c>
      <c r="C30" s="21" t="s">
        <v>161</v>
      </c>
      <c r="D30" s="1" t="s">
        <v>132</v>
      </c>
      <c r="E30" s="1">
        <v>53</v>
      </c>
      <c r="F30" s="1" t="s">
        <v>133</v>
      </c>
      <c r="G30" s="1">
        <v>20</v>
      </c>
      <c r="J30" s="1" t="s">
        <v>159</v>
      </c>
      <c r="N30" s="1" t="s">
        <v>137</v>
      </c>
      <c r="U30" s="1">
        <v>2</v>
      </c>
      <c r="V30" s="1">
        <v>1</v>
      </c>
      <c r="W30" s="1">
        <v>20853</v>
      </c>
      <c r="X30" s="1">
        <v>45692</v>
      </c>
      <c r="AK30" s="7"/>
      <c r="AL30" s="7"/>
    </row>
    <row r="31" spans="1:38" x14ac:dyDescent="0.35">
      <c r="A31" s="7">
        <v>2</v>
      </c>
      <c r="B31" s="14">
        <v>0.55069444444444449</v>
      </c>
      <c r="C31" s="21" t="s">
        <v>166</v>
      </c>
      <c r="D31" s="1" t="s">
        <v>132</v>
      </c>
      <c r="E31" s="1">
        <v>24</v>
      </c>
      <c r="F31" s="1" t="s">
        <v>133</v>
      </c>
      <c r="M31" s="1" t="s">
        <v>137</v>
      </c>
      <c r="N31" s="1" t="s">
        <v>137</v>
      </c>
      <c r="U31" s="1">
        <v>2</v>
      </c>
      <c r="V31" s="1">
        <v>1</v>
      </c>
      <c r="W31" s="1">
        <v>20853</v>
      </c>
      <c r="X31" s="1">
        <v>45692</v>
      </c>
      <c r="AK31" s="7"/>
      <c r="AL31" s="7"/>
    </row>
    <row r="32" spans="1:38" x14ac:dyDescent="0.35">
      <c r="A32" s="2">
        <v>2</v>
      </c>
      <c r="B32" s="15">
        <v>0.53472222222222221</v>
      </c>
      <c r="C32" s="21" t="s">
        <v>131</v>
      </c>
      <c r="D32" s="1" t="s">
        <v>132</v>
      </c>
      <c r="E32" s="1">
        <v>37</v>
      </c>
      <c r="F32" s="1" t="s">
        <v>146</v>
      </c>
      <c r="G32" s="1">
        <v>56</v>
      </c>
      <c r="J32" s="1" t="s">
        <v>147</v>
      </c>
      <c r="P32" s="1" t="s">
        <v>135</v>
      </c>
      <c r="Q32" s="1" t="s">
        <v>136</v>
      </c>
      <c r="U32" s="1">
        <v>2</v>
      </c>
      <c r="V32" s="1">
        <v>1</v>
      </c>
      <c r="W32" s="1">
        <v>20853</v>
      </c>
      <c r="X32" s="1">
        <v>45692</v>
      </c>
      <c r="AK32" s="7"/>
      <c r="AL32" s="7"/>
    </row>
    <row r="33" spans="1:38" x14ac:dyDescent="0.35">
      <c r="A33" s="2">
        <v>2</v>
      </c>
      <c r="B33" s="15">
        <v>0.53125</v>
      </c>
      <c r="C33" s="21" t="s">
        <v>131</v>
      </c>
      <c r="D33" s="1" t="s">
        <v>132</v>
      </c>
      <c r="E33" s="1">
        <v>4</v>
      </c>
      <c r="F33" s="1" t="s">
        <v>133</v>
      </c>
      <c r="G33" s="1">
        <v>71</v>
      </c>
      <c r="J33" s="1" t="s">
        <v>170</v>
      </c>
      <c r="Q33" s="1" t="s">
        <v>136</v>
      </c>
      <c r="R33" s="1" t="s">
        <v>149</v>
      </c>
      <c r="U33" s="1">
        <v>2</v>
      </c>
      <c r="V33" s="1">
        <v>1</v>
      </c>
      <c r="W33" s="1">
        <v>20853</v>
      </c>
      <c r="X33" s="1">
        <v>45692</v>
      </c>
      <c r="AK33" s="7"/>
      <c r="AL33" s="7"/>
    </row>
    <row r="34" spans="1:38" x14ac:dyDescent="0.35">
      <c r="A34" s="7">
        <v>2</v>
      </c>
      <c r="B34" s="15">
        <v>0.52152777777777781</v>
      </c>
      <c r="C34" s="21" t="s">
        <v>131</v>
      </c>
      <c r="D34" s="1" t="s">
        <v>132</v>
      </c>
      <c r="E34" s="1">
        <v>4</v>
      </c>
      <c r="F34" s="1" t="s">
        <v>133</v>
      </c>
      <c r="N34" s="1" t="s">
        <v>137</v>
      </c>
      <c r="P34" s="1" t="s">
        <v>140</v>
      </c>
      <c r="Q34" s="1" t="s">
        <v>155</v>
      </c>
      <c r="R34" s="1" t="s">
        <v>171</v>
      </c>
      <c r="U34" s="1">
        <v>2</v>
      </c>
      <c r="V34" s="1">
        <v>1</v>
      </c>
      <c r="W34" s="1">
        <v>20853</v>
      </c>
      <c r="X34" s="1">
        <v>45692</v>
      </c>
      <c r="AK34" s="7"/>
      <c r="AL34" s="7"/>
    </row>
    <row r="35" spans="1:38" x14ac:dyDescent="0.35">
      <c r="A35" s="2">
        <v>2</v>
      </c>
      <c r="B35" s="15">
        <v>0.52013888888888893</v>
      </c>
      <c r="C35" s="21" t="s">
        <v>131</v>
      </c>
      <c r="D35" s="1" t="s">
        <v>132</v>
      </c>
      <c r="E35" s="1">
        <v>71</v>
      </c>
      <c r="F35" s="1" t="s">
        <v>140</v>
      </c>
      <c r="P35" s="1" t="s">
        <v>140</v>
      </c>
      <c r="Q35" s="1" t="s">
        <v>155</v>
      </c>
      <c r="R35" s="1" t="s">
        <v>171</v>
      </c>
      <c r="U35" s="1">
        <v>2</v>
      </c>
      <c r="V35" s="1">
        <v>1</v>
      </c>
      <c r="W35" s="1">
        <v>20853</v>
      </c>
      <c r="X35" s="1">
        <v>45692</v>
      </c>
      <c r="AK35" s="7"/>
      <c r="AL35" s="7"/>
    </row>
    <row r="36" spans="1:38" x14ac:dyDescent="0.35">
      <c r="A36" s="7">
        <v>2</v>
      </c>
      <c r="B36" s="15">
        <v>0.4909722222222222</v>
      </c>
      <c r="C36" s="21" t="s">
        <v>131</v>
      </c>
      <c r="D36" s="1" t="s">
        <v>132</v>
      </c>
      <c r="E36" s="1">
        <v>7</v>
      </c>
      <c r="F36" s="1" t="s">
        <v>133</v>
      </c>
      <c r="G36" s="1">
        <v>53</v>
      </c>
      <c r="H36" s="1">
        <v>20</v>
      </c>
      <c r="I36" s="1">
        <v>7</v>
      </c>
      <c r="J36" s="1" t="s">
        <v>153</v>
      </c>
      <c r="K36" s="1" t="s">
        <v>150</v>
      </c>
      <c r="L36" s="1" t="s">
        <v>159</v>
      </c>
      <c r="M36" s="1" t="s">
        <v>134</v>
      </c>
      <c r="P36" s="1" t="s">
        <v>140</v>
      </c>
      <c r="Q36" s="1" t="s">
        <v>141</v>
      </c>
      <c r="R36" s="1" t="s">
        <v>142</v>
      </c>
      <c r="S36" s="1" t="s">
        <v>172</v>
      </c>
      <c r="U36" s="1">
        <v>2</v>
      </c>
      <c r="V36" s="1">
        <v>1</v>
      </c>
      <c r="W36" s="1">
        <v>20853</v>
      </c>
      <c r="X36" s="1">
        <v>45692</v>
      </c>
      <c r="AK36" s="7"/>
      <c r="AL36" s="7"/>
    </row>
    <row r="37" spans="1:38" x14ac:dyDescent="0.35">
      <c r="A37" s="7">
        <v>2</v>
      </c>
      <c r="B37" s="15">
        <v>0.46875</v>
      </c>
      <c r="C37" s="21" t="s">
        <v>131</v>
      </c>
      <c r="D37" s="1" t="s">
        <v>145</v>
      </c>
      <c r="E37" s="1">
        <v>54</v>
      </c>
      <c r="F37" s="1" t="s">
        <v>173</v>
      </c>
      <c r="G37" s="1">
        <v>55</v>
      </c>
      <c r="J37" s="1" t="s">
        <v>150</v>
      </c>
      <c r="N37" s="1" t="s">
        <v>137</v>
      </c>
      <c r="P37" s="1" t="s">
        <v>140</v>
      </c>
      <c r="Q37" s="1" t="s">
        <v>155</v>
      </c>
      <c r="R37" s="1" t="s">
        <v>174</v>
      </c>
      <c r="U37" s="1">
        <v>2</v>
      </c>
      <c r="V37" s="1">
        <v>52</v>
      </c>
      <c r="W37" s="1">
        <v>20853</v>
      </c>
      <c r="X37" s="1">
        <v>45692</v>
      </c>
      <c r="AK37" s="7"/>
      <c r="AL37" s="7"/>
    </row>
    <row r="38" spans="1:38" x14ac:dyDescent="0.35">
      <c r="A38" s="7">
        <v>2</v>
      </c>
      <c r="B38" s="15">
        <v>0.40486111111111112</v>
      </c>
      <c r="C38" s="21" t="s">
        <v>131</v>
      </c>
      <c r="D38" s="1" t="s">
        <v>132</v>
      </c>
      <c r="E38" s="1">
        <v>11</v>
      </c>
      <c r="F38" s="1" t="s">
        <v>133</v>
      </c>
      <c r="G38" s="1">
        <v>24</v>
      </c>
      <c r="H38" s="1">
        <v>74</v>
      </c>
      <c r="I38" s="1">
        <v>8</v>
      </c>
      <c r="J38" s="1" t="s">
        <v>160</v>
      </c>
      <c r="K38" s="1" t="s">
        <v>175</v>
      </c>
      <c r="L38" s="1" t="s">
        <v>176</v>
      </c>
      <c r="P38" s="1" t="s">
        <v>140</v>
      </c>
      <c r="Q38" s="1" t="s">
        <v>141</v>
      </c>
      <c r="R38" s="1" t="s">
        <v>142</v>
      </c>
      <c r="U38" s="1">
        <v>2</v>
      </c>
      <c r="V38" s="1">
        <v>1</v>
      </c>
      <c r="W38" s="1">
        <v>20853</v>
      </c>
      <c r="X38" s="1">
        <v>45692</v>
      </c>
      <c r="AK38" s="7"/>
      <c r="AL38" s="7"/>
    </row>
    <row r="39" spans="1:38" x14ac:dyDescent="0.35">
      <c r="A39" s="2">
        <v>2</v>
      </c>
      <c r="B39" s="15">
        <v>0.33958333333333335</v>
      </c>
      <c r="C39" s="21" t="s">
        <v>131</v>
      </c>
      <c r="D39" s="1" t="s">
        <v>132</v>
      </c>
      <c r="E39" s="1">
        <v>37</v>
      </c>
      <c r="F39" s="1" t="s">
        <v>133</v>
      </c>
      <c r="G39" s="1">
        <v>50</v>
      </c>
      <c r="J39" s="1" t="s">
        <v>153</v>
      </c>
      <c r="N39" s="1" t="s">
        <v>137</v>
      </c>
      <c r="P39" s="1" t="s">
        <v>135</v>
      </c>
      <c r="Q39" s="1" t="s">
        <v>136</v>
      </c>
      <c r="U39" s="1">
        <v>2</v>
      </c>
      <c r="V39" s="1">
        <v>1</v>
      </c>
      <c r="W39" s="1">
        <v>20853</v>
      </c>
      <c r="X39" s="1">
        <v>45692</v>
      </c>
      <c r="AK39" s="7"/>
      <c r="AL39" s="7"/>
    </row>
    <row r="40" spans="1:38" x14ac:dyDescent="0.35">
      <c r="A40" s="7">
        <v>2</v>
      </c>
      <c r="B40" s="15">
        <v>0.25486111111111109</v>
      </c>
      <c r="C40" s="21" t="s">
        <v>131</v>
      </c>
      <c r="D40" s="1" t="s">
        <v>132</v>
      </c>
      <c r="E40" s="1">
        <v>56</v>
      </c>
      <c r="F40" s="1" t="s">
        <v>133</v>
      </c>
      <c r="G40" s="1">
        <v>7</v>
      </c>
      <c r="H40" s="1">
        <v>56</v>
      </c>
      <c r="I40" s="1">
        <v>82</v>
      </c>
      <c r="J40" s="1" t="s">
        <v>153</v>
      </c>
      <c r="K40" s="1" t="s">
        <v>159</v>
      </c>
      <c r="L40" s="1" t="s">
        <v>144</v>
      </c>
      <c r="N40" s="1" t="s">
        <v>137</v>
      </c>
      <c r="P40" s="1" t="s">
        <v>135</v>
      </c>
      <c r="Q40" s="1" t="s">
        <v>136</v>
      </c>
      <c r="U40" s="1">
        <v>2</v>
      </c>
      <c r="V40" s="1">
        <v>1</v>
      </c>
      <c r="W40" s="1">
        <v>20853</v>
      </c>
      <c r="X40" s="1">
        <v>45692</v>
      </c>
      <c r="AK40" s="7"/>
      <c r="AL40" s="7"/>
    </row>
    <row r="41" spans="1:38" x14ac:dyDescent="0.35">
      <c r="A41" s="7">
        <v>2</v>
      </c>
      <c r="B41" s="14">
        <v>0.18541666666666667</v>
      </c>
      <c r="C41" s="21" t="s">
        <v>131</v>
      </c>
      <c r="D41" s="1" t="s">
        <v>145</v>
      </c>
      <c r="E41" s="1">
        <v>22</v>
      </c>
      <c r="F41" s="1" t="s">
        <v>177</v>
      </c>
      <c r="G41" s="1">
        <v>15</v>
      </c>
      <c r="H41" s="1">
        <v>62</v>
      </c>
      <c r="J41" s="1" t="s">
        <v>153</v>
      </c>
      <c r="K41" s="1" t="s">
        <v>164</v>
      </c>
      <c r="M41" s="1" t="s">
        <v>137</v>
      </c>
      <c r="N41" s="1" t="s">
        <v>137</v>
      </c>
      <c r="P41" s="1" t="s">
        <v>135</v>
      </c>
      <c r="Q41" s="1" t="s">
        <v>136</v>
      </c>
      <c r="U41" s="1">
        <v>2</v>
      </c>
      <c r="V41" s="1">
        <v>52</v>
      </c>
      <c r="W41" s="1">
        <v>20853</v>
      </c>
      <c r="X41" s="1">
        <v>45692</v>
      </c>
      <c r="AK41" s="7"/>
      <c r="AL41" s="7"/>
    </row>
    <row r="42" spans="1:38" x14ac:dyDescent="0.35">
      <c r="A42" s="2">
        <v>2</v>
      </c>
      <c r="B42" s="15">
        <v>0.15763888888888888</v>
      </c>
      <c r="C42" s="21" t="s">
        <v>131</v>
      </c>
      <c r="D42" s="1" t="s">
        <v>132</v>
      </c>
      <c r="E42" s="1">
        <v>74</v>
      </c>
      <c r="F42" s="1" t="s">
        <v>168</v>
      </c>
      <c r="G42" s="1">
        <v>71</v>
      </c>
      <c r="J42" s="1" t="s">
        <v>159</v>
      </c>
      <c r="N42" s="1" t="s">
        <v>137</v>
      </c>
      <c r="P42" s="1" t="s">
        <v>135</v>
      </c>
      <c r="Q42" s="1" t="s">
        <v>136</v>
      </c>
      <c r="U42" s="1">
        <v>2</v>
      </c>
      <c r="V42" s="1">
        <v>1</v>
      </c>
      <c r="W42" s="1">
        <v>20853</v>
      </c>
      <c r="X42" s="1">
        <v>45692</v>
      </c>
      <c r="AK42" s="7"/>
      <c r="AL42" s="7"/>
    </row>
    <row r="43" spans="1:38" x14ac:dyDescent="0.35">
      <c r="A43" s="7">
        <v>2</v>
      </c>
      <c r="B43" s="15">
        <v>0.12361111111111112</v>
      </c>
      <c r="C43" s="21" t="s">
        <v>131</v>
      </c>
      <c r="D43" s="1" t="s">
        <v>132</v>
      </c>
      <c r="E43" s="1">
        <v>20</v>
      </c>
      <c r="F43" s="1" t="s">
        <v>133</v>
      </c>
      <c r="G43" s="1">
        <v>53</v>
      </c>
      <c r="H43" s="1">
        <v>96</v>
      </c>
      <c r="I43" s="1">
        <v>20</v>
      </c>
      <c r="J43" s="1" t="s">
        <v>159</v>
      </c>
      <c r="K43" s="1" t="s">
        <v>138</v>
      </c>
      <c r="L43" s="1" t="s">
        <v>176</v>
      </c>
      <c r="P43" s="1" t="s">
        <v>140</v>
      </c>
      <c r="Q43" s="1" t="s">
        <v>141</v>
      </c>
      <c r="R43" s="1" t="s">
        <v>142</v>
      </c>
      <c r="U43" s="1">
        <v>2</v>
      </c>
      <c r="V43" s="1">
        <v>1</v>
      </c>
      <c r="W43" s="1">
        <v>20853</v>
      </c>
      <c r="X43" s="1">
        <v>45692</v>
      </c>
      <c r="AK43" s="7"/>
      <c r="AL43" s="7"/>
    </row>
    <row r="44" spans="1:38" x14ac:dyDescent="0.35">
      <c r="A44" s="2">
        <v>2</v>
      </c>
      <c r="B44" s="15">
        <v>0.11736111111111111</v>
      </c>
      <c r="C44" s="21" t="s">
        <v>131</v>
      </c>
      <c r="D44" s="1" t="s">
        <v>132</v>
      </c>
      <c r="E44" s="1">
        <v>24</v>
      </c>
      <c r="F44" s="1" t="s">
        <v>167</v>
      </c>
      <c r="G44" s="1">
        <v>4</v>
      </c>
      <c r="J44" s="1" t="s">
        <v>147</v>
      </c>
      <c r="M44" s="1" t="s">
        <v>137</v>
      </c>
      <c r="N44" s="1" t="s">
        <v>137</v>
      </c>
      <c r="Q44" s="1" t="s">
        <v>136</v>
      </c>
      <c r="R44" s="1" t="s">
        <v>149</v>
      </c>
      <c r="U44" s="1">
        <v>2</v>
      </c>
      <c r="V44" s="1">
        <v>1</v>
      </c>
      <c r="W44" s="1">
        <v>20853</v>
      </c>
      <c r="X44" s="1">
        <v>45692</v>
      </c>
      <c r="AK44" s="7"/>
      <c r="AL44" s="7"/>
    </row>
    <row r="45" spans="1:38" x14ac:dyDescent="0.35">
      <c r="A45" s="7">
        <v>2</v>
      </c>
      <c r="B45" s="14">
        <v>7.7083333333333337E-2</v>
      </c>
      <c r="C45" s="21" t="s">
        <v>131</v>
      </c>
      <c r="D45" s="1" t="s">
        <v>132</v>
      </c>
      <c r="E45" s="1">
        <v>11</v>
      </c>
      <c r="F45" s="1" t="s">
        <v>133</v>
      </c>
      <c r="G45" s="1">
        <v>24</v>
      </c>
      <c r="H45" s="1">
        <v>4</v>
      </c>
      <c r="I45" s="1">
        <v>24</v>
      </c>
      <c r="J45" s="1" t="s">
        <v>153</v>
      </c>
      <c r="K45" s="1" t="s">
        <v>176</v>
      </c>
      <c r="L45" s="1" t="s">
        <v>176</v>
      </c>
      <c r="N45" s="1" t="s">
        <v>137</v>
      </c>
      <c r="P45" s="1" t="s">
        <v>140</v>
      </c>
      <c r="Q45" s="1" t="s">
        <v>155</v>
      </c>
      <c r="R45" s="1" t="s">
        <v>174</v>
      </c>
      <c r="U45" s="1">
        <v>2</v>
      </c>
      <c r="V45" s="1">
        <v>1</v>
      </c>
      <c r="W45" s="1">
        <v>20853</v>
      </c>
      <c r="X45" s="1">
        <v>45692</v>
      </c>
      <c r="AK45" s="7"/>
      <c r="AL45" s="7"/>
    </row>
    <row r="46" spans="1:38" x14ac:dyDescent="0.35">
      <c r="A46" s="7">
        <v>2</v>
      </c>
      <c r="B46" s="15">
        <v>7.013888888888889E-2</v>
      </c>
      <c r="C46" s="21" t="s">
        <v>131</v>
      </c>
      <c r="D46" s="1" t="s">
        <v>132</v>
      </c>
      <c r="E46" s="1">
        <v>5</v>
      </c>
      <c r="F46" s="1" t="s">
        <v>133</v>
      </c>
      <c r="G46" s="1">
        <v>7</v>
      </c>
      <c r="J46" s="1" t="s">
        <v>153</v>
      </c>
      <c r="N46" s="1" t="s">
        <v>137</v>
      </c>
      <c r="O46" s="1" t="s">
        <v>137</v>
      </c>
      <c r="Q46" s="1" t="s">
        <v>136</v>
      </c>
      <c r="R46" s="1" t="s">
        <v>149</v>
      </c>
      <c r="U46" s="1">
        <v>2</v>
      </c>
      <c r="V46" s="1">
        <v>1</v>
      </c>
      <c r="W46" s="1">
        <v>20853</v>
      </c>
      <c r="X46" s="1">
        <v>45692</v>
      </c>
      <c r="AK46" s="7"/>
      <c r="AL46" s="7"/>
    </row>
    <row r="47" spans="1:38" x14ac:dyDescent="0.35">
      <c r="A47" s="2">
        <v>2</v>
      </c>
      <c r="B47" s="15">
        <v>6.1111111111111109E-2</v>
      </c>
      <c r="C47" s="21" t="s">
        <v>131</v>
      </c>
      <c r="D47" s="1" t="s">
        <v>145</v>
      </c>
      <c r="E47" s="1">
        <v>62</v>
      </c>
      <c r="F47" s="1" t="s">
        <v>133</v>
      </c>
      <c r="G47" s="1">
        <v>15</v>
      </c>
      <c r="H47" s="1">
        <v>62</v>
      </c>
      <c r="J47" s="1" t="s">
        <v>163</v>
      </c>
      <c r="K47" s="1" t="s">
        <v>176</v>
      </c>
      <c r="M47" s="1" t="s">
        <v>137</v>
      </c>
      <c r="N47" s="1" t="s">
        <v>137</v>
      </c>
      <c r="P47" s="1" t="s">
        <v>140</v>
      </c>
      <c r="Q47" s="1" t="s">
        <v>141</v>
      </c>
      <c r="R47" s="1" t="s">
        <v>142</v>
      </c>
      <c r="U47" s="1">
        <v>2</v>
      </c>
      <c r="V47" s="1">
        <v>52</v>
      </c>
      <c r="W47" s="1">
        <v>20853</v>
      </c>
      <c r="X47" s="1">
        <v>45692</v>
      </c>
      <c r="AK47" s="7"/>
      <c r="AL47" s="7"/>
    </row>
    <row r="48" spans="1:38" x14ac:dyDescent="0.35">
      <c r="A48" s="7">
        <v>2</v>
      </c>
      <c r="B48" s="14">
        <v>2.0833333333333333E-3</v>
      </c>
      <c r="C48" s="21" t="s">
        <v>131</v>
      </c>
      <c r="D48" s="1" t="s">
        <v>132</v>
      </c>
      <c r="E48" s="1">
        <v>98</v>
      </c>
      <c r="F48" s="1" t="s">
        <v>133</v>
      </c>
      <c r="N48" s="1" t="s">
        <v>137</v>
      </c>
      <c r="P48" s="1" t="s">
        <v>135</v>
      </c>
      <c r="Q48" s="1" t="s">
        <v>136</v>
      </c>
      <c r="U48" s="1">
        <v>2</v>
      </c>
      <c r="V48" s="1">
        <v>1</v>
      </c>
      <c r="W48" s="1">
        <v>20853</v>
      </c>
      <c r="X48" s="1">
        <v>45692</v>
      </c>
      <c r="AK48" s="7"/>
      <c r="AL48" s="7"/>
    </row>
    <row r="49" spans="1:38" x14ac:dyDescent="0.35">
      <c r="A49" s="7">
        <v>3</v>
      </c>
      <c r="B49" s="15">
        <v>0.73958333333333337</v>
      </c>
      <c r="C49" s="21" t="s">
        <v>131</v>
      </c>
      <c r="D49" s="1" t="s">
        <v>145</v>
      </c>
      <c r="E49" s="1">
        <v>6</v>
      </c>
      <c r="F49" s="1" t="s">
        <v>133</v>
      </c>
      <c r="G49" s="1">
        <v>7</v>
      </c>
      <c r="J49" s="1" t="s">
        <v>144</v>
      </c>
      <c r="N49" s="1" t="s">
        <v>137</v>
      </c>
      <c r="O49" s="1" t="s">
        <v>137</v>
      </c>
      <c r="P49" s="1" t="s">
        <v>135</v>
      </c>
      <c r="Q49" s="1" t="s">
        <v>136</v>
      </c>
      <c r="U49" s="1">
        <v>2</v>
      </c>
      <c r="AK49" s="7"/>
      <c r="AL49" s="7"/>
    </row>
    <row r="50" spans="1:38" x14ac:dyDescent="0.35">
      <c r="A50" s="7">
        <v>3</v>
      </c>
      <c r="B50" s="15">
        <v>0.72916666666666663</v>
      </c>
      <c r="C50" s="21" t="s">
        <v>131</v>
      </c>
      <c r="D50" s="1" t="s">
        <v>145</v>
      </c>
      <c r="E50" s="1">
        <v>7</v>
      </c>
      <c r="F50" s="1" t="s">
        <v>178</v>
      </c>
      <c r="G50" s="1">
        <v>91</v>
      </c>
      <c r="J50" s="1" t="s">
        <v>153</v>
      </c>
      <c r="M50" s="1" t="s">
        <v>134</v>
      </c>
      <c r="N50" s="1" t="s">
        <v>134</v>
      </c>
      <c r="P50" s="1" t="s">
        <v>154</v>
      </c>
      <c r="Q50" s="1" t="s">
        <v>136</v>
      </c>
      <c r="U50" s="1">
        <v>2</v>
      </c>
      <c r="V50" s="1">
        <v>52</v>
      </c>
      <c r="W50" s="1">
        <v>20853</v>
      </c>
      <c r="X50" s="1">
        <v>45692</v>
      </c>
      <c r="AK50" s="7"/>
      <c r="AL50" s="7"/>
    </row>
    <row r="51" spans="1:38" x14ac:dyDescent="0.35">
      <c r="A51" s="2">
        <v>3</v>
      </c>
      <c r="B51" s="15">
        <v>0.71527777777777779</v>
      </c>
      <c r="C51" s="21" t="s">
        <v>131</v>
      </c>
      <c r="D51" s="1" t="s">
        <v>132</v>
      </c>
      <c r="E51" s="1">
        <v>50</v>
      </c>
      <c r="F51" s="1" t="s">
        <v>146</v>
      </c>
      <c r="G51" s="1">
        <v>5</v>
      </c>
      <c r="H51" s="1">
        <v>98</v>
      </c>
      <c r="J51" s="1" t="s">
        <v>147</v>
      </c>
      <c r="K51" s="1" t="s">
        <v>144</v>
      </c>
      <c r="M51" s="1" t="s">
        <v>137</v>
      </c>
      <c r="N51" s="1" t="s">
        <v>137</v>
      </c>
      <c r="O51" s="1" t="s">
        <v>137</v>
      </c>
      <c r="P51" s="1" t="s">
        <v>135</v>
      </c>
      <c r="Q51" s="1" t="s">
        <v>136</v>
      </c>
      <c r="U51" s="1">
        <v>2</v>
      </c>
      <c r="V51" s="1">
        <v>1</v>
      </c>
      <c r="W51" s="1">
        <v>20853</v>
      </c>
      <c r="X51" s="1">
        <v>45692</v>
      </c>
      <c r="AK51" s="7"/>
      <c r="AL51" s="7"/>
    </row>
    <row r="52" spans="1:38" x14ac:dyDescent="0.35">
      <c r="A52" s="7">
        <v>3</v>
      </c>
      <c r="B52" s="14">
        <v>0.65138888888888891</v>
      </c>
      <c r="C52" s="21" t="s">
        <v>131</v>
      </c>
      <c r="D52" s="1" t="s">
        <v>145</v>
      </c>
      <c r="E52" s="1">
        <v>13</v>
      </c>
      <c r="F52" s="1" t="s">
        <v>146</v>
      </c>
      <c r="G52" s="1">
        <v>44</v>
      </c>
      <c r="H52" s="1">
        <v>55</v>
      </c>
      <c r="I52" s="1">
        <v>2</v>
      </c>
      <c r="J52" s="1" t="s">
        <v>147</v>
      </c>
      <c r="K52" s="1" t="s">
        <v>144</v>
      </c>
      <c r="L52" s="1" t="s">
        <v>159</v>
      </c>
      <c r="M52" s="1" t="s">
        <v>137</v>
      </c>
      <c r="N52" s="1" t="s">
        <v>137</v>
      </c>
      <c r="O52" s="1" t="s">
        <v>137</v>
      </c>
      <c r="P52" s="1" t="s">
        <v>135</v>
      </c>
      <c r="Q52" s="1" t="s">
        <v>136</v>
      </c>
      <c r="U52" s="1">
        <v>2</v>
      </c>
      <c r="V52" s="1">
        <v>52</v>
      </c>
      <c r="W52" s="1">
        <v>20853</v>
      </c>
      <c r="X52" s="1">
        <v>45692</v>
      </c>
      <c r="AK52" s="7"/>
      <c r="AL52" s="7"/>
    </row>
    <row r="53" spans="1:38" x14ac:dyDescent="0.35">
      <c r="A53" s="7">
        <v>3</v>
      </c>
      <c r="B53" s="14">
        <v>0.56111111111111112</v>
      </c>
      <c r="C53" s="21" t="s">
        <v>131</v>
      </c>
      <c r="D53" s="1" t="s">
        <v>145</v>
      </c>
      <c r="E53" s="1">
        <v>73</v>
      </c>
      <c r="F53" s="1" t="s">
        <v>133</v>
      </c>
      <c r="G53" s="1">
        <v>54</v>
      </c>
      <c r="J53" s="1" t="s">
        <v>163</v>
      </c>
      <c r="M53" s="1" t="s">
        <v>137</v>
      </c>
      <c r="N53" s="1" t="s">
        <v>137</v>
      </c>
      <c r="P53" s="1" t="s">
        <v>140</v>
      </c>
      <c r="Q53" s="1" t="s">
        <v>155</v>
      </c>
      <c r="R53" s="1" t="s">
        <v>157</v>
      </c>
      <c r="U53" s="1">
        <v>2</v>
      </c>
      <c r="V53" s="1">
        <v>52</v>
      </c>
      <c r="W53" s="1">
        <v>20853</v>
      </c>
      <c r="X53" s="1">
        <v>45692</v>
      </c>
      <c r="AK53" s="7"/>
      <c r="AL53" s="7"/>
    </row>
    <row r="54" spans="1:38" x14ac:dyDescent="0.35">
      <c r="A54" s="2">
        <v>3</v>
      </c>
      <c r="B54" s="15">
        <v>0.55902777777777779</v>
      </c>
      <c r="C54" s="21" t="s">
        <v>131</v>
      </c>
      <c r="D54" s="1" t="s">
        <v>145</v>
      </c>
      <c r="E54" s="1">
        <v>9</v>
      </c>
      <c r="F54" s="1" t="s">
        <v>146</v>
      </c>
      <c r="G54" s="1">
        <v>54</v>
      </c>
      <c r="J54" s="1" t="s">
        <v>147</v>
      </c>
      <c r="M54" s="1" t="s">
        <v>137</v>
      </c>
      <c r="N54" s="1" t="s">
        <v>137</v>
      </c>
      <c r="O54" s="1" t="s">
        <v>137</v>
      </c>
      <c r="P54" s="1" t="s">
        <v>135</v>
      </c>
      <c r="Q54" s="1" t="s">
        <v>136</v>
      </c>
      <c r="U54" s="1">
        <v>2</v>
      </c>
      <c r="V54" s="1">
        <v>52</v>
      </c>
      <c r="W54" s="1">
        <v>20853</v>
      </c>
      <c r="X54" s="1">
        <v>45692</v>
      </c>
      <c r="AK54" s="7"/>
      <c r="AL54" s="7"/>
    </row>
    <row r="55" spans="1:38" x14ac:dyDescent="0.35">
      <c r="A55" s="7">
        <v>3</v>
      </c>
      <c r="B55" s="15">
        <v>0.54652777777777772</v>
      </c>
      <c r="C55" s="21" t="s">
        <v>131</v>
      </c>
      <c r="D55" s="1" t="s">
        <v>132</v>
      </c>
      <c r="E55" s="1">
        <v>20</v>
      </c>
      <c r="F55" s="1" t="s">
        <v>133</v>
      </c>
      <c r="N55" s="1" t="s">
        <v>137</v>
      </c>
      <c r="P55" s="1" t="s">
        <v>135</v>
      </c>
      <c r="Q55" s="1" t="s">
        <v>136</v>
      </c>
      <c r="U55" s="1">
        <v>2</v>
      </c>
      <c r="V55" s="1">
        <v>1</v>
      </c>
      <c r="W55" s="1">
        <v>20853</v>
      </c>
      <c r="X55" s="1">
        <v>45692</v>
      </c>
      <c r="AK55" s="7"/>
      <c r="AL55" s="7"/>
    </row>
    <row r="56" spans="1:38" x14ac:dyDescent="0.35">
      <c r="A56" s="7">
        <v>3</v>
      </c>
      <c r="B56" s="15">
        <v>0.54166666666666663</v>
      </c>
      <c r="C56" s="21" t="s">
        <v>131</v>
      </c>
      <c r="D56" s="1" t="s">
        <v>132</v>
      </c>
      <c r="E56" s="1">
        <v>74</v>
      </c>
      <c r="F56" s="1" t="s">
        <v>133</v>
      </c>
      <c r="G56" s="1">
        <v>8</v>
      </c>
      <c r="J56" s="1" t="s">
        <v>153</v>
      </c>
      <c r="N56" s="1" t="s">
        <v>137</v>
      </c>
      <c r="Q56" s="1" t="s">
        <v>136</v>
      </c>
      <c r="R56" s="1" t="s">
        <v>149</v>
      </c>
      <c r="U56" s="1">
        <v>2</v>
      </c>
      <c r="V56" s="1">
        <v>1</v>
      </c>
      <c r="W56" s="1">
        <v>20853</v>
      </c>
      <c r="X56" s="1">
        <v>45692</v>
      </c>
      <c r="AK56" s="7"/>
      <c r="AL56" s="7"/>
    </row>
    <row r="57" spans="1:38" x14ac:dyDescent="0.35">
      <c r="A57" s="7">
        <v>3</v>
      </c>
      <c r="B57" s="14">
        <v>0.5395833333333333</v>
      </c>
      <c r="C57" s="21" t="s">
        <v>131</v>
      </c>
      <c r="D57" s="1" t="s">
        <v>132</v>
      </c>
      <c r="E57" s="1">
        <v>24</v>
      </c>
      <c r="F57" s="1" t="s">
        <v>133</v>
      </c>
      <c r="G57" s="1">
        <v>74</v>
      </c>
      <c r="J57" s="1" t="s">
        <v>179</v>
      </c>
      <c r="M57" s="1" t="s">
        <v>137</v>
      </c>
      <c r="N57" s="1" t="s">
        <v>137</v>
      </c>
      <c r="P57" s="1" t="s">
        <v>135</v>
      </c>
      <c r="Q57" s="1" t="s">
        <v>136</v>
      </c>
      <c r="U57" s="1">
        <v>2</v>
      </c>
      <c r="V57" s="1">
        <v>1</v>
      </c>
      <c r="W57" s="1">
        <v>20853</v>
      </c>
      <c r="X57" s="1">
        <v>45692</v>
      </c>
      <c r="AK57" s="7"/>
      <c r="AL57" s="7"/>
    </row>
    <row r="58" spans="1:38" x14ac:dyDescent="0.35">
      <c r="A58" s="7">
        <v>3</v>
      </c>
      <c r="B58" s="14">
        <v>0.52986111111111112</v>
      </c>
      <c r="C58" s="21" t="s">
        <v>131</v>
      </c>
      <c r="D58" s="1" t="s">
        <v>132</v>
      </c>
      <c r="E58" s="1">
        <v>48</v>
      </c>
      <c r="F58" s="1" t="s">
        <v>133</v>
      </c>
      <c r="G58" s="1">
        <v>74</v>
      </c>
      <c r="H58" s="1">
        <v>48</v>
      </c>
      <c r="J58" s="1" t="s">
        <v>153</v>
      </c>
      <c r="K58" s="1" t="s">
        <v>158</v>
      </c>
      <c r="N58" s="1" t="s">
        <v>137</v>
      </c>
      <c r="P58" s="1" t="s">
        <v>154</v>
      </c>
      <c r="Q58" s="1" t="s">
        <v>136</v>
      </c>
      <c r="U58" s="1">
        <v>2</v>
      </c>
      <c r="V58" s="1">
        <v>1</v>
      </c>
      <c r="W58" s="1">
        <v>20853</v>
      </c>
      <c r="X58" s="1">
        <v>45692</v>
      </c>
      <c r="AK58" s="7"/>
      <c r="AL58" s="7"/>
    </row>
    <row r="59" spans="1:38" x14ac:dyDescent="0.35">
      <c r="A59" s="2">
        <v>3</v>
      </c>
      <c r="B59" s="15">
        <v>0.49930555555555556</v>
      </c>
      <c r="C59" s="21" t="s">
        <v>131</v>
      </c>
      <c r="D59" s="1" t="s">
        <v>145</v>
      </c>
      <c r="E59" s="1">
        <v>64</v>
      </c>
      <c r="F59" s="1" t="s">
        <v>168</v>
      </c>
      <c r="N59" s="1" t="s">
        <v>137</v>
      </c>
      <c r="P59" s="1" t="s">
        <v>154</v>
      </c>
      <c r="Q59" s="1" t="s">
        <v>141</v>
      </c>
      <c r="R59" s="1" t="s">
        <v>142</v>
      </c>
      <c r="U59" s="1">
        <v>2</v>
      </c>
      <c r="V59" s="1">
        <v>52</v>
      </c>
      <c r="W59" s="1">
        <v>20853</v>
      </c>
      <c r="X59" s="1">
        <v>45692</v>
      </c>
      <c r="AK59" s="7"/>
      <c r="AL59" s="7"/>
    </row>
    <row r="60" spans="1:38" x14ac:dyDescent="0.35">
      <c r="A60" s="2">
        <v>3</v>
      </c>
      <c r="B60" s="15">
        <v>0.47847222222222224</v>
      </c>
      <c r="C60" s="21" t="s">
        <v>131</v>
      </c>
      <c r="D60" s="1" t="s">
        <v>145</v>
      </c>
      <c r="E60" s="1">
        <v>27</v>
      </c>
      <c r="F60" s="1" t="s">
        <v>173</v>
      </c>
      <c r="G60" s="1">
        <v>9</v>
      </c>
      <c r="H60" s="1">
        <v>27</v>
      </c>
      <c r="I60" s="1">
        <v>7</v>
      </c>
      <c r="J60" s="1" t="s">
        <v>153</v>
      </c>
      <c r="K60" s="1" t="s">
        <v>138</v>
      </c>
      <c r="L60" s="1" t="s">
        <v>139</v>
      </c>
      <c r="M60" s="1" t="s">
        <v>137</v>
      </c>
      <c r="N60" s="1" t="s">
        <v>137</v>
      </c>
      <c r="P60" s="1" t="s">
        <v>140</v>
      </c>
      <c r="Q60" s="1" t="s">
        <v>141</v>
      </c>
      <c r="R60" s="1" t="s">
        <v>180</v>
      </c>
      <c r="U60" s="1">
        <v>2</v>
      </c>
      <c r="V60" s="1">
        <v>52</v>
      </c>
      <c r="W60" s="1">
        <v>20853</v>
      </c>
      <c r="X60" s="1">
        <v>45692</v>
      </c>
      <c r="AK60" s="7"/>
      <c r="AL60" s="7"/>
    </row>
    <row r="61" spans="1:38" x14ac:dyDescent="0.35">
      <c r="A61" s="2">
        <v>3</v>
      </c>
      <c r="B61" s="15">
        <v>0.31388888888888888</v>
      </c>
      <c r="C61" s="21" t="s">
        <v>131</v>
      </c>
      <c r="D61" s="1" t="s">
        <v>132</v>
      </c>
      <c r="E61" s="1">
        <v>4</v>
      </c>
      <c r="F61" s="1" t="s">
        <v>173</v>
      </c>
      <c r="G61" s="1">
        <v>26</v>
      </c>
      <c r="H61" s="1">
        <v>82</v>
      </c>
      <c r="I61" s="1">
        <v>71</v>
      </c>
      <c r="J61" s="1" t="s">
        <v>153</v>
      </c>
      <c r="K61" s="1" t="s">
        <v>153</v>
      </c>
      <c r="L61" s="1" t="s">
        <v>152</v>
      </c>
      <c r="N61" s="1" t="s">
        <v>137</v>
      </c>
      <c r="P61" s="1" t="s">
        <v>154</v>
      </c>
      <c r="Q61" s="1" t="s">
        <v>136</v>
      </c>
      <c r="U61" s="1">
        <v>2</v>
      </c>
      <c r="V61" s="1">
        <v>1</v>
      </c>
      <c r="W61" s="1">
        <v>20853</v>
      </c>
      <c r="X61" s="1">
        <v>45692</v>
      </c>
      <c r="AK61" s="7"/>
      <c r="AL61" s="7"/>
    </row>
    <row r="62" spans="1:38" x14ac:dyDescent="0.35">
      <c r="A62" s="2">
        <v>3</v>
      </c>
      <c r="B62" s="15">
        <v>0.25694444444444442</v>
      </c>
      <c r="C62" s="21" t="s">
        <v>131</v>
      </c>
      <c r="D62" s="1" t="s">
        <v>145</v>
      </c>
      <c r="E62" s="1">
        <v>7</v>
      </c>
      <c r="F62" s="1" t="s">
        <v>146</v>
      </c>
      <c r="G62" s="1">
        <v>91</v>
      </c>
      <c r="J62" s="1" t="s">
        <v>147</v>
      </c>
      <c r="M62" s="1" t="s">
        <v>137</v>
      </c>
      <c r="N62" s="1" t="s">
        <v>137</v>
      </c>
      <c r="P62" s="1" t="s">
        <v>135</v>
      </c>
      <c r="Q62" s="1" t="s">
        <v>136</v>
      </c>
      <c r="U62" s="1">
        <v>2</v>
      </c>
      <c r="V62" s="1">
        <v>52</v>
      </c>
      <c r="W62" s="1">
        <v>20853</v>
      </c>
      <c r="X62" s="1">
        <v>45692</v>
      </c>
      <c r="AK62" s="7"/>
      <c r="AL62" s="7"/>
    </row>
    <row r="63" spans="1:38" x14ac:dyDescent="0.35">
      <c r="A63" s="2">
        <v>3</v>
      </c>
      <c r="B63" s="15">
        <v>0.25208333333333333</v>
      </c>
      <c r="C63" s="21" t="s">
        <v>131</v>
      </c>
      <c r="D63" s="1" t="s">
        <v>145</v>
      </c>
      <c r="E63" s="1">
        <v>7</v>
      </c>
      <c r="F63" s="1" t="s">
        <v>133</v>
      </c>
      <c r="G63" s="1">
        <v>91</v>
      </c>
      <c r="H63" s="1">
        <v>27</v>
      </c>
      <c r="I63" s="1">
        <v>4</v>
      </c>
      <c r="J63" s="1" t="s">
        <v>159</v>
      </c>
      <c r="K63" s="1" t="s">
        <v>150</v>
      </c>
      <c r="L63" s="1" t="s">
        <v>159</v>
      </c>
      <c r="M63" s="1" t="s">
        <v>137</v>
      </c>
      <c r="N63" s="1" t="s">
        <v>137</v>
      </c>
      <c r="P63" s="1" t="s">
        <v>154</v>
      </c>
      <c r="Q63" s="1" t="s">
        <v>136</v>
      </c>
      <c r="U63" s="1">
        <v>2</v>
      </c>
      <c r="V63" s="1">
        <v>52</v>
      </c>
      <c r="W63" s="1">
        <v>20853</v>
      </c>
      <c r="X63" s="1">
        <v>45692</v>
      </c>
      <c r="AK63" s="7"/>
      <c r="AL63" s="7"/>
    </row>
    <row r="64" spans="1:38" x14ac:dyDescent="0.35">
      <c r="A64" s="2">
        <v>3</v>
      </c>
      <c r="B64" s="15">
        <v>0.21458333333333332</v>
      </c>
      <c r="C64" s="21" t="s">
        <v>161</v>
      </c>
      <c r="D64" s="1" t="s">
        <v>145</v>
      </c>
      <c r="E64" s="1">
        <v>27</v>
      </c>
      <c r="F64" s="1" t="s">
        <v>146</v>
      </c>
      <c r="G64" s="1">
        <v>44</v>
      </c>
      <c r="H64" s="1">
        <v>55</v>
      </c>
      <c r="J64" s="1" t="s">
        <v>147</v>
      </c>
      <c r="K64" s="1" t="s">
        <v>152</v>
      </c>
      <c r="M64" s="1" t="s">
        <v>137</v>
      </c>
      <c r="N64" s="1" t="s">
        <v>137</v>
      </c>
      <c r="O64" s="1" t="s">
        <v>137</v>
      </c>
      <c r="U64" s="1">
        <v>2</v>
      </c>
      <c r="V64" s="1">
        <v>52</v>
      </c>
      <c r="W64" s="1">
        <v>20853</v>
      </c>
      <c r="X64" s="1">
        <v>45692</v>
      </c>
      <c r="AK64" s="7"/>
      <c r="AL64" s="7"/>
    </row>
    <row r="65" spans="1:38" x14ac:dyDescent="0.35">
      <c r="A65" s="2">
        <v>3</v>
      </c>
      <c r="B65" s="15">
        <v>0.15555555555555556</v>
      </c>
      <c r="C65" s="21" t="s">
        <v>131</v>
      </c>
      <c r="D65" s="1" t="s">
        <v>145</v>
      </c>
      <c r="E65" s="1">
        <v>15</v>
      </c>
      <c r="F65" s="1" t="s">
        <v>133</v>
      </c>
      <c r="G65" s="1">
        <v>19</v>
      </c>
      <c r="J65" s="1" t="s">
        <v>159</v>
      </c>
      <c r="M65" s="1" t="s">
        <v>137</v>
      </c>
      <c r="N65" s="1" t="s">
        <v>137</v>
      </c>
      <c r="P65" s="1" t="s">
        <v>135</v>
      </c>
      <c r="Q65" s="1" t="s">
        <v>136</v>
      </c>
      <c r="T65" s="1" t="s">
        <v>137</v>
      </c>
      <c r="U65" s="1">
        <v>2</v>
      </c>
      <c r="V65" s="1">
        <v>52</v>
      </c>
      <c r="W65" s="1">
        <v>20853</v>
      </c>
      <c r="X65" s="1">
        <v>45692</v>
      </c>
      <c r="AK65" s="7"/>
      <c r="AL65" s="7"/>
    </row>
    <row r="66" spans="1:38" x14ac:dyDescent="0.35">
      <c r="A66" s="2">
        <v>1</v>
      </c>
      <c r="B66" s="15">
        <v>0.82777777777777772</v>
      </c>
      <c r="C66" s="21" t="s">
        <v>131</v>
      </c>
      <c r="Y66" s="16" t="s">
        <v>181</v>
      </c>
      <c r="Z66" s="16" t="s">
        <v>182</v>
      </c>
      <c r="AA66" s="16" t="s">
        <v>183</v>
      </c>
      <c r="AC66" s="16" t="s">
        <v>184</v>
      </c>
      <c r="AD66" s="16" t="s">
        <v>185</v>
      </c>
      <c r="AE66" s="16" t="s">
        <v>134</v>
      </c>
      <c r="AF66" s="5" t="s">
        <v>186</v>
      </c>
      <c r="AG66" s="5" t="s">
        <v>187</v>
      </c>
      <c r="AH66" s="5" t="s">
        <v>188</v>
      </c>
      <c r="AK66" s="7"/>
      <c r="AL66" s="7"/>
    </row>
    <row r="67" spans="1:38" x14ac:dyDescent="0.35">
      <c r="A67" s="2">
        <v>1</v>
      </c>
      <c r="B67" s="15">
        <v>0.81319444444444444</v>
      </c>
      <c r="C67" s="23" t="s">
        <v>131</v>
      </c>
      <c r="AF67" s="5" t="s">
        <v>189</v>
      </c>
      <c r="AG67" s="5" t="s">
        <v>187</v>
      </c>
      <c r="AH67" s="5" t="s">
        <v>190</v>
      </c>
      <c r="AI67" s="5" t="s">
        <v>191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0.81041666666666667</v>
      </c>
      <c r="C68" s="21" t="s">
        <v>131</v>
      </c>
      <c r="AF68" s="5" t="s">
        <v>193</v>
      </c>
      <c r="AG68" s="5" t="s">
        <v>194</v>
      </c>
      <c r="AK68" s="7"/>
      <c r="AL68" s="7"/>
    </row>
    <row r="69" spans="1:38" x14ac:dyDescent="0.35">
      <c r="A69" s="2">
        <v>1</v>
      </c>
      <c r="B69" s="15">
        <v>0.79861111111111116</v>
      </c>
      <c r="C69" s="21" t="s">
        <v>131</v>
      </c>
      <c r="AF69" s="5" t="s">
        <v>191</v>
      </c>
      <c r="AG69" s="5" t="s">
        <v>195</v>
      </c>
      <c r="AK69" s="7"/>
      <c r="AL69" s="7"/>
    </row>
    <row r="70" spans="1:38" x14ac:dyDescent="0.35">
      <c r="A70" s="2">
        <v>1</v>
      </c>
      <c r="B70" s="15">
        <v>0.79722222222222228</v>
      </c>
      <c r="C70" s="21" t="s">
        <v>131</v>
      </c>
      <c r="Y70" s="16" t="s">
        <v>196</v>
      </c>
      <c r="Z70" s="16" t="s">
        <v>197</v>
      </c>
      <c r="AA70" s="16" t="s">
        <v>198</v>
      </c>
      <c r="AB70" s="16" t="s">
        <v>134</v>
      </c>
      <c r="AC70" s="16" t="s">
        <v>196</v>
      </c>
      <c r="AD70" s="16" t="s">
        <v>183</v>
      </c>
      <c r="AE70" s="16" t="s">
        <v>134</v>
      </c>
      <c r="AF70" s="5" t="s">
        <v>198</v>
      </c>
      <c r="AG70" s="5" t="s">
        <v>199</v>
      </c>
      <c r="AH70" s="5" t="s">
        <v>183</v>
      </c>
      <c r="AI70" s="5" t="s">
        <v>200</v>
      </c>
      <c r="AJ70" s="5" t="s">
        <v>195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131</v>
      </c>
      <c r="Y71" s="16" t="s">
        <v>196</v>
      </c>
      <c r="Z71" s="16" t="s">
        <v>201</v>
      </c>
      <c r="AA71" s="16" t="s">
        <v>202</v>
      </c>
      <c r="AB71" s="16" t="s">
        <v>134</v>
      </c>
      <c r="AC71" s="16" t="s">
        <v>184</v>
      </c>
      <c r="AD71" s="16" t="s">
        <v>183</v>
      </c>
      <c r="AE71" s="16" t="s">
        <v>183</v>
      </c>
      <c r="AF71" s="5" t="s">
        <v>203</v>
      </c>
      <c r="AG71" s="5" t="s">
        <v>199</v>
      </c>
      <c r="AH71" s="5" t="s">
        <v>200</v>
      </c>
      <c r="AI71" s="5" t="s">
        <v>197</v>
      </c>
      <c r="AJ71" s="5" t="s">
        <v>204</v>
      </c>
      <c r="AK71" s="7"/>
      <c r="AL71" s="7"/>
    </row>
    <row r="72" spans="1:38" x14ac:dyDescent="0.35">
      <c r="A72" s="2">
        <v>1</v>
      </c>
      <c r="B72" s="15">
        <v>0.77361111111111114</v>
      </c>
      <c r="C72" s="21" t="s">
        <v>131</v>
      </c>
      <c r="AF72" s="5" t="s">
        <v>205</v>
      </c>
      <c r="AG72" s="5" t="s">
        <v>194</v>
      </c>
      <c r="AK72" s="7"/>
      <c r="AL72" s="7"/>
    </row>
    <row r="73" spans="1:38" x14ac:dyDescent="0.35">
      <c r="A73" s="2">
        <v>1</v>
      </c>
      <c r="B73" s="15">
        <v>0.77083333333333337</v>
      </c>
      <c r="C73" s="21" t="s">
        <v>131</v>
      </c>
      <c r="Y73" s="16" t="s">
        <v>196</v>
      </c>
      <c r="Z73" s="16" t="s">
        <v>206</v>
      </c>
      <c r="AA73" s="16" t="s">
        <v>203</v>
      </c>
      <c r="AB73" s="16" t="s">
        <v>207</v>
      </c>
      <c r="AC73" s="16" t="s">
        <v>196</v>
      </c>
      <c r="AD73" s="16" t="s">
        <v>183</v>
      </c>
      <c r="AE73" s="16" t="s">
        <v>207</v>
      </c>
      <c r="AF73" s="5" t="s">
        <v>208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0.74861111111111112</v>
      </c>
      <c r="C74" s="21" t="s">
        <v>131</v>
      </c>
      <c r="Y74" s="16" t="s">
        <v>181</v>
      </c>
      <c r="Z74" s="16" t="s">
        <v>209</v>
      </c>
      <c r="AA74" s="16" t="s">
        <v>183</v>
      </c>
      <c r="AC74" s="16" t="s">
        <v>184</v>
      </c>
      <c r="AD74" s="16" t="s">
        <v>210</v>
      </c>
      <c r="AE74" s="16" t="s">
        <v>183</v>
      </c>
      <c r="AF74" s="5" t="s">
        <v>211</v>
      </c>
      <c r="AG74" s="5" t="s">
        <v>187</v>
      </c>
      <c r="AH74" s="5" t="s">
        <v>210</v>
      </c>
      <c r="AK74" s="7"/>
      <c r="AL74" s="7"/>
    </row>
    <row r="75" spans="1:38" x14ac:dyDescent="0.35">
      <c r="A75" s="2">
        <v>1</v>
      </c>
      <c r="B75" s="15">
        <v>0.73611111111111116</v>
      </c>
      <c r="C75" s="21" t="s">
        <v>131</v>
      </c>
      <c r="AF75" s="5" t="s">
        <v>212</v>
      </c>
      <c r="AG75" s="5" t="s">
        <v>195</v>
      </c>
      <c r="AK75" s="7"/>
      <c r="AL75" s="7"/>
    </row>
    <row r="76" spans="1:38" x14ac:dyDescent="0.35">
      <c r="A76" s="2">
        <v>1</v>
      </c>
      <c r="B76" s="15">
        <v>0.73402777777777772</v>
      </c>
      <c r="C76" s="21" t="s">
        <v>131</v>
      </c>
      <c r="Y76" s="16" t="s">
        <v>181</v>
      </c>
      <c r="Z76" s="16" t="s">
        <v>213</v>
      </c>
      <c r="AA76" s="16" t="s">
        <v>183</v>
      </c>
      <c r="AC76" s="16" t="s">
        <v>165</v>
      </c>
      <c r="AD76" s="16" t="s">
        <v>183</v>
      </c>
      <c r="AE76" s="16" t="s">
        <v>183</v>
      </c>
      <c r="AF76" s="5" t="s">
        <v>214</v>
      </c>
      <c r="AG76" s="5" t="s">
        <v>204</v>
      </c>
      <c r="AH76" s="5" t="s">
        <v>215</v>
      </c>
      <c r="AK76" s="7"/>
      <c r="AL76" s="7"/>
    </row>
    <row r="77" spans="1:38" x14ac:dyDescent="0.35">
      <c r="A77" s="2">
        <v>1</v>
      </c>
      <c r="B77" s="15">
        <v>0.72430555555555554</v>
      </c>
      <c r="C77" s="21" t="s">
        <v>131</v>
      </c>
      <c r="Y77" s="16" t="s">
        <v>196</v>
      </c>
      <c r="Z77" s="16" t="s">
        <v>216</v>
      </c>
      <c r="AA77" s="16" t="s">
        <v>186</v>
      </c>
      <c r="AB77" s="16" t="s">
        <v>183</v>
      </c>
      <c r="AC77" s="16" t="s">
        <v>165</v>
      </c>
      <c r="AD77" s="16" t="s">
        <v>183</v>
      </c>
      <c r="AE77" s="16" t="s">
        <v>183</v>
      </c>
      <c r="AF77" s="5" t="s">
        <v>193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0.7104166666666667</v>
      </c>
      <c r="C78" s="21" t="s">
        <v>131</v>
      </c>
      <c r="Y78" s="16" t="s">
        <v>196</v>
      </c>
      <c r="Z78" s="16" t="s">
        <v>186</v>
      </c>
      <c r="AA78" s="16" t="s">
        <v>217</v>
      </c>
      <c r="AB78" s="16" t="s">
        <v>183</v>
      </c>
      <c r="AC78" s="16" t="s">
        <v>184</v>
      </c>
      <c r="AD78" s="16" t="s">
        <v>183</v>
      </c>
      <c r="AE78" s="16" t="s">
        <v>134</v>
      </c>
      <c r="AF78" s="5" t="s">
        <v>218</v>
      </c>
      <c r="AG78" s="5" t="s">
        <v>192</v>
      </c>
      <c r="AK78" s="7"/>
      <c r="AL78" s="7"/>
    </row>
    <row r="79" spans="1:38" x14ac:dyDescent="0.35">
      <c r="A79" s="2">
        <v>1</v>
      </c>
      <c r="B79" s="15">
        <v>0.67013888888888884</v>
      </c>
      <c r="C79" s="21" t="s">
        <v>131</v>
      </c>
      <c r="AF79" s="5" t="s">
        <v>219</v>
      </c>
      <c r="AG79" s="5" t="s">
        <v>192</v>
      </c>
      <c r="AH79" s="5" t="s">
        <v>220</v>
      </c>
      <c r="AK79" s="7"/>
      <c r="AL79" s="7"/>
    </row>
    <row r="80" spans="1:38" x14ac:dyDescent="0.35">
      <c r="A80" s="2">
        <v>1</v>
      </c>
      <c r="B80" s="15">
        <v>0.65902777777777777</v>
      </c>
      <c r="C80" s="21" t="s">
        <v>131</v>
      </c>
      <c r="AF80" s="5" t="s">
        <v>219</v>
      </c>
      <c r="AG80" s="5" t="s">
        <v>199</v>
      </c>
      <c r="AH80" s="5" t="s">
        <v>183</v>
      </c>
      <c r="AI80" s="5" t="s">
        <v>190</v>
      </c>
      <c r="AJ80" s="5" t="s">
        <v>204</v>
      </c>
      <c r="AK80" s="7"/>
      <c r="AL80" s="7"/>
    </row>
    <row r="81" spans="1:38" x14ac:dyDescent="0.35">
      <c r="A81" s="2">
        <v>1</v>
      </c>
      <c r="B81" s="15">
        <v>0.6479166666666667</v>
      </c>
      <c r="C81" s="21" t="s">
        <v>131</v>
      </c>
      <c r="AF81" s="5" t="s">
        <v>182</v>
      </c>
      <c r="AG81" s="5" t="s">
        <v>199</v>
      </c>
      <c r="AH81" s="5" t="s">
        <v>183</v>
      </c>
      <c r="AI81" s="5" t="s">
        <v>201</v>
      </c>
      <c r="AJ81" s="5" t="s">
        <v>221</v>
      </c>
      <c r="AK81" s="7"/>
      <c r="AL81" s="7"/>
    </row>
    <row r="82" spans="1:38" x14ac:dyDescent="0.35">
      <c r="A82" s="2">
        <v>1</v>
      </c>
      <c r="B82" s="15">
        <v>0.64236111111111116</v>
      </c>
      <c r="C82" s="21" t="s">
        <v>131</v>
      </c>
      <c r="Y82" s="16" t="s">
        <v>181</v>
      </c>
      <c r="Z82" s="16" t="s">
        <v>201</v>
      </c>
      <c r="AA82" s="16" t="s">
        <v>183</v>
      </c>
      <c r="AC82" s="16" t="s">
        <v>184</v>
      </c>
      <c r="AD82" s="16" t="s">
        <v>183</v>
      </c>
      <c r="AE82" s="16" t="s">
        <v>183</v>
      </c>
      <c r="AF82" s="5" t="s">
        <v>191</v>
      </c>
      <c r="AG82" s="5" t="s">
        <v>199</v>
      </c>
      <c r="AH82" s="5" t="s">
        <v>183</v>
      </c>
      <c r="AI82" s="5" t="s">
        <v>222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0.63472222222222219</v>
      </c>
      <c r="C83" s="21" t="s">
        <v>131</v>
      </c>
      <c r="Y83" s="16" t="s">
        <v>196</v>
      </c>
      <c r="Z83" s="16" t="s">
        <v>223</v>
      </c>
      <c r="AA83" s="16" t="s">
        <v>186</v>
      </c>
      <c r="AB83" s="16" t="s">
        <v>134</v>
      </c>
      <c r="AC83" s="16" t="s">
        <v>165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0.61388888888888893</v>
      </c>
      <c r="C84" s="21" t="s">
        <v>131</v>
      </c>
      <c r="Y84" s="16" t="s">
        <v>181</v>
      </c>
      <c r="Z84" s="16" t="s">
        <v>191</v>
      </c>
      <c r="AA84" s="16" t="s">
        <v>183</v>
      </c>
      <c r="AC84" s="16" t="s">
        <v>196</v>
      </c>
      <c r="AD84" s="16" t="s">
        <v>183</v>
      </c>
      <c r="AE84" s="16" t="s">
        <v>134</v>
      </c>
      <c r="AK84" s="7"/>
      <c r="AL84" s="7"/>
    </row>
    <row r="85" spans="1:38" x14ac:dyDescent="0.35">
      <c r="A85" s="2">
        <v>1</v>
      </c>
      <c r="B85" s="15">
        <v>0.59305555555555556</v>
      </c>
      <c r="C85" s="21" t="s">
        <v>131</v>
      </c>
      <c r="AF85" s="5" t="s">
        <v>217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0.59027777777777779</v>
      </c>
      <c r="C86" s="21" t="s">
        <v>131</v>
      </c>
      <c r="Y86" s="16" t="s">
        <v>224</v>
      </c>
      <c r="Z86" s="16" t="s">
        <v>197</v>
      </c>
      <c r="AA86" s="16" t="s">
        <v>205</v>
      </c>
      <c r="AB86" s="16" t="s">
        <v>183</v>
      </c>
      <c r="AC86" s="16" t="s">
        <v>196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0.58611111111111114</v>
      </c>
      <c r="C87" s="21" t="s">
        <v>131</v>
      </c>
      <c r="Y87" s="16" t="s">
        <v>196</v>
      </c>
      <c r="Z87" s="16" t="s">
        <v>209</v>
      </c>
      <c r="AA87" s="16" t="s">
        <v>211</v>
      </c>
      <c r="AB87" s="16" t="s">
        <v>134</v>
      </c>
      <c r="AC87" s="16" t="s">
        <v>165</v>
      </c>
      <c r="AD87" s="16" t="s">
        <v>183</v>
      </c>
      <c r="AE87" s="16" t="s">
        <v>183</v>
      </c>
      <c r="AF87" s="5" t="s">
        <v>220</v>
      </c>
      <c r="AG87" s="5" t="s">
        <v>221</v>
      </c>
      <c r="AK87" s="7"/>
      <c r="AL87" s="7"/>
    </row>
    <row r="88" spans="1:38" x14ac:dyDescent="0.35">
      <c r="A88" s="2">
        <v>1</v>
      </c>
      <c r="B88" s="15">
        <v>0.57847222222222228</v>
      </c>
      <c r="C88" s="21" t="s">
        <v>131</v>
      </c>
      <c r="Y88" s="16" t="s">
        <v>181</v>
      </c>
      <c r="Z88" s="16" t="s">
        <v>220</v>
      </c>
      <c r="AA88" s="16" t="s">
        <v>183</v>
      </c>
      <c r="AC88" s="16" t="s">
        <v>165</v>
      </c>
      <c r="AD88" s="16" t="s">
        <v>183</v>
      </c>
      <c r="AE88" s="16" t="s">
        <v>183</v>
      </c>
      <c r="AF88" s="5" t="s">
        <v>225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0.55833333333333335</v>
      </c>
      <c r="C89" s="21" t="s">
        <v>131</v>
      </c>
      <c r="Y89" s="16" t="s">
        <v>224</v>
      </c>
      <c r="Z89" s="16" t="s">
        <v>188</v>
      </c>
      <c r="AA89" s="16" t="s">
        <v>215</v>
      </c>
      <c r="AC89" s="16" t="s">
        <v>165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0.55555555555555558</v>
      </c>
      <c r="C90" s="21" t="s">
        <v>131</v>
      </c>
      <c r="Y90" s="16" t="s">
        <v>181</v>
      </c>
      <c r="Z90" s="16" t="s">
        <v>215</v>
      </c>
      <c r="AA90" s="16" t="s">
        <v>183</v>
      </c>
      <c r="AC90" s="16" t="s">
        <v>184</v>
      </c>
      <c r="AD90" s="16" t="s">
        <v>183</v>
      </c>
      <c r="AE90" s="16" t="s">
        <v>183</v>
      </c>
      <c r="AF90" s="5" t="s">
        <v>219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0.5444444444444444</v>
      </c>
      <c r="C91" s="21" t="s">
        <v>131</v>
      </c>
      <c r="AF91" s="5" t="s">
        <v>188</v>
      </c>
      <c r="AG91" s="5" t="s">
        <v>221</v>
      </c>
      <c r="AK91" s="7"/>
      <c r="AL91" s="7"/>
    </row>
    <row r="92" spans="1:38" x14ac:dyDescent="0.35">
      <c r="A92" s="2">
        <v>1</v>
      </c>
      <c r="B92" s="15">
        <v>0.54097222222222219</v>
      </c>
      <c r="C92" s="21" t="s">
        <v>131</v>
      </c>
      <c r="Y92" s="16" t="s">
        <v>181</v>
      </c>
      <c r="Z92" s="16" t="s">
        <v>188</v>
      </c>
      <c r="AA92" s="16" t="s">
        <v>186</v>
      </c>
      <c r="AC92" s="16" t="s">
        <v>165</v>
      </c>
      <c r="AD92" s="16" t="s">
        <v>183</v>
      </c>
      <c r="AE92" s="16" t="s">
        <v>183</v>
      </c>
      <c r="AF92" s="5" t="s">
        <v>186</v>
      </c>
      <c r="AG92" s="5" t="s">
        <v>199</v>
      </c>
      <c r="AH92" s="5" t="s">
        <v>183</v>
      </c>
      <c r="AI92" s="5" t="s">
        <v>226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0.51249999999999996</v>
      </c>
      <c r="C93" s="21" t="s">
        <v>131</v>
      </c>
      <c r="Y93" s="16" t="s">
        <v>196</v>
      </c>
      <c r="Z93" s="16" t="s">
        <v>201</v>
      </c>
      <c r="AA93" s="16" t="s">
        <v>186</v>
      </c>
      <c r="AB93" s="16" t="s">
        <v>134</v>
      </c>
      <c r="AC93" s="16" t="s">
        <v>196</v>
      </c>
      <c r="AD93" s="16" t="s">
        <v>183</v>
      </c>
      <c r="AE93" s="16" t="s">
        <v>137</v>
      </c>
      <c r="AF93" s="5" t="s">
        <v>193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0.50069444444444444</v>
      </c>
      <c r="C94" s="21" t="s">
        <v>131</v>
      </c>
      <c r="Y94" s="16" t="s">
        <v>196</v>
      </c>
      <c r="Z94" s="16" t="s">
        <v>189</v>
      </c>
      <c r="AA94" s="16" t="s">
        <v>227</v>
      </c>
      <c r="AB94" s="16" t="s">
        <v>183</v>
      </c>
      <c r="AC94" s="16" t="s">
        <v>184</v>
      </c>
      <c r="AD94" s="16" t="s">
        <v>183</v>
      </c>
      <c r="AE94" s="16" t="s">
        <v>183</v>
      </c>
      <c r="AF94" s="5" t="s">
        <v>200</v>
      </c>
      <c r="AG94" s="5" t="s">
        <v>221</v>
      </c>
      <c r="AK94" s="7"/>
      <c r="AL94" s="7"/>
    </row>
    <row r="95" spans="1:38" x14ac:dyDescent="0.35">
      <c r="A95" s="2">
        <v>1</v>
      </c>
      <c r="B95" s="15">
        <v>0.49236111111111114</v>
      </c>
      <c r="C95" s="21" t="s">
        <v>131</v>
      </c>
      <c r="Y95" s="16" t="s">
        <v>196</v>
      </c>
      <c r="Z95" s="16" t="s">
        <v>200</v>
      </c>
      <c r="AA95" s="16" t="s">
        <v>202</v>
      </c>
      <c r="AB95" s="16" t="s">
        <v>183</v>
      </c>
      <c r="AC95" s="16" t="s">
        <v>196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0.47499999999999998</v>
      </c>
      <c r="C96" s="21" t="s">
        <v>131</v>
      </c>
      <c r="AF96" s="5" t="s">
        <v>193</v>
      </c>
      <c r="AG96" s="5" t="s">
        <v>204</v>
      </c>
      <c r="AK96" s="7"/>
      <c r="AL96" s="7"/>
    </row>
    <row r="97" spans="1:38" x14ac:dyDescent="0.35">
      <c r="A97" s="2">
        <v>1</v>
      </c>
      <c r="B97" s="15">
        <v>0.47013888888888888</v>
      </c>
      <c r="C97" s="21" t="s">
        <v>131</v>
      </c>
      <c r="Y97" s="16" t="s">
        <v>181</v>
      </c>
      <c r="Z97" s="16" t="s">
        <v>198</v>
      </c>
      <c r="AA97" s="16" t="s">
        <v>183</v>
      </c>
      <c r="AC97" s="16" t="s">
        <v>184</v>
      </c>
      <c r="AD97" s="16" t="s">
        <v>200</v>
      </c>
      <c r="AE97" s="16" t="s">
        <v>183</v>
      </c>
      <c r="AF97" s="5" t="s">
        <v>208</v>
      </c>
      <c r="AG97" s="5" t="s">
        <v>221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131</v>
      </c>
      <c r="Y98" s="16" t="s">
        <v>196</v>
      </c>
      <c r="Z98" s="16" t="s">
        <v>222</v>
      </c>
      <c r="AA98" s="16" t="s">
        <v>219</v>
      </c>
      <c r="AB98" s="16" t="s">
        <v>183</v>
      </c>
      <c r="AC98" s="16" t="s">
        <v>184</v>
      </c>
      <c r="AD98" s="16" t="s">
        <v>183</v>
      </c>
      <c r="AE98" s="16" t="s">
        <v>183</v>
      </c>
      <c r="AF98" s="5" t="s">
        <v>219</v>
      </c>
      <c r="AG98" s="5" t="s">
        <v>199</v>
      </c>
      <c r="AH98" s="5" t="s">
        <v>183</v>
      </c>
      <c r="AI98" s="5" t="s">
        <v>201</v>
      </c>
      <c r="AJ98" s="5" t="s">
        <v>221</v>
      </c>
      <c r="AK98" s="7"/>
      <c r="AL98" s="7"/>
    </row>
    <row r="99" spans="1:38" x14ac:dyDescent="0.35">
      <c r="A99" s="2">
        <v>1</v>
      </c>
      <c r="B99" s="15">
        <v>0.4548611111111111</v>
      </c>
      <c r="C99" s="21" t="s">
        <v>131</v>
      </c>
      <c r="Y99" s="16" t="s">
        <v>196</v>
      </c>
      <c r="Z99" s="16" t="s">
        <v>201</v>
      </c>
      <c r="AA99" s="16" t="s">
        <v>191</v>
      </c>
      <c r="AB99" s="16" t="s">
        <v>183</v>
      </c>
      <c r="AC99" s="16" t="s">
        <v>184</v>
      </c>
      <c r="AD99" s="16" t="s">
        <v>183</v>
      </c>
      <c r="AE99" s="16" t="s">
        <v>183</v>
      </c>
      <c r="AF99" s="5" t="s">
        <v>208</v>
      </c>
      <c r="AG99" s="5" t="s">
        <v>199</v>
      </c>
      <c r="AH99" s="5" t="s">
        <v>219</v>
      </c>
      <c r="AI99" s="5" t="s">
        <v>228</v>
      </c>
      <c r="AJ99" s="5" t="s">
        <v>192</v>
      </c>
      <c r="AK99" s="7"/>
      <c r="AL99" s="7"/>
    </row>
    <row r="100" spans="1:38" x14ac:dyDescent="0.35">
      <c r="A100" s="2">
        <v>1</v>
      </c>
      <c r="B100" s="15">
        <v>0.44305555555555554</v>
      </c>
      <c r="C100" s="21" t="s">
        <v>131</v>
      </c>
      <c r="AF100" s="5" t="s">
        <v>186</v>
      </c>
      <c r="AG100" s="5" t="s">
        <v>199</v>
      </c>
      <c r="AH100" s="5" t="s">
        <v>183</v>
      </c>
      <c r="AI100" s="5" t="s">
        <v>228</v>
      </c>
      <c r="AJ100" s="5" t="s">
        <v>221</v>
      </c>
      <c r="AK100" s="7"/>
      <c r="AL100" s="7"/>
    </row>
    <row r="101" spans="1:38" x14ac:dyDescent="0.35">
      <c r="A101" s="2">
        <v>1</v>
      </c>
      <c r="B101" s="15">
        <v>0.43958333333333333</v>
      </c>
      <c r="C101" s="21" t="s">
        <v>131</v>
      </c>
      <c r="Y101" s="16" t="s">
        <v>181</v>
      </c>
      <c r="Z101" s="16" t="s">
        <v>228</v>
      </c>
      <c r="AA101" s="16" t="s">
        <v>219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0.42916666666666664</v>
      </c>
      <c r="C102" s="21" t="s">
        <v>131</v>
      </c>
      <c r="Y102" s="16" t="s">
        <v>196</v>
      </c>
      <c r="Z102" s="16" t="s">
        <v>206</v>
      </c>
      <c r="AA102" s="16" t="s">
        <v>203</v>
      </c>
      <c r="AB102" s="16" t="s">
        <v>183</v>
      </c>
      <c r="AC102" s="16" t="s">
        <v>165</v>
      </c>
      <c r="AD102" s="16" t="s">
        <v>183</v>
      </c>
      <c r="AE102" s="16" t="s">
        <v>183</v>
      </c>
      <c r="AF102" s="5" t="s">
        <v>197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0.42222222222222222</v>
      </c>
      <c r="C103" s="21" t="s">
        <v>131</v>
      </c>
      <c r="Y103" s="16" t="s">
        <v>181</v>
      </c>
      <c r="Z103" s="16" t="s">
        <v>202</v>
      </c>
      <c r="AA103" s="16" t="s">
        <v>205</v>
      </c>
      <c r="AC103" s="16" t="s">
        <v>196</v>
      </c>
      <c r="AD103" s="16" t="s">
        <v>183</v>
      </c>
      <c r="AE103" s="16" t="s">
        <v>183</v>
      </c>
      <c r="AF103" s="5" t="s">
        <v>227</v>
      </c>
      <c r="AG103" s="5" t="s">
        <v>199</v>
      </c>
      <c r="AH103" s="5" t="s">
        <v>183</v>
      </c>
      <c r="AI103" s="5" t="s">
        <v>205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0.41041666666666665</v>
      </c>
      <c r="C104" s="21" t="s">
        <v>131</v>
      </c>
      <c r="Y104" s="16" t="s">
        <v>196</v>
      </c>
      <c r="Z104" s="16" t="s">
        <v>229</v>
      </c>
      <c r="AA104" s="16" t="s">
        <v>227</v>
      </c>
      <c r="AB104" s="16" t="s">
        <v>134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0.40347222222222223</v>
      </c>
      <c r="C105" s="21" t="s">
        <v>131</v>
      </c>
      <c r="AF105" s="5" t="s">
        <v>182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0.39444444444444443</v>
      </c>
      <c r="C106" s="21" t="s">
        <v>131</v>
      </c>
      <c r="Y106" s="16" t="s">
        <v>181</v>
      </c>
      <c r="Z106" s="16" t="s">
        <v>219</v>
      </c>
      <c r="AA106" s="16" t="s">
        <v>183</v>
      </c>
      <c r="AC106" s="16" t="s">
        <v>165</v>
      </c>
      <c r="AD106" s="16" t="s">
        <v>183</v>
      </c>
      <c r="AE106" s="16" t="s">
        <v>183</v>
      </c>
      <c r="AF106" s="5" t="s">
        <v>191</v>
      </c>
      <c r="AG106" s="5" t="s">
        <v>199</v>
      </c>
      <c r="AH106" s="5" t="s">
        <v>183</v>
      </c>
      <c r="AI106" s="5" t="s">
        <v>189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0.38055555555555554</v>
      </c>
      <c r="C107" s="21" t="s">
        <v>131</v>
      </c>
      <c r="AF107" s="5" t="s">
        <v>191</v>
      </c>
      <c r="AG107" s="5" t="s">
        <v>199</v>
      </c>
      <c r="AH107" s="5" t="s">
        <v>183</v>
      </c>
      <c r="AI107" s="5" t="s">
        <v>186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0.37152777777777779</v>
      </c>
      <c r="C108" s="21" t="s">
        <v>131</v>
      </c>
      <c r="Y108" s="16" t="s">
        <v>181</v>
      </c>
      <c r="Z108" s="16" t="s">
        <v>191</v>
      </c>
      <c r="AA108" s="16" t="s">
        <v>183</v>
      </c>
      <c r="AC108" s="16" t="s">
        <v>184</v>
      </c>
      <c r="AD108" s="16" t="s">
        <v>193</v>
      </c>
      <c r="AE108" s="16" t="s">
        <v>183</v>
      </c>
      <c r="AF108" s="5" t="s">
        <v>190</v>
      </c>
      <c r="AG108" s="5" t="s">
        <v>195</v>
      </c>
      <c r="AK108" s="7"/>
      <c r="AL108" s="7"/>
    </row>
    <row r="109" spans="1:38" x14ac:dyDescent="0.35">
      <c r="A109" s="2">
        <v>1</v>
      </c>
      <c r="B109" s="15">
        <v>0.35972222222222222</v>
      </c>
      <c r="C109" s="21" t="s">
        <v>131</v>
      </c>
      <c r="Y109" s="16" t="s">
        <v>196</v>
      </c>
      <c r="Z109" s="16" t="s">
        <v>188</v>
      </c>
      <c r="AA109" s="16" t="s">
        <v>202</v>
      </c>
      <c r="AB109" s="16" t="s">
        <v>137</v>
      </c>
      <c r="AC109" s="16" t="s">
        <v>165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0.34722222222222221</v>
      </c>
      <c r="C110" s="21" t="s">
        <v>131</v>
      </c>
      <c r="AF110" s="5" t="s">
        <v>203</v>
      </c>
      <c r="AG110" s="5" t="s">
        <v>199</v>
      </c>
      <c r="AH110" s="5" t="s">
        <v>183</v>
      </c>
      <c r="AI110" s="5" t="s">
        <v>229</v>
      </c>
      <c r="AJ110" s="5" t="s">
        <v>221</v>
      </c>
      <c r="AK110" s="7"/>
      <c r="AL110" s="7"/>
    </row>
    <row r="111" spans="1:38" x14ac:dyDescent="0.35">
      <c r="A111" s="2">
        <v>1</v>
      </c>
      <c r="B111" s="15">
        <v>0.33611111111111114</v>
      </c>
      <c r="C111" s="21" t="s">
        <v>131</v>
      </c>
      <c r="Y111" s="16" t="s">
        <v>196</v>
      </c>
      <c r="Z111" s="16" t="s">
        <v>202</v>
      </c>
      <c r="AA111" s="16" t="s">
        <v>205</v>
      </c>
      <c r="AB111" s="16" t="s">
        <v>183</v>
      </c>
      <c r="AC111" s="16" t="s">
        <v>165</v>
      </c>
      <c r="AD111" s="16" t="s">
        <v>183</v>
      </c>
      <c r="AE111" s="16" t="s">
        <v>183</v>
      </c>
      <c r="AF111" s="5" t="s">
        <v>200</v>
      </c>
      <c r="AG111" s="5" t="s">
        <v>199</v>
      </c>
      <c r="AH111" s="5" t="s">
        <v>183</v>
      </c>
      <c r="AI111" s="5" t="s">
        <v>216</v>
      </c>
      <c r="AJ111" s="5" t="s">
        <v>195</v>
      </c>
      <c r="AK111" s="7"/>
      <c r="AL111" s="7"/>
    </row>
    <row r="112" spans="1:38" x14ac:dyDescent="0.35">
      <c r="A112" s="2">
        <v>1</v>
      </c>
      <c r="B112" s="15">
        <v>0.32291666666666669</v>
      </c>
      <c r="C112" s="21" t="s">
        <v>131</v>
      </c>
      <c r="Y112" s="16" t="s">
        <v>181</v>
      </c>
      <c r="Z112" s="16" t="s">
        <v>227</v>
      </c>
      <c r="AA112" s="16" t="s">
        <v>183</v>
      </c>
      <c r="AC112" s="16" t="s">
        <v>165</v>
      </c>
      <c r="AD112" s="16" t="s">
        <v>183</v>
      </c>
      <c r="AE112" s="16" t="s">
        <v>183</v>
      </c>
      <c r="AF112" s="5" t="s">
        <v>202</v>
      </c>
      <c r="AG112" s="5" t="s">
        <v>192</v>
      </c>
      <c r="AH112" s="5" t="s">
        <v>200</v>
      </c>
      <c r="AK112" s="7"/>
      <c r="AL112" s="7"/>
    </row>
    <row r="113" spans="1:38" x14ac:dyDescent="0.35">
      <c r="A113" s="2">
        <v>1</v>
      </c>
      <c r="B113" s="15">
        <v>0.30833333333333335</v>
      </c>
      <c r="C113" s="21" t="s">
        <v>131</v>
      </c>
      <c r="AF113" s="5" t="s">
        <v>229</v>
      </c>
      <c r="AG113" s="5" t="s">
        <v>199</v>
      </c>
      <c r="AH113" s="5" t="s">
        <v>183</v>
      </c>
      <c r="AI113" s="5" t="s">
        <v>202</v>
      </c>
      <c r="AJ113" s="5" t="s">
        <v>195</v>
      </c>
      <c r="AK113" s="7"/>
      <c r="AL113" s="7"/>
    </row>
    <row r="114" spans="1:38" x14ac:dyDescent="0.35">
      <c r="A114" s="2">
        <v>1</v>
      </c>
      <c r="B114" s="15">
        <v>0.30625000000000002</v>
      </c>
      <c r="C114" s="21" t="s">
        <v>131</v>
      </c>
      <c r="Y114" s="16" t="s">
        <v>224</v>
      </c>
      <c r="Z114" s="16" t="s">
        <v>203</v>
      </c>
      <c r="AA114" s="16" t="s">
        <v>214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0.29236111111111113</v>
      </c>
      <c r="C115" s="21" t="s">
        <v>131</v>
      </c>
      <c r="Y115" s="16" t="s">
        <v>181</v>
      </c>
      <c r="Z115" s="16" t="s">
        <v>226</v>
      </c>
      <c r="AA115" s="16" t="s">
        <v>183</v>
      </c>
      <c r="AC115" s="16" t="s">
        <v>196</v>
      </c>
      <c r="AD115" s="16" t="s">
        <v>183</v>
      </c>
      <c r="AE115" s="16" t="s">
        <v>183</v>
      </c>
      <c r="AF115" s="5" t="s">
        <v>182</v>
      </c>
      <c r="AG115" s="5" t="s">
        <v>199</v>
      </c>
      <c r="AH115" s="5" t="s">
        <v>211</v>
      </c>
      <c r="AI115" s="5" t="s">
        <v>209</v>
      </c>
      <c r="AJ115" s="5" t="s">
        <v>192</v>
      </c>
      <c r="AK115" s="7"/>
      <c r="AL115" s="7"/>
    </row>
    <row r="116" spans="1:38" x14ac:dyDescent="0.35">
      <c r="A116" s="2">
        <v>1</v>
      </c>
      <c r="B116" s="15">
        <v>0.28055555555555556</v>
      </c>
      <c r="C116" s="21" t="s">
        <v>131</v>
      </c>
      <c r="AF116" s="5" t="s">
        <v>205</v>
      </c>
      <c r="AG116" s="5" t="s">
        <v>199</v>
      </c>
      <c r="AH116" s="5" t="s">
        <v>208</v>
      </c>
      <c r="AI116" s="5" t="s">
        <v>201</v>
      </c>
      <c r="AJ116" s="5" t="s">
        <v>204</v>
      </c>
      <c r="AK116" s="7"/>
      <c r="AL116" s="7"/>
    </row>
    <row r="117" spans="1:38" x14ac:dyDescent="0.35">
      <c r="A117" s="2">
        <v>1</v>
      </c>
      <c r="B117" s="15">
        <v>0.27430555555555558</v>
      </c>
      <c r="C117" s="21" t="s">
        <v>131</v>
      </c>
      <c r="Y117" s="16" t="s">
        <v>181</v>
      </c>
      <c r="Z117" s="16" t="s">
        <v>222</v>
      </c>
      <c r="AA117" s="16" t="s">
        <v>217</v>
      </c>
      <c r="AC117" s="16" t="s">
        <v>184</v>
      </c>
      <c r="AD117" s="16" t="s">
        <v>183</v>
      </c>
      <c r="AE117" s="16" t="s">
        <v>183</v>
      </c>
      <c r="AF117" s="5" t="s">
        <v>200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0.26597222222222222</v>
      </c>
      <c r="C118" s="21" t="s">
        <v>131</v>
      </c>
      <c r="Y118" s="16" t="s">
        <v>181</v>
      </c>
      <c r="Z118" s="16" t="s">
        <v>223</v>
      </c>
      <c r="AA118" s="16" t="s">
        <v>228</v>
      </c>
      <c r="AC118" s="16" t="s">
        <v>196</v>
      </c>
      <c r="AD118" s="16" t="s">
        <v>183</v>
      </c>
      <c r="AE118" s="16" t="s">
        <v>183</v>
      </c>
      <c r="AF118" s="5" t="s">
        <v>186</v>
      </c>
      <c r="AG118" s="5" t="s">
        <v>199</v>
      </c>
      <c r="AH118" s="5" t="s">
        <v>201</v>
      </c>
      <c r="AI118" s="5" t="s">
        <v>191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0.2388888888888889</v>
      </c>
      <c r="C119" s="21" t="s">
        <v>131</v>
      </c>
      <c r="AF119" s="5" t="s">
        <v>211</v>
      </c>
      <c r="AG119" s="5" t="s">
        <v>199</v>
      </c>
      <c r="AH119" s="5" t="s">
        <v>183</v>
      </c>
      <c r="AI119" s="5" t="s">
        <v>212</v>
      </c>
      <c r="AJ119" s="5" t="s">
        <v>204</v>
      </c>
      <c r="AK119" s="7"/>
      <c r="AL119" s="7"/>
    </row>
    <row r="120" spans="1:38" x14ac:dyDescent="0.35">
      <c r="A120" s="2">
        <v>1</v>
      </c>
      <c r="B120" s="15">
        <v>0.2298611111111111</v>
      </c>
      <c r="C120" s="21" t="s">
        <v>166</v>
      </c>
      <c r="Y120" s="16" t="s">
        <v>196</v>
      </c>
      <c r="Z120" s="16" t="s">
        <v>229</v>
      </c>
      <c r="AA120" s="16" t="s">
        <v>183</v>
      </c>
      <c r="AB120" s="16" t="s">
        <v>183</v>
      </c>
      <c r="AC120" s="16" t="s">
        <v>165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0.21527777777777779</v>
      </c>
      <c r="C121" s="21" t="s">
        <v>161</v>
      </c>
      <c r="Y121" s="16" t="s">
        <v>224</v>
      </c>
      <c r="Z121" s="16" t="s">
        <v>223</v>
      </c>
      <c r="AA121" s="16" t="s">
        <v>230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0.20902777777777778</v>
      </c>
      <c r="C122" s="21" t="s">
        <v>161</v>
      </c>
      <c r="Y122" s="16" t="s">
        <v>196</v>
      </c>
      <c r="Z122" s="16" t="s">
        <v>188</v>
      </c>
      <c r="AA122" s="16" t="s">
        <v>186</v>
      </c>
      <c r="AB122" s="16" t="s">
        <v>183</v>
      </c>
      <c r="AC122" s="16" t="s">
        <v>165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0.19444444444444445</v>
      </c>
      <c r="C123" s="21" t="s">
        <v>161</v>
      </c>
      <c r="Y123" s="16" t="s">
        <v>196</v>
      </c>
      <c r="Z123" s="16" t="s">
        <v>188</v>
      </c>
      <c r="AA123" s="16" t="s">
        <v>183</v>
      </c>
      <c r="AB123" s="16" t="s">
        <v>134</v>
      </c>
      <c r="AC123" s="16" t="s">
        <v>184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0.17916666666666667</v>
      </c>
      <c r="C124" s="21" t="s">
        <v>161</v>
      </c>
      <c r="Y124" s="16" t="s">
        <v>181</v>
      </c>
      <c r="Z124" s="16" t="s">
        <v>182</v>
      </c>
      <c r="AA124" s="16" t="s">
        <v>183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0.16041666666666668</v>
      </c>
      <c r="C125" s="21" t="s">
        <v>161</v>
      </c>
      <c r="Y125" s="16" t="s">
        <v>181</v>
      </c>
      <c r="Z125" s="16" t="s">
        <v>209</v>
      </c>
      <c r="AA125" s="16" t="s">
        <v>229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0.1076388888888889</v>
      </c>
      <c r="C126" s="21" t="s">
        <v>131</v>
      </c>
      <c r="Y126" s="16" t="s">
        <v>181</v>
      </c>
      <c r="Z126" s="16" t="s">
        <v>212</v>
      </c>
      <c r="AA126" s="16" t="s">
        <v>183</v>
      </c>
      <c r="AC126" s="16" t="s">
        <v>184</v>
      </c>
      <c r="AD126" s="16" t="s">
        <v>222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9.583333333333334E-2</v>
      </c>
      <c r="C127" s="21" t="s">
        <v>131</v>
      </c>
      <c r="AF127" s="5" t="s">
        <v>198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8.611111111111111E-2</v>
      </c>
      <c r="C128" s="21" t="s">
        <v>131</v>
      </c>
      <c r="Y128" s="16" t="s">
        <v>181</v>
      </c>
      <c r="Z128" s="16" t="s">
        <v>205</v>
      </c>
      <c r="AA128" s="16" t="s">
        <v>183</v>
      </c>
      <c r="AC128" s="16" t="s">
        <v>184</v>
      </c>
      <c r="AD128" s="16" t="s">
        <v>183</v>
      </c>
      <c r="AE128" s="16" t="s">
        <v>183</v>
      </c>
      <c r="AF128" s="5" t="s">
        <v>186</v>
      </c>
      <c r="AG128" s="5" t="s">
        <v>199</v>
      </c>
      <c r="AH128" s="5" t="s">
        <v>183</v>
      </c>
      <c r="AI128" s="5" t="s">
        <v>186</v>
      </c>
      <c r="AJ128" s="5" t="s">
        <v>195</v>
      </c>
      <c r="AK128" s="7"/>
      <c r="AL128" s="7"/>
    </row>
    <row r="129" spans="1:38" x14ac:dyDescent="0.35">
      <c r="A129" s="2">
        <v>1</v>
      </c>
      <c r="B129" s="15">
        <v>7.8472222222222221E-2</v>
      </c>
      <c r="C129" s="21" t="s">
        <v>131</v>
      </c>
      <c r="Y129" s="16" t="s">
        <v>196</v>
      </c>
      <c r="Z129" s="16" t="s">
        <v>220</v>
      </c>
      <c r="AA129" s="16" t="s">
        <v>205</v>
      </c>
      <c r="AB129" s="16" t="s">
        <v>183</v>
      </c>
      <c r="AC129" s="16" t="s">
        <v>165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3.0555555555555555E-2</v>
      </c>
      <c r="C130" s="21" t="s">
        <v>161</v>
      </c>
      <c r="Y130" s="16" t="s">
        <v>196</v>
      </c>
      <c r="Z130" s="16" t="s">
        <v>208</v>
      </c>
      <c r="AA130" s="16" t="s">
        <v>190</v>
      </c>
      <c r="AB130" s="16" t="s">
        <v>134</v>
      </c>
      <c r="AC130" s="16" t="s">
        <v>184</v>
      </c>
      <c r="AD130" s="16" t="s">
        <v>183</v>
      </c>
      <c r="AE130" s="16" t="s">
        <v>134</v>
      </c>
      <c r="AK130" s="7"/>
      <c r="AL130" s="7"/>
    </row>
    <row r="131" spans="1:38" x14ac:dyDescent="0.35">
      <c r="A131" s="2">
        <v>1</v>
      </c>
      <c r="B131" s="15">
        <v>2.0833333333333332E-2</v>
      </c>
      <c r="C131" s="21" t="s">
        <v>131</v>
      </c>
      <c r="Y131" s="16" t="s">
        <v>181</v>
      </c>
      <c r="Z131" s="16" t="s">
        <v>214</v>
      </c>
      <c r="AA131" s="16" t="s">
        <v>183</v>
      </c>
      <c r="AC131" s="16" t="s">
        <v>165</v>
      </c>
      <c r="AD131" s="16" t="s">
        <v>183</v>
      </c>
      <c r="AE131" s="16" t="s">
        <v>134</v>
      </c>
      <c r="AF131" s="5" t="s">
        <v>230</v>
      </c>
      <c r="AG131" s="5" t="s">
        <v>187</v>
      </c>
      <c r="AH131" s="5" t="s">
        <v>210</v>
      </c>
      <c r="AK131" s="7"/>
      <c r="AL131" s="7"/>
    </row>
    <row r="132" spans="1:38" x14ac:dyDescent="0.35">
      <c r="A132" s="2">
        <v>2</v>
      </c>
      <c r="B132" s="15">
        <v>0.82986111111111116</v>
      </c>
      <c r="C132" s="21" t="s">
        <v>131</v>
      </c>
      <c r="Y132" s="16" t="s">
        <v>181</v>
      </c>
      <c r="Z132" s="16" t="s">
        <v>182</v>
      </c>
      <c r="AA132" s="16" t="s">
        <v>183</v>
      </c>
      <c r="AC132" s="16" t="s">
        <v>184</v>
      </c>
      <c r="AD132" s="16" t="s">
        <v>183</v>
      </c>
      <c r="AE132" s="16" t="s">
        <v>183</v>
      </c>
      <c r="AF132" s="5" t="s">
        <v>186</v>
      </c>
      <c r="AG132" s="5" t="s">
        <v>192</v>
      </c>
      <c r="AH132" s="5" t="s">
        <v>190</v>
      </c>
      <c r="AK132" s="7"/>
      <c r="AL132" s="7"/>
    </row>
    <row r="133" spans="1:38" x14ac:dyDescent="0.35">
      <c r="A133" s="2">
        <v>2</v>
      </c>
      <c r="B133" s="15">
        <v>0.81944444444444442</v>
      </c>
      <c r="C133" s="21" t="s">
        <v>131</v>
      </c>
      <c r="AF133" s="5" t="s">
        <v>191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0.8125</v>
      </c>
      <c r="C134" s="21" t="s">
        <v>131</v>
      </c>
      <c r="Y134" s="16" t="s">
        <v>196</v>
      </c>
      <c r="Z134" s="16" t="s">
        <v>193</v>
      </c>
      <c r="AA134" s="16" t="s">
        <v>217</v>
      </c>
      <c r="AB134" s="16" t="s">
        <v>183</v>
      </c>
      <c r="AC134" s="16" t="s">
        <v>196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0.77777777777777779</v>
      </c>
      <c r="C135" s="21" t="s">
        <v>131</v>
      </c>
      <c r="AF135" s="5" t="s">
        <v>220</v>
      </c>
      <c r="AG135" s="5" t="s">
        <v>221</v>
      </c>
      <c r="AK135" s="7"/>
      <c r="AL135" s="7"/>
    </row>
    <row r="136" spans="1:38" x14ac:dyDescent="0.35">
      <c r="A136" s="2">
        <v>2</v>
      </c>
      <c r="B136" s="15">
        <v>0.77638888888888891</v>
      </c>
      <c r="C136" s="21" t="s">
        <v>131</v>
      </c>
      <c r="Y136" s="16" t="s">
        <v>196</v>
      </c>
      <c r="Z136" s="16" t="s">
        <v>220</v>
      </c>
      <c r="AA136" s="16" t="s">
        <v>219</v>
      </c>
      <c r="AB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219</v>
      </c>
      <c r="AG136" s="5" t="s">
        <v>195</v>
      </c>
      <c r="AK136" s="7"/>
      <c r="AL136" s="7"/>
    </row>
    <row r="137" spans="1:38" x14ac:dyDescent="0.35">
      <c r="A137" s="2">
        <v>2</v>
      </c>
      <c r="B137" s="15">
        <v>0.77083333333333337</v>
      </c>
      <c r="C137" s="21" t="s">
        <v>131</v>
      </c>
      <c r="Y137" s="16" t="s">
        <v>181</v>
      </c>
      <c r="Z137" s="16" t="s">
        <v>200</v>
      </c>
      <c r="AA137" s="16" t="s">
        <v>183</v>
      </c>
      <c r="AC137" s="16" t="s">
        <v>165</v>
      </c>
      <c r="AD137" s="16" t="s">
        <v>201</v>
      </c>
      <c r="AE137" s="16" t="s">
        <v>183</v>
      </c>
      <c r="AF137" s="5" t="s">
        <v>202</v>
      </c>
      <c r="AG137" s="5" t="s">
        <v>187</v>
      </c>
      <c r="AH137" s="5" t="s">
        <v>201</v>
      </c>
      <c r="AK137" s="7"/>
      <c r="AL137" s="7"/>
    </row>
    <row r="138" spans="1:38" x14ac:dyDescent="0.35">
      <c r="A138" s="2">
        <v>2</v>
      </c>
      <c r="B138" s="15">
        <v>0.75555555555555554</v>
      </c>
      <c r="C138" s="21" t="s">
        <v>131</v>
      </c>
      <c r="AF138" s="5" t="s">
        <v>220</v>
      </c>
      <c r="AG138" s="5" t="s">
        <v>221</v>
      </c>
      <c r="AK138" s="7"/>
      <c r="AL138" s="7"/>
    </row>
    <row r="139" spans="1:38" x14ac:dyDescent="0.35">
      <c r="A139" s="2">
        <v>2</v>
      </c>
      <c r="B139" s="15">
        <v>0.75277777777777777</v>
      </c>
      <c r="C139" s="21" t="s">
        <v>131</v>
      </c>
      <c r="Y139" s="16" t="s">
        <v>181</v>
      </c>
      <c r="Z139" s="16" t="s">
        <v>220</v>
      </c>
      <c r="AA139" s="16" t="s">
        <v>183</v>
      </c>
      <c r="AC139" s="16" t="s">
        <v>165</v>
      </c>
      <c r="AD139" s="16" t="s">
        <v>183</v>
      </c>
      <c r="AE139" s="16" t="s">
        <v>183</v>
      </c>
      <c r="AF139" s="5" t="s">
        <v>219</v>
      </c>
      <c r="AG139" s="5" t="s">
        <v>199</v>
      </c>
      <c r="AH139" s="5" t="s">
        <v>183</v>
      </c>
      <c r="AI139" s="5" t="s">
        <v>201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0.74861111111111112</v>
      </c>
      <c r="C140" s="21" t="s">
        <v>131</v>
      </c>
      <c r="Y140" s="16" t="s">
        <v>196</v>
      </c>
      <c r="Z140" s="16" t="s">
        <v>223</v>
      </c>
      <c r="AA140" s="16" t="s">
        <v>212</v>
      </c>
      <c r="AB140" s="16" t="s">
        <v>183</v>
      </c>
      <c r="AC140" s="16" t="s">
        <v>165</v>
      </c>
      <c r="AD140" s="16" t="s">
        <v>183</v>
      </c>
      <c r="AE140" s="16" t="s">
        <v>183</v>
      </c>
      <c r="AF140" s="5" t="s">
        <v>229</v>
      </c>
      <c r="AG140" s="5" t="s">
        <v>221</v>
      </c>
      <c r="AK140" s="7"/>
      <c r="AL140" s="7"/>
    </row>
    <row r="141" spans="1:38" x14ac:dyDescent="0.35">
      <c r="A141" s="2">
        <v>2</v>
      </c>
      <c r="B141" s="15">
        <v>0.72499999999999998</v>
      </c>
      <c r="C141" s="21" t="s">
        <v>166</v>
      </c>
      <c r="Y141" s="16" t="s">
        <v>196</v>
      </c>
      <c r="Z141" s="16" t="s">
        <v>185</v>
      </c>
      <c r="AA141" s="16" t="s">
        <v>183</v>
      </c>
      <c r="AB141" s="16" t="s">
        <v>183</v>
      </c>
      <c r="AC141" s="16" t="s">
        <v>165</v>
      </c>
      <c r="AD141" s="16" t="s">
        <v>183</v>
      </c>
      <c r="AE141" s="16" t="s">
        <v>134</v>
      </c>
      <c r="AK141" s="7"/>
      <c r="AL141" s="7"/>
    </row>
    <row r="142" spans="1:38" x14ac:dyDescent="0.35">
      <c r="A142" s="2">
        <v>2</v>
      </c>
      <c r="B142" s="15">
        <v>0.71388888888888891</v>
      </c>
      <c r="C142" s="21" t="s">
        <v>161</v>
      </c>
      <c r="Y142" s="16" t="s">
        <v>196</v>
      </c>
      <c r="Z142" s="16" t="s">
        <v>228</v>
      </c>
      <c r="AA142" s="16" t="s">
        <v>183</v>
      </c>
      <c r="AB142" s="16" t="s">
        <v>134</v>
      </c>
      <c r="AC142" s="16" t="s">
        <v>165</v>
      </c>
      <c r="AD142" s="16" t="s">
        <v>183</v>
      </c>
      <c r="AE142" s="16" t="s">
        <v>134</v>
      </c>
      <c r="AK142" s="7"/>
      <c r="AL142" s="7"/>
    </row>
    <row r="143" spans="1:38" x14ac:dyDescent="0.35">
      <c r="A143" s="2">
        <v>2</v>
      </c>
      <c r="B143" s="15">
        <v>0.69513888888888886</v>
      </c>
      <c r="C143" s="21" t="s">
        <v>131</v>
      </c>
      <c r="Y143" s="16" t="s">
        <v>181</v>
      </c>
      <c r="Z143" s="16" t="s">
        <v>182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F143" s="5" t="s">
        <v>211</v>
      </c>
      <c r="AG143" s="5" t="s">
        <v>199</v>
      </c>
      <c r="AH143" s="5" t="s">
        <v>183</v>
      </c>
      <c r="AI143" s="5" t="s">
        <v>212</v>
      </c>
      <c r="AJ143" s="5" t="s">
        <v>204</v>
      </c>
      <c r="AK143" s="7"/>
      <c r="AL143" s="7"/>
    </row>
    <row r="144" spans="1:38" x14ac:dyDescent="0.35">
      <c r="A144" s="2">
        <v>2</v>
      </c>
      <c r="B144" s="15">
        <v>0.68402777777777779</v>
      </c>
      <c r="C144" s="21" t="s">
        <v>131</v>
      </c>
      <c r="Y144" s="16" t="s">
        <v>231</v>
      </c>
      <c r="Z144" s="16" t="s">
        <v>145</v>
      </c>
      <c r="AD144" s="16" t="s">
        <v>232</v>
      </c>
      <c r="AK144" s="7"/>
      <c r="AL144" s="7"/>
    </row>
    <row r="145" spans="1:38" x14ac:dyDescent="0.35">
      <c r="A145" s="2">
        <v>2</v>
      </c>
      <c r="B145" s="15">
        <v>0.66736111111111107</v>
      </c>
      <c r="C145" s="21" t="s">
        <v>161</v>
      </c>
      <c r="Y145" s="16" t="s">
        <v>181</v>
      </c>
      <c r="Z145" s="16" t="s">
        <v>223</v>
      </c>
      <c r="AA145" s="16" t="s">
        <v>226</v>
      </c>
      <c r="AB145" s="16" t="s">
        <v>134</v>
      </c>
      <c r="AC145" s="16" t="s">
        <v>184</v>
      </c>
      <c r="AD145" s="16" t="s">
        <v>183</v>
      </c>
      <c r="AE145" s="16" t="s">
        <v>134</v>
      </c>
      <c r="AK145" s="7"/>
      <c r="AL145" s="7"/>
    </row>
    <row r="146" spans="1:38" x14ac:dyDescent="0.35">
      <c r="A146" s="2">
        <v>2</v>
      </c>
      <c r="B146" s="15">
        <v>0.59027777777777779</v>
      </c>
      <c r="C146" s="21" t="s">
        <v>161</v>
      </c>
      <c r="Y146" s="16" t="s">
        <v>181</v>
      </c>
      <c r="Z146" s="16" t="s">
        <v>220</v>
      </c>
      <c r="AA146" s="16" t="s">
        <v>205</v>
      </c>
      <c r="AB146" s="16" t="s">
        <v>183</v>
      </c>
      <c r="AC146" s="16" t="s">
        <v>165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0.56874999999999998</v>
      </c>
      <c r="C147" s="21" t="s">
        <v>161</v>
      </c>
      <c r="Y147" s="16" t="s">
        <v>224</v>
      </c>
      <c r="Z147" s="16" t="s">
        <v>229</v>
      </c>
      <c r="AA147" s="16" t="s">
        <v>190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0.55625000000000002</v>
      </c>
      <c r="C148" s="21" t="s">
        <v>161</v>
      </c>
      <c r="Y148" s="16" t="s">
        <v>196</v>
      </c>
      <c r="Z148" s="16" t="s">
        <v>197</v>
      </c>
      <c r="AA148" s="16" t="s">
        <v>198</v>
      </c>
      <c r="AB148" s="16" t="s">
        <v>183</v>
      </c>
      <c r="AC148" s="16" t="s">
        <v>165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0.55069444444444449</v>
      </c>
      <c r="C149" s="21" t="s">
        <v>166</v>
      </c>
      <c r="Y149" s="16" t="s">
        <v>196</v>
      </c>
      <c r="Z149" s="16" t="s">
        <v>188</v>
      </c>
      <c r="AA149" s="16" t="s">
        <v>183</v>
      </c>
      <c r="AB149" s="16" t="s">
        <v>183</v>
      </c>
      <c r="AC149" s="16" t="s">
        <v>184</v>
      </c>
      <c r="AD149" s="16" t="s">
        <v>183</v>
      </c>
      <c r="AE149" s="16" t="s">
        <v>134</v>
      </c>
      <c r="AK149" s="7"/>
      <c r="AL149" s="7"/>
    </row>
    <row r="150" spans="1:38" x14ac:dyDescent="0.35">
      <c r="A150" s="2">
        <v>2</v>
      </c>
      <c r="B150" s="15">
        <v>0.54305555555555551</v>
      </c>
      <c r="C150" s="21" t="s">
        <v>131</v>
      </c>
      <c r="Y150" s="16" t="s">
        <v>181</v>
      </c>
      <c r="Z150" s="16" t="s">
        <v>220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225</v>
      </c>
      <c r="AG150" s="5" t="s">
        <v>199</v>
      </c>
      <c r="AH150" s="5" t="s">
        <v>183</v>
      </c>
      <c r="AI150" s="5" t="s">
        <v>217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0.53680555555555554</v>
      </c>
      <c r="C151" s="21" t="s">
        <v>131</v>
      </c>
      <c r="Y151" s="16" t="s">
        <v>196</v>
      </c>
      <c r="Z151" s="16" t="s">
        <v>210</v>
      </c>
      <c r="AA151" s="16" t="s">
        <v>191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0.52152777777777781</v>
      </c>
      <c r="C152" s="21" t="s">
        <v>131</v>
      </c>
      <c r="Y152" s="16" t="s">
        <v>196</v>
      </c>
      <c r="Z152" s="16" t="s">
        <v>182</v>
      </c>
      <c r="AA152" s="16" t="s">
        <v>183</v>
      </c>
      <c r="AB152" s="16" t="s">
        <v>183</v>
      </c>
      <c r="AC152" s="16" t="s">
        <v>196</v>
      </c>
      <c r="AD152" s="16" t="s">
        <v>183</v>
      </c>
      <c r="AE152" s="16" t="s">
        <v>183</v>
      </c>
      <c r="AF152" s="5" t="s">
        <v>212</v>
      </c>
      <c r="AG152" s="5" t="s">
        <v>199</v>
      </c>
      <c r="AH152" s="5" t="s">
        <v>183</v>
      </c>
      <c r="AI152" s="5" t="s">
        <v>212</v>
      </c>
      <c r="AJ152" s="5" t="s">
        <v>195</v>
      </c>
      <c r="AK152" s="7"/>
      <c r="AL152" s="7"/>
    </row>
    <row r="153" spans="1:38" x14ac:dyDescent="0.35">
      <c r="A153" s="2">
        <v>2</v>
      </c>
      <c r="B153" s="15">
        <v>0.50694444444444442</v>
      </c>
      <c r="C153" s="21" t="s">
        <v>131</v>
      </c>
      <c r="Y153" s="16" t="s">
        <v>224</v>
      </c>
      <c r="Z153" s="16" t="s">
        <v>230</v>
      </c>
      <c r="AA153" s="16" t="s">
        <v>182</v>
      </c>
      <c r="AC153" s="16" t="s">
        <v>165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0.49861111111111112</v>
      </c>
      <c r="C154" s="21" t="s">
        <v>131</v>
      </c>
      <c r="Y154" s="16" t="s">
        <v>181</v>
      </c>
      <c r="Z154" s="16" t="s">
        <v>202</v>
      </c>
      <c r="AA154" s="16" t="s">
        <v>183</v>
      </c>
      <c r="AC154" s="16" t="s">
        <v>165</v>
      </c>
      <c r="AD154" s="16" t="s">
        <v>183</v>
      </c>
      <c r="AE154" s="16" t="s">
        <v>183</v>
      </c>
      <c r="AF154" s="5" t="s">
        <v>205</v>
      </c>
      <c r="AG154" s="5" t="s">
        <v>199</v>
      </c>
      <c r="AH154" s="5" t="s">
        <v>183</v>
      </c>
      <c r="AI154" s="5" t="s">
        <v>200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0.49375000000000002</v>
      </c>
      <c r="C155" s="21" t="s">
        <v>131</v>
      </c>
      <c r="Y155" s="16" t="s">
        <v>196</v>
      </c>
      <c r="Z155" s="16" t="s">
        <v>223</v>
      </c>
      <c r="AA155" s="16" t="s">
        <v>183</v>
      </c>
      <c r="AB155" s="16" t="s">
        <v>134</v>
      </c>
      <c r="AC155" s="16" t="s">
        <v>165</v>
      </c>
      <c r="AD155" s="16" t="s">
        <v>183</v>
      </c>
      <c r="AE155" s="16" t="s">
        <v>137</v>
      </c>
      <c r="AF155" s="5" t="s">
        <v>208</v>
      </c>
      <c r="AG155" s="5" t="s">
        <v>194</v>
      </c>
      <c r="AK155" s="7"/>
      <c r="AL155" s="7"/>
    </row>
    <row r="156" spans="1:38" x14ac:dyDescent="0.35">
      <c r="A156" s="2">
        <v>2</v>
      </c>
      <c r="B156" s="15">
        <v>0.46805555555555556</v>
      </c>
      <c r="C156" s="21" t="s">
        <v>131</v>
      </c>
      <c r="Y156" s="16" t="s">
        <v>196</v>
      </c>
      <c r="Z156" s="16" t="s">
        <v>229</v>
      </c>
      <c r="AA156" s="16" t="s">
        <v>227</v>
      </c>
      <c r="AB156" s="16" t="s">
        <v>134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0.46527777777777779</v>
      </c>
      <c r="C157" s="21" t="s">
        <v>131</v>
      </c>
      <c r="Y157" s="16" t="s">
        <v>196</v>
      </c>
      <c r="Z157" s="16" t="s">
        <v>229</v>
      </c>
      <c r="AA157" s="16" t="s">
        <v>205</v>
      </c>
      <c r="AB157" s="16" t="s">
        <v>183</v>
      </c>
      <c r="AC157" s="16" t="s">
        <v>165</v>
      </c>
      <c r="AD157" s="16" t="s">
        <v>183</v>
      </c>
      <c r="AE157" s="16" t="s">
        <v>183</v>
      </c>
      <c r="AF157" s="5" t="s">
        <v>227</v>
      </c>
      <c r="AG157" s="5" t="s">
        <v>199</v>
      </c>
      <c r="AH157" s="5" t="s">
        <v>186</v>
      </c>
      <c r="AI157" s="5" t="s">
        <v>200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0.45</v>
      </c>
      <c r="C158" s="21" t="s">
        <v>131</v>
      </c>
      <c r="AF158" s="5" t="s">
        <v>223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0.44583333333333336</v>
      </c>
      <c r="C159" s="21" t="s">
        <v>131</v>
      </c>
      <c r="Y159" s="16" t="s">
        <v>181</v>
      </c>
      <c r="Z159" s="16" t="s">
        <v>186</v>
      </c>
      <c r="AA159" s="16" t="s">
        <v>183</v>
      </c>
      <c r="AC159" s="16" t="s">
        <v>184</v>
      </c>
      <c r="AD159" s="16" t="s">
        <v>183</v>
      </c>
      <c r="AE159" s="16" t="s">
        <v>183</v>
      </c>
      <c r="AF159" s="5" t="s">
        <v>205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0.42986111111111114</v>
      </c>
      <c r="C160" s="21" t="s">
        <v>131</v>
      </c>
      <c r="Y160" s="16" t="s">
        <v>196</v>
      </c>
      <c r="Z160" s="16" t="s">
        <v>230</v>
      </c>
      <c r="AA160" s="16" t="s">
        <v>219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0.41875000000000001</v>
      </c>
      <c r="C161" s="21" t="s">
        <v>131</v>
      </c>
      <c r="AF161" s="5" t="s">
        <v>198</v>
      </c>
      <c r="AG161" s="5" t="s">
        <v>199</v>
      </c>
      <c r="AH161" s="5" t="s">
        <v>189</v>
      </c>
      <c r="AI161" s="5" t="s">
        <v>188</v>
      </c>
      <c r="AJ161" s="5" t="s">
        <v>192</v>
      </c>
      <c r="AK161" s="7"/>
      <c r="AL161" s="7"/>
    </row>
    <row r="162" spans="1:38" x14ac:dyDescent="0.35">
      <c r="A162" s="2">
        <v>2</v>
      </c>
      <c r="B162" s="15">
        <v>0.40833333333333333</v>
      </c>
      <c r="C162" s="21" t="s">
        <v>131</v>
      </c>
      <c r="AF162" s="5" t="s">
        <v>219</v>
      </c>
      <c r="AG162" s="5" t="s">
        <v>199</v>
      </c>
      <c r="AH162" s="5" t="s">
        <v>183</v>
      </c>
      <c r="AI162" s="5" t="s">
        <v>198</v>
      </c>
      <c r="AJ162" s="5" t="s">
        <v>195</v>
      </c>
      <c r="AK162" s="7"/>
      <c r="AL162" s="7"/>
    </row>
    <row r="163" spans="1:38" x14ac:dyDescent="0.35">
      <c r="A163" s="2">
        <v>2</v>
      </c>
      <c r="B163" s="15">
        <v>0.40486111111111112</v>
      </c>
      <c r="C163" s="21" t="s">
        <v>131</v>
      </c>
      <c r="Y163" s="16" t="s">
        <v>196</v>
      </c>
      <c r="Z163" s="16" t="s">
        <v>185</v>
      </c>
      <c r="AA163" s="16" t="s">
        <v>211</v>
      </c>
      <c r="AB163" s="16" t="s">
        <v>183</v>
      </c>
      <c r="AC163" s="16" t="s">
        <v>165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0.39583333333333331</v>
      </c>
      <c r="C164" s="21" t="s">
        <v>131</v>
      </c>
      <c r="Y164" s="16" t="s">
        <v>181</v>
      </c>
      <c r="Z164" s="16" t="s">
        <v>190</v>
      </c>
      <c r="AA164" s="16" t="s">
        <v>212</v>
      </c>
      <c r="AC164" s="16" t="s">
        <v>184</v>
      </c>
      <c r="AD164" s="16" t="s">
        <v>185</v>
      </c>
      <c r="AE164" s="16" t="s">
        <v>183</v>
      </c>
      <c r="AF164" s="5" t="s">
        <v>212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0.37638888888888888</v>
      </c>
      <c r="C165" s="21" t="s">
        <v>131</v>
      </c>
      <c r="Y165" s="16" t="s">
        <v>196</v>
      </c>
      <c r="Z165" s="16" t="s">
        <v>230</v>
      </c>
      <c r="AA165" s="16" t="s">
        <v>182</v>
      </c>
      <c r="AB165" s="16" t="s">
        <v>134</v>
      </c>
      <c r="AC165" s="16" t="s">
        <v>196</v>
      </c>
      <c r="AD165" s="16" t="s">
        <v>183</v>
      </c>
      <c r="AE165" s="16" t="s">
        <v>183</v>
      </c>
      <c r="AF165" s="5" t="s">
        <v>216</v>
      </c>
      <c r="AG165" s="5" t="s">
        <v>204</v>
      </c>
      <c r="AK165" s="7"/>
      <c r="AL165" s="7"/>
    </row>
    <row r="166" spans="1:38" x14ac:dyDescent="0.35">
      <c r="A166" s="2">
        <v>2</v>
      </c>
      <c r="B166" s="15">
        <v>0.35972222222222222</v>
      </c>
      <c r="C166" s="21" t="s">
        <v>131</v>
      </c>
      <c r="Y166" s="16" t="s">
        <v>181</v>
      </c>
      <c r="Z166" s="16" t="s">
        <v>213</v>
      </c>
      <c r="AA166" s="16" t="s">
        <v>183</v>
      </c>
      <c r="AC166" s="16" t="s">
        <v>165</v>
      </c>
      <c r="AD166" s="16" t="s">
        <v>183</v>
      </c>
      <c r="AE166" s="16" t="s">
        <v>183</v>
      </c>
      <c r="AF166" s="5" t="s">
        <v>217</v>
      </c>
      <c r="AG166" s="5" t="s">
        <v>199</v>
      </c>
      <c r="AH166" s="5" t="s">
        <v>183</v>
      </c>
      <c r="AI166" s="5" t="s">
        <v>206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0.3527777777777778</v>
      </c>
      <c r="C167" s="21" t="s">
        <v>131</v>
      </c>
      <c r="Y167" s="16" t="s">
        <v>196</v>
      </c>
      <c r="Z167" s="16" t="s">
        <v>218</v>
      </c>
      <c r="AA167" s="16" t="s">
        <v>183</v>
      </c>
      <c r="AB167" s="16" t="s">
        <v>183</v>
      </c>
      <c r="AC167" s="16" t="s">
        <v>184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0.34027777777777779</v>
      </c>
      <c r="C168" s="21" t="s">
        <v>131</v>
      </c>
      <c r="Y168" s="16" t="s">
        <v>181</v>
      </c>
      <c r="Z168" s="16" t="s">
        <v>205</v>
      </c>
      <c r="AA168" s="16" t="s">
        <v>183</v>
      </c>
      <c r="AC168" s="16" t="s">
        <v>165</v>
      </c>
      <c r="AD168" s="16" t="s">
        <v>216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0.33124999999999999</v>
      </c>
      <c r="C169" s="21" t="s">
        <v>131</v>
      </c>
      <c r="AF169" s="5" t="s">
        <v>220</v>
      </c>
      <c r="AG169" s="5" t="s">
        <v>204</v>
      </c>
      <c r="AH169" s="5" t="s">
        <v>201</v>
      </c>
      <c r="AK169" s="7"/>
      <c r="AL169" s="7"/>
    </row>
    <row r="170" spans="1:38" x14ac:dyDescent="0.35">
      <c r="A170" s="2">
        <v>2</v>
      </c>
      <c r="B170" s="15">
        <v>0.32569444444444445</v>
      </c>
      <c r="C170" s="21" t="s">
        <v>131</v>
      </c>
      <c r="AF170" s="5" t="s">
        <v>191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0.31874999999999998</v>
      </c>
      <c r="C171" s="21" t="s">
        <v>131</v>
      </c>
      <c r="Y171" s="16" t="s">
        <v>196</v>
      </c>
      <c r="Z171" s="16" t="s">
        <v>201</v>
      </c>
      <c r="AA171" s="16" t="s">
        <v>186</v>
      </c>
      <c r="AB171" s="16" t="s">
        <v>183</v>
      </c>
      <c r="AC171" s="16" t="s">
        <v>165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0.30833333333333335</v>
      </c>
      <c r="C172" s="21" t="s">
        <v>131</v>
      </c>
      <c r="Y172" s="16" t="s">
        <v>181</v>
      </c>
      <c r="Z172" s="16" t="s">
        <v>219</v>
      </c>
      <c r="AA172" s="16" t="s">
        <v>183</v>
      </c>
      <c r="AC172" s="16" t="s">
        <v>165</v>
      </c>
      <c r="AD172" s="16" t="s">
        <v>183</v>
      </c>
      <c r="AE172" s="16" t="s">
        <v>183</v>
      </c>
      <c r="AF172" s="5" t="s">
        <v>191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0.29444444444444445</v>
      </c>
      <c r="C173" s="21" t="s">
        <v>131</v>
      </c>
      <c r="AF173" s="5" t="s">
        <v>191</v>
      </c>
      <c r="AG173" s="5" t="s">
        <v>199</v>
      </c>
      <c r="AH173" s="5" t="s">
        <v>183</v>
      </c>
      <c r="AI173" s="5" t="s">
        <v>197</v>
      </c>
      <c r="AJ173" s="5" t="s">
        <v>204</v>
      </c>
      <c r="AK173" s="7"/>
      <c r="AL173" s="7"/>
    </row>
    <row r="174" spans="1:38" x14ac:dyDescent="0.35">
      <c r="A174" s="2">
        <v>2</v>
      </c>
      <c r="B174" s="15">
        <v>0.28472222222222221</v>
      </c>
      <c r="C174" s="21" t="s">
        <v>131</v>
      </c>
      <c r="AF174" s="5" t="s">
        <v>191</v>
      </c>
      <c r="AG174" s="5" t="s">
        <v>199</v>
      </c>
      <c r="AH174" s="5" t="s">
        <v>216</v>
      </c>
      <c r="AI174" s="5" t="s">
        <v>229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0.27430555555555558</v>
      </c>
      <c r="C175" s="21" t="s">
        <v>131</v>
      </c>
      <c r="AF175" s="5" t="s">
        <v>191</v>
      </c>
      <c r="AG175" s="5" t="s">
        <v>195</v>
      </c>
      <c r="AH175" s="5" t="s">
        <v>216</v>
      </c>
      <c r="AK175" s="7"/>
      <c r="AL175" s="7"/>
    </row>
    <row r="176" spans="1:38" x14ac:dyDescent="0.35">
      <c r="A176" s="2">
        <v>2</v>
      </c>
      <c r="B176" s="15">
        <v>0.2638888888888889</v>
      </c>
      <c r="C176" s="21" t="s">
        <v>131</v>
      </c>
      <c r="Y176" s="16" t="s">
        <v>181</v>
      </c>
      <c r="Z176" s="16" t="s">
        <v>214</v>
      </c>
      <c r="AA176" s="16" t="s">
        <v>183</v>
      </c>
      <c r="AC176" s="16" t="s">
        <v>165</v>
      </c>
      <c r="AD176" s="16" t="s">
        <v>183</v>
      </c>
      <c r="AE176" s="16" t="s">
        <v>183</v>
      </c>
      <c r="AF176" s="5" t="s">
        <v>233</v>
      </c>
      <c r="AG176" s="5" t="s">
        <v>192</v>
      </c>
      <c r="AH176" s="5" t="s">
        <v>209</v>
      </c>
      <c r="AK176" s="7"/>
      <c r="AL176" s="7"/>
    </row>
    <row r="177" spans="1:38" x14ac:dyDescent="0.35">
      <c r="A177" s="2">
        <v>2</v>
      </c>
      <c r="B177" s="15">
        <v>0.25138888888888888</v>
      </c>
      <c r="C177" s="21" t="s">
        <v>131</v>
      </c>
      <c r="AF177" s="5" t="s">
        <v>202</v>
      </c>
      <c r="AG177" s="5" t="s">
        <v>192</v>
      </c>
      <c r="AH177" s="5" t="s">
        <v>190</v>
      </c>
      <c r="AK177" s="7"/>
      <c r="AL177" s="7"/>
    </row>
    <row r="178" spans="1:38" x14ac:dyDescent="0.35">
      <c r="A178" s="2">
        <v>2</v>
      </c>
      <c r="B178" s="15">
        <v>0.24097222222222223</v>
      </c>
      <c r="C178" s="21" t="s">
        <v>131</v>
      </c>
      <c r="Y178" s="16" t="s">
        <v>181</v>
      </c>
      <c r="Z178" s="16" t="s">
        <v>217</v>
      </c>
      <c r="AA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222</v>
      </c>
      <c r="AG178" s="5" t="s">
        <v>221</v>
      </c>
      <c r="AK178" s="7"/>
      <c r="AL178" s="7"/>
    </row>
    <row r="179" spans="1:38" x14ac:dyDescent="0.35">
      <c r="A179" s="2">
        <v>2</v>
      </c>
      <c r="B179" s="15">
        <v>0.2388888888888889</v>
      </c>
      <c r="C179" s="21" t="s">
        <v>131</v>
      </c>
      <c r="Y179" s="16" t="s">
        <v>196</v>
      </c>
      <c r="Z179" s="16" t="s">
        <v>222</v>
      </c>
      <c r="AA179" s="16" t="s">
        <v>217</v>
      </c>
      <c r="AB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182</v>
      </c>
      <c r="AG179" s="5" t="s">
        <v>199</v>
      </c>
      <c r="AH179" s="5" t="s">
        <v>183</v>
      </c>
      <c r="AI179" s="5" t="s">
        <v>217</v>
      </c>
      <c r="AJ179" s="5" t="s">
        <v>195</v>
      </c>
      <c r="AK179" s="7"/>
      <c r="AL179" s="7"/>
    </row>
    <row r="180" spans="1:38" x14ac:dyDescent="0.35">
      <c r="A180" s="2">
        <v>2</v>
      </c>
      <c r="B180" s="15">
        <v>0.22916666666666666</v>
      </c>
      <c r="C180" s="21" t="s">
        <v>131</v>
      </c>
      <c r="Y180" s="16" t="s">
        <v>181</v>
      </c>
      <c r="Z180" s="16" t="s">
        <v>185</v>
      </c>
      <c r="AA180" s="16" t="s">
        <v>183</v>
      </c>
      <c r="AC180" s="16" t="s">
        <v>165</v>
      </c>
      <c r="AD180" s="16" t="s">
        <v>183</v>
      </c>
      <c r="AE180" s="16" t="s">
        <v>183</v>
      </c>
      <c r="AF180" s="5" t="s">
        <v>186</v>
      </c>
      <c r="AG180" s="5" t="s">
        <v>194</v>
      </c>
      <c r="AH180" s="5" t="s">
        <v>185</v>
      </c>
      <c r="AK180" s="7"/>
      <c r="AL180" s="7"/>
    </row>
    <row r="181" spans="1:38" x14ac:dyDescent="0.35">
      <c r="A181" s="2">
        <v>2</v>
      </c>
      <c r="B181" s="15">
        <v>0.21805555555555556</v>
      </c>
      <c r="C181" s="21" t="s">
        <v>131</v>
      </c>
      <c r="Y181" s="16" t="s">
        <v>196</v>
      </c>
      <c r="Z181" s="16" t="s">
        <v>188</v>
      </c>
      <c r="AA181" s="16" t="s">
        <v>212</v>
      </c>
      <c r="AB181" s="16" t="s">
        <v>183</v>
      </c>
      <c r="AC181" s="16" t="s">
        <v>184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0.20902777777777778</v>
      </c>
      <c r="C182" s="21" t="s">
        <v>131</v>
      </c>
      <c r="Y182" s="16" t="s">
        <v>224</v>
      </c>
      <c r="Z182" s="16" t="s">
        <v>230</v>
      </c>
      <c r="AA182" s="16" t="s">
        <v>227</v>
      </c>
      <c r="AC182" s="16" t="s">
        <v>165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0.20208333333333334</v>
      </c>
      <c r="C183" s="21" t="s">
        <v>131</v>
      </c>
      <c r="Y183" s="16" t="s">
        <v>181</v>
      </c>
      <c r="Z183" s="16" t="s">
        <v>210</v>
      </c>
      <c r="AA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211</v>
      </c>
      <c r="AG183" s="5" t="s">
        <v>199</v>
      </c>
      <c r="AH183" s="5" t="s">
        <v>183</v>
      </c>
      <c r="AI183" s="5" t="s">
        <v>189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0.19305555555555556</v>
      </c>
      <c r="C184" s="21" t="s">
        <v>131</v>
      </c>
      <c r="Y184" s="16" t="s">
        <v>196</v>
      </c>
      <c r="Z184" s="16" t="s">
        <v>230</v>
      </c>
      <c r="AA184" s="16" t="s">
        <v>227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F184" s="5" t="s">
        <v>210</v>
      </c>
      <c r="AG184" s="5" t="s">
        <v>221</v>
      </c>
      <c r="AK184" s="7"/>
      <c r="AL184" s="7"/>
    </row>
    <row r="185" spans="1:38" x14ac:dyDescent="0.35">
      <c r="A185" s="2">
        <v>2</v>
      </c>
      <c r="B185" s="15">
        <v>0.17847222222222223</v>
      </c>
      <c r="C185" s="21" t="s">
        <v>131</v>
      </c>
      <c r="Y185" s="16" t="s">
        <v>196</v>
      </c>
      <c r="Z185" s="16" t="s">
        <v>210</v>
      </c>
      <c r="AA185" s="16" t="s">
        <v>183</v>
      </c>
      <c r="AB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186</v>
      </c>
      <c r="AG185" s="5" t="s">
        <v>192</v>
      </c>
      <c r="AH185" s="5" t="s">
        <v>206</v>
      </c>
    </row>
    <row r="186" spans="1:38" x14ac:dyDescent="0.35">
      <c r="A186" s="2">
        <v>2</v>
      </c>
      <c r="B186" s="15">
        <v>0.14166666666666666</v>
      </c>
      <c r="C186" s="21" t="s">
        <v>131</v>
      </c>
      <c r="AF186" s="5" t="s">
        <v>202</v>
      </c>
      <c r="AG186" s="5" t="s">
        <v>194</v>
      </c>
    </row>
    <row r="187" spans="1:38" x14ac:dyDescent="0.35">
      <c r="A187" s="2">
        <v>2</v>
      </c>
      <c r="B187" s="15">
        <v>0.13819444444444445</v>
      </c>
      <c r="C187" s="21" t="s">
        <v>131</v>
      </c>
      <c r="Y187" s="16" t="s">
        <v>181</v>
      </c>
      <c r="Z187" s="16" t="s">
        <v>203</v>
      </c>
      <c r="AA187" s="16" t="s">
        <v>223</v>
      </c>
      <c r="AC187" s="16" t="s">
        <v>165</v>
      </c>
      <c r="AD187" s="16" t="s">
        <v>234</v>
      </c>
      <c r="AF187" s="5" t="s">
        <v>198</v>
      </c>
      <c r="AG187" s="5" t="s">
        <v>199</v>
      </c>
      <c r="AH187" s="5" t="s">
        <v>183</v>
      </c>
      <c r="AI187" s="5" t="s">
        <v>223</v>
      </c>
      <c r="AJ187" s="5" t="s">
        <v>192</v>
      </c>
    </row>
    <row r="188" spans="1:38" x14ac:dyDescent="0.35">
      <c r="A188" s="2">
        <v>2</v>
      </c>
      <c r="B188" s="15">
        <v>0.12777777777777777</v>
      </c>
      <c r="C188" s="21" t="s">
        <v>131</v>
      </c>
      <c r="AF188" s="5" t="s">
        <v>223</v>
      </c>
      <c r="AG188" s="5" t="s">
        <v>195</v>
      </c>
    </row>
    <row r="189" spans="1:38" x14ac:dyDescent="0.35">
      <c r="A189" s="2">
        <v>2</v>
      </c>
      <c r="B189" s="15">
        <v>0.13194444444444445</v>
      </c>
      <c r="C189" s="21" t="s">
        <v>131</v>
      </c>
      <c r="Y189" s="16" t="s">
        <v>196</v>
      </c>
      <c r="Z189" s="16" t="s">
        <v>201</v>
      </c>
      <c r="AA189" s="16" t="s">
        <v>202</v>
      </c>
      <c r="AB189" s="16" t="s">
        <v>134</v>
      </c>
      <c r="AC189" s="16" t="s">
        <v>196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0.11458333333333333</v>
      </c>
      <c r="C190" s="21" t="s">
        <v>131</v>
      </c>
    </row>
    <row r="191" spans="1:38" x14ac:dyDescent="0.35">
      <c r="A191" s="2">
        <v>2</v>
      </c>
      <c r="B191" s="15">
        <v>0.10694444444444444</v>
      </c>
      <c r="C191" s="21" t="s">
        <v>131</v>
      </c>
      <c r="Y191" s="16" t="s">
        <v>196</v>
      </c>
      <c r="Z191" s="16" t="s">
        <v>228</v>
      </c>
      <c r="AA191" s="16" t="s">
        <v>182</v>
      </c>
      <c r="AB191" s="16" t="s">
        <v>183</v>
      </c>
      <c r="AC191" s="16" t="s">
        <v>184</v>
      </c>
      <c r="AD191" s="16" t="s">
        <v>183</v>
      </c>
      <c r="AE191" s="16" t="s">
        <v>183</v>
      </c>
      <c r="AF191" s="5" t="s">
        <v>185</v>
      </c>
      <c r="AG191" s="5" t="s">
        <v>204</v>
      </c>
      <c r="AH191" s="5" t="s">
        <v>208</v>
      </c>
    </row>
    <row r="192" spans="1:38" x14ac:dyDescent="0.35">
      <c r="A192" s="2">
        <v>2</v>
      </c>
      <c r="B192" s="15">
        <v>9.8611111111111108E-2</v>
      </c>
      <c r="C192" s="21" t="s">
        <v>131</v>
      </c>
      <c r="Y192" s="16" t="s">
        <v>196</v>
      </c>
      <c r="Z192" s="16" t="s">
        <v>208</v>
      </c>
      <c r="AA192" s="16" t="s">
        <v>182</v>
      </c>
      <c r="AB192" s="16" t="s">
        <v>183</v>
      </c>
      <c r="AC192" s="16" t="s">
        <v>165</v>
      </c>
      <c r="AD192" s="16" t="s">
        <v>183</v>
      </c>
      <c r="AE192" s="16" t="s">
        <v>183</v>
      </c>
      <c r="AF192" s="5" t="s">
        <v>188</v>
      </c>
      <c r="AG192" s="5" t="s">
        <v>221</v>
      </c>
    </row>
    <row r="193" spans="1:36" x14ac:dyDescent="0.35">
      <c r="A193" s="2">
        <v>2</v>
      </c>
      <c r="B193" s="15">
        <v>7.8472222222222221E-2</v>
      </c>
      <c r="C193" s="21" t="s">
        <v>131</v>
      </c>
      <c r="Y193" s="16" t="s">
        <v>196</v>
      </c>
      <c r="Z193" s="16" t="s">
        <v>188</v>
      </c>
      <c r="AA193" s="16" t="s">
        <v>191</v>
      </c>
      <c r="AB193" s="16" t="s">
        <v>134</v>
      </c>
      <c r="AC193" s="16" t="s">
        <v>184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6.805555555555555E-2</v>
      </c>
      <c r="C194" s="21" t="s">
        <v>131</v>
      </c>
      <c r="AF194" s="5" t="s">
        <v>230</v>
      </c>
      <c r="AG194" s="5" t="s">
        <v>194</v>
      </c>
      <c r="AH194" s="5" t="s">
        <v>205</v>
      </c>
    </row>
    <row r="195" spans="1:36" x14ac:dyDescent="0.35">
      <c r="A195" s="2">
        <v>2</v>
      </c>
      <c r="B195" s="15">
        <v>6.25E-2</v>
      </c>
      <c r="C195" s="21" t="s">
        <v>131</v>
      </c>
      <c r="Y195" s="16" t="s">
        <v>196</v>
      </c>
      <c r="Z195" s="16" t="s">
        <v>189</v>
      </c>
      <c r="AA195" s="16" t="s">
        <v>227</v>
      </c>
      <c r="AB195" s="16" t="s">
        <v>134</v>
      </c>
      <c r="AC195" s="16" t="s">
        <v>184</v>
      </c>
      <c r="AD195" s="16" t="s">
        <v>183</v>
      </c>
      <c r="AE195" s="16" t="s">
        <v>134</v>
      </c>
    </row>
    <row r="196" spans="1:36" x14ac:dyDescent="0.35">
      <c r="A196" s="2">
        <v>2</v>
      </c>
      <c r="B196" s="15">
        <v>4.8611111111111112E-2</v>
      </c>
      <c r="C196" s="21" t="s">
        <v>131</v>
      </c>
      <c r="Y196" s="16" t="s">
        <v>196</v>
      </c>
      <c r="Z196" s="16" t="s">
        <v>206</v>
      </c>
      <c r="AA196" s="16" t="s">
        <v>191</v>
      </c>
      <c r="AB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193</v>
      </c>
      <c r="AG196" s="5" t="s">
        <v>204</v>
      </c>
    </row>
    <row r="197" spans="1:36" x14ac:dyDescent="0.35">
      <c r="A197" s="2">
        <v>2</v>
      </c>
      <c r="B197" s="15">
        <v>2.1527777777777778E-2</v>
      </c>
      <c r="C197" s="21" t="s">
        <v>131</v>
      </c>
      <c r="Y197" s="16" t="s">
        <v>196</v>
      </c>
      <c r="Z197" s="16" t="s">
        <v>220</v>
      </c>
      <c r="AA197" s="16" t="s">
        <v>205</v>
      </c>
      <c r="AB197" s="16" t="s">
        <v>134</v>
      </c>
      <c r="AC197" s="16" t="s">
        <v>165</v>
      </c>
      <c r="AD197" s="16" t="s">
        <v>183</v>
      </c>
      <c r="AE197" s="16" t="s">
        <v>183</v>
      </c>
      <c r="AF197" s="5" t="s">
        <v>200</v>
      </c>
      <c r="AG197" s="5" t="s">
        <v>192</v>
      </c>
      <c r="AH197" s="5" t="s">
        <v>220</v>
      </c>
    </row>
    <row r="198" spans="1:36" x14ac:dyDescent="0.35">
      <c r="A198" s="2">
        <v>2</v>
      </c>
      <c r="B198" s="15">
        <v>5.5555555555555558E-3</v>
      </c>
      <c r="C198" s="21" t="s">
        <v>131</v>
      </c>
      <c r="Y198" s="16" t="s">
        <v>181</v>
      </c>
      <c r="Z198" s="16" t="s">
        <v>198</v>
      </c>
      <c r="AA198" s="16" t="s">
        <v>183</v>
      </c>
      <c r="AC198" s="16" t="s">
        <v>184</v>
      </c>
      <c r="AD198" s="16" t="s">
        <v>183</v>
      </c>
      <c r="AE198" s="16" t="s">
        <v>183</v>
      </c>
      <c r="AF198" s="5" t="s">
        <v>202</v>
      </c>
      <c r="AG198" s="5" t="s">
        <v>192</v>
      </c>
    </row>
    <row r="199" spans="1:36" x14ac:dyDescent="0.35">
      <c r="A199" s="2">
        <v>3</v>
      </c>
      <c r="B199" s="15">
        <v>0.82847222222222228</v>
      </c>
      <c r="C199" s="21" t="s">
        <v>131</v>
      </c>
      <c r="Y199" s="16" t="s">
        <v>181</v>
      </c>
      <c r="Z199" s="16" t="s">
        <v>182</v>
      </c>
      <c r="AA199" s="16" t="s">
        <v>183</v>
      </c>
      <c r="AC199" s="16" t="s">
        <v>184</v>
      </c>
      <c r="AD199" s="16" t="s">
        <v>183</v>
      </c>
      <c r="AE199" s="16" t="s">
        <v>183</v>
      </c>
      <c r="AF199" s="5" t="s">
        <v>233</v>
      </c>
      <c r="AG199" s="5" t="s">
        <v>199</v>
      </c>
      <c r="AH199" s="5" t="s">
        <v>182</v>
      </c>
      <c r="AI199" s="5" t="s">
        <v>230</v>
      </c>
      <c r="AJ199" s="5" t="s">
        <v>192</v>
      </c>
    </row>
    <row r="200" spans="1:36" x14ac:dyDescent="0.35">
      <c r="A200" s="2">
        <v>3</v>
      </c>
      <c r="B200" s="15">
        <v>0.79374999999999996</v>
      </c>
      <c r="C200" s="21" t="s">
        <v>131</v>
      </c>
      <c r="Y200" s="16" t="s">
        <v>181</v>
      </c>
      <c r="Z200" s="16" t="s">
        <v>219</v>
      </c>
      <c r="AA200" s="16" t="s">
        <v>183</v>
      </c>
      <c r="AC200" s="16" t="s">
        <v>165</v>
      </c>
      <c r="AD200" s="16" t="s">
        <v>183</v>
      </c>
      <c r="AE200" s="16" t="s">
        <v>183</v>
      </c>
      <c r="AF200" s="5" t="s">
        <v>203</v>
      </c>
      <c r="AG200" s="5" t="s">
        <v>199</v>
      </c>
      <c r="AH200" s="5" t="s">
        <v>183</v>
      </c>
      <c r="AI200" s="5" t="s">
        <v>197</v>
      </c>
      <c r="AJ200" s="5" t="s">
        <v>221</v>
      </c>
    </row>
    <row r="201" spans="1:36" x14ac:dyDescent="0.35">
      <c r="A201" s="2">
        <v>3</v>
      </c>
      <c r="B201" s="15">
        <v>0.78333333333333333</v>
      </c>
      <c r="C201" s="21" t="s">
        <v>131</v>
      </c>
      <c r="Y201" s="16" t="s">
        <v>196</v>
      </c>
      <c r="Z201" s="16" t="s">
        <v>197</v>
      </c>
      <c r="AA201" s="16" t="s">
        <v>198</v>
      </c>
      <c r="AB201" s="16" t="s">
        <v>183</v>
      </c>
      <c r="AC201" s="16" t="s">
        <v>165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0.77083333333333337</v>
      </c>
      <c r="C202" s="21" t="s">
        <v>131</v>
      </c>
      <c r="AF202" s="5" t="s">
        <v>201</v>
      </c>
      <c r="AG202" s="5" t="s">
        <v>199</v>
      </c>
      <c r="AH202" s="5" t="s">
        <v>183</v>
      </c>
      <c r="AI202" s="5" t="s">
        <v>200</v>
      </c>
      <c r="AJ202" s="5" t="s">
        <v>195</v>
      </c>
    </row>
    <row r="203" spans="1:36" x14ac:dyDescent="0.35">
      <c r="A203" s="2">
        <v>3</v>
      </c>
      <c r="B203" s="15">
        <v>0.76388888888888884</v>
      </c>
      <c r="C203" s="21" t="s">
        <v>131</v>
      </c>
      <c r="Y203" s="16" t="s">
        <v>181</v>
      </c>
      <c r="Z203" s="16" t="s">
        <v>223</v>
      </c>
      <c r="AA203" s="16" t="s">
        <v>203</v>
      </c>
      <c r="AC203" s="16" t="s">
        <v>165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0.75277777777777777</v>
      </c>
      <c r="C204" s="21" t="s">
        <v>131</v>
      </c>
      <c r="Y204" s="16" t="s">
        <v>181</v>
      </c>
      <c r="Z204" s="16" t="s">
        <v>222</v>
      </c>
      <c r="AA204" s="16" t="s">
        <v>227</v>
      </c>
      <c r="AC204" s="16" t="s">
        <v>184</v>
      </c>
      <c r="AD204" s="16" t="s">
        <v>183</v>
      </c>
      <c r="AE204" s="16" t="s">
        <v>183</v>
      </c>
      <c r="AF204" s="5" t="s">
        <v>210</v>
      </c>
      <c r="AG204" s="5" t="s">
        <v>204</v>
      </c>
    </row>
    <row r="205" spans="1:36" x14ac:dyDescent="0.35">
      <c r="A205" s="2">
        <v>3</v>
      </c>
      <c r="B205" s="15">
        <v>0.74444444444444446</v>
      </c>
      <c r="C205" s="21" t="s">
        <v>131</v>
      </c>
      <c r="AF205" s="5" t="s">
        <v>227</v>
      </c>
      <c r="AG205" s="5" t="s">
        <v>204</v>
      </c>
    </row>
    <row r="206" spans="1:36" x14ac:dyDescent="0.35">
      <c r="A206" s="2">
        <v>3</v>
      </c>
      <c r="B206" s="15">
        <v>0.74236111111111114</v>
      </c>
      <c r="C206" s="21" t="s">
        <v>131</v>
      </c>
      <c r="Y206" s="16" t="s">
        <v>196</v>
      </c>
      <c r="Z206" s="16" t="s">
        <v>222</v>
      </c>
      <c r="AA206" s="16" t="s">
        <v>183</v>
      </c>
      <c r="AB206" s="16" t="s">
        <v>134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0.73541666666666672</v>
      </c>
      <c r="C207" s="21" t="s">
        <v>131</v>
      </c>
      <c r="AF207" s="5" t="s">
        <v>205</v>
      </c>
      <c r="AG207" s="5" t="s">
        <v>187</v>
      </c>
      <c r="AH207" s="5" t="s">
        <v>222</v>
      </c>
    </row>
    <row r="208" spans="1:36" x14ac:dyDescent="0.35">
      <c r="A208" s="2">
        <v>3</v>
      </c>
      <c r="B208" s="15">
        <v>0.72777777777777775</v>
      </c>
      <c r="C208" s="21" t="s">
        <v>131</v>
      </c>
      <c r="AF208" s="5" t="s">
        <v>227</v>
      </c>
      <c r="AG208" s="5" t="s">
        <v>195</v>
      </c>
    </row>
    <row r="209" spans="1:36" x14ac:dyDescent="0.35">
      <c r="A209" s="2">
        <v>3</v>
      </c>
      <c r="B209" s="15">
        <v>0.71875</v>
      </c>
      <c r="C209" s="21" t="s">
        <v>131</v>
      </c>
      <c r="Y209" s="16" t="s">
        <v>181</v>
      </c>
      <c r="Z209" s="16" t="s">
        <v>218</v>
      </c>
      <c r="AA209" s="16" t="s">
        <v>183</v>
      </c>
      <c r="AC209" s="16" t="s">
        <v>165</v>
      </c>
      <c r="AD209" s="16" t="s">
        <v>188</v>
      </c>
      <c r="AE209" s="16" t="s">
        <v>134</v>
      </c>
    </row>
    <row r="210" spans="1:36" x14ac:dyDescent="0.35">
      <c r="A210" s="2">
        <v>3</v>
      </c>
      <c r="B210" s="15">
        <v>0.70416666666666672</v>
      </c>
      <c r="C210" s="21" t="s">
        <v>131</v>
      </c>
      <c r="AF210" s="5" t="s">
        <v>215</v>
      </c>
      <c r="AG210" s="5" t="s">
        <v>199</v>
      </c>
      <c r="AH210" s="5" t="s">
        <v>183</v>
      </c>
      <c r="AI210" s="5" t="s">
        <v>193</v>
      </c>
      <c r="AJ210" s="5" t="s">
        <v>195</v>
      </c>
    </row>
    <row r="211" spans="1:36" x14ac:dyDescent="0.35">
      <c r="A211" s="2">
        <v>3</v>
      </c>
      <c r="B211" s="15">
        <v>0.7</v>
      </c>
      <c r="C211" s="21" t="s">
        <v>131</v>
      </c>
      <c r="Y211" s="16" t="s">
        <v>181</v>
      </c>
      <c r="Z211" s="16" t="s">
        <v>191</v>
      </c>
      <c r="AA211" s="16" t="s">
        <v>183</v>
      </c>
      <c r="AC211" s="16" t="s">
        <v>165</v>
      </c>
      <c r="AD211" s="16" t="s">
        <v>183</v>
      </c>
      <c r="AE211" s="16" t="s">
        <v>183</v>
      </c>
      <c r="AF211" s="5" t="s">
        <v>214</v>
      </c>
      <c r="AG211" s="5" t="s">
        <v>199</v>
      </c>
      <c r="AH211" s="5" t="s">
        <v>230</v>
      </c>
      <c r="AI211" s="5" t="s">
        <v>223</v>
      </c>
      <c r="AJ211" s="5" t="s">
        <v>192</v>
      </c>
    </row>
    <row r="212" spans="1:36" x14ac:dyDescent="0.35">
      <c r="A212" s="2">
        <v>3</v>
      </c>
      <c r="B212" s="15">
        <v>0.68055555555555558</v>
      </c>
      <c r="C212" s="21" t="s">
        <v>131</v>
      </c>
      <c r="AF212" s="5" t="s">
        <v>198</v>
      </c>
      <c r="AG212" s="5" t="s">
        <v>199</v>
      </c>
      <c r="AH212" s="5" t="s">
        <v>183</v>
      </c>
      <c r="AI212" s="5" t="s">
        <v>188</v>
      </c>
      <c r="AJ212" s="5" t="s">
        <v>204</v>
      </c>
    </row>
    <row r="213" spans="1:36" x14ac:dyDescent="0.35">
      <c r="A213" s="2">
        <v>3</v>
      </c>
      <c r="B213" s="15">
        <v>0.6694444444444444</v>
      </c>
      <c r="C213" s="21" t="s">
        <v>131</v>
      </c>
      <c r="AF213" s="5" t="s">
        <v>188</v>
      </c>
      <c r="AG213" s="5" t="s">
        <v>194</v>
      </c>
    </row>
    <row r="214" spans="1:36" x14ac:dyDescent="0.35">
      <c r="A214" s="2">
        <v>3</v>
      </c>
      <c r="B214" s="15">
        <v>0.66527777777777775</v>
      </c>
      <c r="C214" s="21" t="s">
        <v>131</v>
      </c>
      <c r="Y214" s="16" t="s">
        <v>181</v>
      </c>
      <c r="Z214" s="16" t="s">
        <v>185</v>
      </c>
      <c r="AA214" s="16" t="s">
        <v>183</v>
      </c>
      <c r="AC214" s="16" t="s">
        <v>165</v>
      </c>
      <c r="AD214" s="16" t="s">
        <v>183</v>
      </c>
      <c r="AE214" s="16" t="s">
        <v>183</v>
      </c>
      <c r="AF214" s="5" t="s">
        <v>233</v>
      </c>
      <c r="AG214" s="5" t="s">
        <v>199</v>
      </c>
      <c r="AH214" s="5" t="s">
        <v>183</v>
      </c>
      <c r="AI214" s="5" t="s">
        <v>220</v>
      </c>
      <c r="AJ214" s="5" t="s">
        <v>195</v>
      </c>
    </row>
    <row r="215" spans="1:36" x14ac:dyDescent="0.35">
      <c r="A215" s="2">
        <v>3</v>
      </c>
      <c r="B215" s="15">
        <v>0.65763888888888888</v>
      </c>
      <c r="C215" s="21" t="s">
        <v>131</v>
      </c>
      <c r="Y215" s="16" t="s">
        <v>196</v>
      </c>
      <c r="Z215" s="16" t="s">
        <v>203</v>
      </c>
      <c r="AA215" s="16" t="s">
        <v>198</v>
      </c>
      <c r="AB215" s="16" t="s">
        <v>183</v>
      </c>
      <c r="AC215" s="16" t="s">
        <v>184</v>
      </c>
      <c r="AD215" s="16" t="s">
        <v>183</v>
      </c>
      <c r="AE215" s="16" t="s">
        <v>134</v>
      </c>
      <c r="AF215" s="5" t="s">
        <v>209</v>
      </c>
      <c r="AG215" s="5" t="s">
        <v>192</v>
      </c>
    </row>
    <row r="216" spans="1:36" x14ac:dyDescent="0.35">
      <c r="A216" s="2">
        <v>3</v>
      </c>
      <c r="B216" s="15">
        <v>0.64930555555555558</v>
      </c>
      <c r="C216" s="21" t="s">
        <v>131</v>
      </c>
      <c r="AF216" s="5" t="s">
        <v>219</v>
      </c>
      <c r="AG216" s="5" t="s">
        <v>204</v>
      </c>
    </row>
    <row r="217" spans="1:36" x14ac:dyDescent="0.35">
      <c r="A217" s="2">
        <v>3</v>
      </c>
      <c r="B217" s="15">
        <v>0.63194444444444442</v>
      </c>
      <c r="C217" s="21" t="s">
        <v>131</v>
      </c>
      <c r="Y217" s="16" t="s">
        <v>181</v>
      </c>
      <c r="Z217" s="16" t="s">
        <v>182</v>
      </c>
      <c r="AA217" s="16" t="s">
        <v>183</v>
      </c>
      <c r="AC217" s="16" t="s">
        <v>196</v>
      </c>
      <c r="AD217" s="16" t="s">
        <v>183</v>
      </c>
      <c r="AE217" s="16" t="s">
        <v>183</v>
      </c>
      <c r="AF217" s="5" t="s">
        <v>211</v>
      </c>
      <c r="AG217" s="5" t="s">
        <v>199</v>
      </c>
      <c r="AH217" s="5" t="s">
        <v>183</v>
      </c>
      <c r="AI217" s="5" t="s">
        <v>222</v>
      </c>
      <c r="AJ217" s="5" t="s">
        <v>204</v>
      </c>
    </row>
    <row r="218" spans="1:36" x14ac:dyDescent="0.35">
      <c r="A218" s="2">
        <v>3</v>
      </c>
      <c r="B218" s="15">
        <v>0.62013888888888891</v>
      </c>
      <c r="C218" s="21" t="s">
        <v>131</v>
      </c>
      <c r="Y218" s="16" t="s">
        <v>224</v>
      </c>
      <c r="Z218" s="16" t="s">
        <v>206</v>
      </c>
      <c r="AA218" s="16" t="s">
        <v>202</v>
      </c>
      <c r="AC218" s="16" t="s">
        <v>184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0.60763888888888884</v>
      </c>
      <c r="C219" s="21" t="s">
        <v>131</v>
      </c>
      <c r="Y219" s="16" t="s">
        <v>196</v>
      </c>
      <c r="Z219" s="16" t="s">
        <v>200</v>
      </c>
      <c r="AA219" s="16" t="s">
        <v>212</v>
      </c>
      <c r="AB219" s="16" t="s">
        <v>183</v>
      </c>
      <c r="AC219" s="16" t="s">
        <v>184</v>
      </c>
      <c r="AD219" s="16" t="s">
        <v>183</v>
      </c>
      <c r="AE219" s="16" t="s">
        <v>183</v>
      </c>
      <c r="AF219" s="5" t="s">
        <v>212</v>
      </c>
      <c r="AG219" s="5" t="s">
        <v>199</v>
      </c>
      <c r="AH219" s="5" t="s">
        <v>183</v>
      </c>
      <c r="AI219" s="5" t="s">
        <v>211</v>
      </c>
      <c r="AJ219" s="5" t="s">
        <v>204</v>
      </c>
    </row>
    <row r="220" spans="1:36" x14ac:dyDescent="0.35">
      <c r="A220" s="2">
        <v>3</v>
      </c>
      <c r="B220" s="15">
        <v>0.59305555555555556</v>
      </c>
      <c r="C220" s="21" t="s">
        <v>131</v>
      </c>
      <c r="Y220" s="16" t="s">
        <v>224</v>
      </c>
      <c r="Z220" s="16" t="s">
        <v>200</v>
      </c>
      <c r="AA220" s="16" t="s">
        <v>211</v>
      </c>
      <c r="AC220" s="16" t="s">
        <v>165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0.58611111111111114</v>
      </c>
      <c r="C221" s="21" t="s">
        <v>131</v>
      </c>
      <c r="Y221" s="16" t="s">
        <v>196</v>
      </c>
      <c r="Z221" s="16" t="s">
        <v>189</v>
      </c>
      <c r="AA221" s="16" t="s">
        <v>205</v>
      </c>
      <c r="AB221" s="16" t="s">
        <v>183</v>
      </c>
      <c r="AC221" s="16" t="s">
        <v>165</v>
      </c>
      <c r="AD221" s="16" t="s">
        <v>183</v>
      </c>
      <c r="AE221" s="16" t="s">
        <v>183</v>
      </c>
      <c r="AF221" s="5" t="s">
        <v>205</v>
      </c>
      <c r="AG221" s="5" t="s">
        <v>199</v>
      </c>
      <c r="AH221" s="5" t="s">
        <v>215</v>
      </c>
      <c r="AI221" s="5" t="s">
        <v>214</v>
      </c>
      <c r="AJ221" s="5" t="s">
        <v>204</v>
      </c>
    </row>
    <row r="222" spans="1:36" x14ac:dyDescent="0.35">
      <c r="A222" s="2">
        <v>3</v>
      </c>
      <c r="B222" s="15">
        <v>0.5625</v>
      </c>
      <c r="C222" s="21" t="s">
        <v>131</v>
      </c>
      <c r="Y222" s="16" t="s">
        <v>196</v>
      </c>
      <c r="Z222" s="16" t="s">
        <v>213</v>
      </c>
      <c r="AA222" s="16" t="s">
        <v>205</v>
      </c>
      <c r="AB222" s="16" t="s">
        <v>183</v>
      </c>
      <c r="AC222" s="16" t="s">
        <v>165</v>
      </c>
      <c r="AD222" s="16" t="s">
        <v>183</v>
      </c>
      <c r="AE222" s="16" t="s">
        <v>134</v>
      </c>
      <c r="AF222" s="5" t="s">
        <v>223</v>
      </c>
      <c r="AG222" s="5" t="s">
        <v>195</v>
      </c>
    </row>
    <row r="223" spans="1:36" x14ac:dyDescent="0.35">
      <c r="A223" s="2">
        <v>3</v>
      </c>
      <c r="B223" s="15">
        <v>0.55069444444444449</v>
      </c>
      <c r="C223" s="21" t="s">
        <v>131</v>
      </c>
      <c r="Y223" s="16" t="s">
        <v>181</v>
      </c>
      <c r="Z223" s="16" t="s">
        <v>188</v>
      </c>
      <c r="AA223" s="16" t="s">
        <v>183</v>
      </c>
      <c r="AC223" s="16" t="s">
        <v>184</v>
      </c>
      <c r="AD223" s="16" t="s">
        <v>201</v>
      </c>
      <c r="AE223" s="16" t="s">
        <v>183</v>
      </c>
      <c r="AF223" s="5" t="s">
        <v>229</v>
      </c>
      <c r="AG223" s="5" t="s">
        <v>199</v>
      </c>
      <c r="AH223" s="5" t="s">
        <v>183</v>
      </c>
      <c r="AI223" s="5" t="s">
        <v>203</v>
      </c>
      <c r="AJ223" s="5" t="s">
        <v>204</v>
      </c>
    </row>
    <row r="224" spans="1:36" x14ac:dyDescent="0.35">
      <c r="A224" s="2">
        <v>3</v>
      </c>
      <c r="B224" s="15">
        <v>0.51666666666666672</v>
      </c>
      <c r="C224" s="21" t="s">
        <v>131</v>
      </c>
      <c r="Y224" s="16" t="s">
        <v>181</v>
      </c>
      <c r="Z224" s="16" t="s">
        <v>197</v>
      </c>
      <c r="AA224" s="16" t="s">
        <v>198</v>
      </c>
      <c r="AC224" s="16" t="s">
        <v>184</v>
      </c>
      <c r="AD224" s="16" t="s">
        <v>183</v>
      </c>
      <c r="AE224" s="16" t="s">
        <v>183</v>
      </c>
      <c r="AF224" s="5" t="s">
        <v>219</v>
      </c>
      <c r="AG224" s="5" t="s">
        <v>199</v>
      </c>
      <c r="AH224" s="5" t="s">
        <v>183</v>
      </c>
      <c r="AI224" s="5" t="s">
        <v>190</v>
      </c>
      <c r="AJ224" s="5" t="s">
        <v>195</v>
      </c>
    </row>
    <row r="225" spans="1:36" x14ac:dyDescent="0.35">
      <c r="A225" s="2">
        <v>3</v>
      </c>
      <c r="B225" s="15">
        <v>0.50902777777777775</v>
      </c>
      <c r="C225" s="21" t="s">
        <v>131</v>
      </c>
      <c r="Y225" s="16" t="s">
        <v>196</v>
      </c>
      <c r="Z225" s="16" t="s">
        <v>185</v>
      </c>
      <c r="AA225" s="16" t="s">
        <v>211</v>
      </c>
      <c r="AB225" s="16" t="s">
        <v>183</v>
      </c>
      <c r="AC225" s="16" t="s">
        <v>184</v>
      </c>
      <c r="AD225" s="16" t="s">
        <v>183</v>
      </c>
      <c r="AE225" s="16" t="s">
        <v>183</v>
      </c>
      <c r="AF225" s="5" t="s">
        <v>220</v>
      </c>
      <c r="AG225" s="5" t="s">
        <v>199</v>
      </c>
      <c r="AH225" s="5" t="s">
        <v>183</v>
      </c>
      <c r="AI225" s="5" t="s">
        <v>229</v>
      </c>
      <c r="AJ225" s="5" t="s">
        <v>221</v>
      </c>
    </row>
    <row r="226" spans="1:36" x14ac:dyDescent="0.35">
      <c r="A226" s="2">
        <v>3</v>
      </c>
      <c r="B226" s="15">
        <v>0.50208333333333333</v>
      </c>
      <c r="C226" s="21" t="s">
        <v>131</v>
      </c>
      <c r="Y226" s="16" t="s">
        <v>196</v>
      </c>
      <c r="Z226" s="16" t="s">
        <v>229</v>
      </c>
      <c r="AA226" s="16" t="s">
        <v>188</v>
      </c>
      <c r="AB226" s="16" t="s">
        <v>183</v>
      </c>
      <c r="AC226" s="16" t="s">
        <v>184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0.49375000000000002</v>
      </c>
      <c r="C227" s="21" t="s">
        <v>131</v>
      </c>
      <c r="AF227" s="5" t="s">
        <v>227</v>
      </c>
      <c r="AG227" s="5" t="s">
        <v>199</v>
      </c>
      <c r="AH227" s="5" t="s">
        <v>183</v>
      </c>
      <c r="AI227" s="5" t="s">
        <v>200</v>
      </c>
      <c r="AJ227" s="5" t="s">
        <v>204</v>
      </c>
    </row>
    <row r="228" spans="1:36" x14ac:dyDescent="0.35">
      <c r="A228" s="2">
        <v>3</v>
      </c>
      <c r="B228" s="15">
        <v>0.48888888888888887</v>
      </c>
      <c r="C228" s="21" t="s">
        <v>131</v>
      </c>
      <c r="Y228" s="16" t="s">
        <v>181</v>
      </c>
      <c r="Z228" s="16" t="s">
        <v>201</v>
      </c>
      <c r="AA228" s="16" t="s">
        <v>191</v>
      </c>
      <c r="AC228" s="16" t="s">
        <v>184</v>
      </c>
      <c r="AD228" s="16" t="s">
        <v>183</v>
      </c>
      <c r="AE228" s="16" t="s">
        <v>183</v>
      </c>
      <c r="AF228" s="5" t="s">
        <v>186</v>
      </c>
      <c r="AG228" s="5" t="s">
        <v>192</v>
      </c>
    </row>
    <row r="229" spans="1:36" x14ac:dyDescent="0.35">
      <c r="A229" s="2">
        <v>3</v>
      </c>
      <c r="B229" s="15">
        <v>0.48055555555555557</v>
      </c>
      <c r="C229" s="21" t="s">
        <v>131</v>
      </c>
      <c r="AF229" s="5" t="s">
        <v>222</v>
      </c>
      <c r="AG229" s="5" t="s">
        <v>221</v>
      </c>
    </row>
    <row r="230" spans="1:36" x14ac:dyDescent="0.35">
      <c r="A230" s="2">
        <v>3</v>
      </c>
      <c r="B230" s="15">
        <v>0.47847222222222224</v>
      </c>
      <c r="C230" s="21" t="s">
        <v>131</v>
      </c>
      <c r="Y230" s="16" t="s">
        <v>196</v>
      </c>
      <c r="Z230" s="16" t="s">
        <v>222</v>
      </c>
      <c r="AA230" s="16" t="s">
        <v>227</v>
      </c>
      <c r="AB230" s="16" t="s">
        <v>134</v>
      </c>
      <c r="AC230" s="16" t="s">
        <v>184</v>
      </c>
      <c r="AD230" s="16" t="s">
        <v>183</v>
      </c>
      <c r="AE230" s="16" t="s">
        <v>134</v>
      </c>
    </row>
    <row r="231" spans="1:36" x14ac:dyDescent="0.35">
      <c r="A231" s="2">
        <v>3</v>
      </c>
      <c r="B231" s="15">
        <v>0.45902777777777776</v>
      </c>
      <c r="C231" s="21" t="s">
        <v>131</v>
      </c>
      <c r="AF231" s="5" t="s">
        <v>206</v>
      </c>
      <c r="AG231" s="5" t="s">
        <v>194</v>
      </c>
    </row>
    <row r="232" spans="1:36" x14ac:dyDescent="0.35">
      <c r="A232" s="2">
        <v>3</v>
      </c>
      <c r="B232" s="15">
        <v>0.46111111111111114</v>
      </c>
      <c r="C232" s="21" t="s">
        <v>131</v>
      </c>
      <c r="AF232" s="5" t="s">
        <v>203</v>
      </c>
      <c r="AG232" s="5" t="s">
        <v>199</v>
      </c>
      <c r="AH232" s="5" t="s">
        <v>210</v>
      </c>
      <c r="AI232" s="5" t="s">
        <v>213</v>
      </c>
      <c r="AJ232" s="5" t="s">
        <v>192</v>
      </c>
    </row>
    <row r="233" spans="1:36" x14ac:dyDescent="0.35">
      <c r="A233" s="2">
        <v>3</v>
      </c>
      <c r="B233" s="15">
        <v>0.45069444444444445</v>
      </c>
      <c r="C233" s="21" t="s">
        <v>131</v>
      </c>
      <c r="AF233" s="5" t="s">
        <v>211</v>
      </c>
      <c r="AG233" s="5" t="s">
        <v>194</v>
      </c>
    </row>
    <row r="234" spans="1:36" x14ac:dyDescent="0.35">
      <c r="A234" s="2">
        <v>3</v>
      </c>
      <c r="B234" s="15">
        <v>0.4375</v>
      </c>
      <c r="C234" s="21" t="s">
        <v>131</v>
      </c>
      <c r="AF234" s="5" t="s">
        <v>211</v>
      </c>
      <c r="AG234" s="5" t="s">
        <v>204</v>
      </c>
    </row>
    <row r="235" spans="1:36" x14ac:dyDescent="0.35">
      <c r="A235" s="2">
        <v>3</v>
      </c>
      <c r="B235" s="15">
        <v>0.43402777777777779</v>
      </c>
      <c r="C235" s="21" t="s">
        <v>131</v>
      </c>
      <c r="Y235" s="16" t="s">
        <v>224</v>
      </c>
      <c r="Z235" s="16" t="s">
        <v>214</v>
      </c>
      <c r="AA235" s="16" t="s">
        <v>211</v>
      </c>
      <c r="AC235" s="16" t="s">
        <v>196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0.42986111111111114</v>
      </c>
      <c r="C236" s="21" t="s">
        <v>131</v>
      </c>
      <c r="Y236" s="16" t="s">
        <v>181</v>
      </c>
      <c r="Z236" s="16" t="s">
        <v>230</v>
      </c>
      <c r="AA236" s="16" t="s">
        <v>183</v>
      </c>
      <c r="AC236" s="16" t="s">
        <v>165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0.40902777777777777</v>
      </c>
      <c r="C237" s="21" t="s">
        <v>131</v>
      </c>
      <c r="AF237" s="5" t="s">
        <v>198</v>
      </c>
      <c r="AG237" s="5" t="s">
        <v>195</v>
      </c>
    </row>
    <row r="238" spans="1:36" x14ac:dyDescent="0.35">
      <c r="A238" s="2">
        <v>3</v>
      </c>
      <c r="B238" s="15">
        <v>0.40555555555555556</v>
      </c>
      <c r="C238" s="21" t="s">
        <v>131</v>
      </c>
      <c r="Y238" s="16" t="s">
        <v>181</v>
      </c>
      <c r="Z238" s="16" t="s">
        <v>216</v>
      </c>
      <c r="AA238" s="16" t="s">
        <v>202</v>
      </c>
      <c r="AC238" s="16" t="s">
        <v>184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0.39583333333333331</v>
      </c>
      <c r="C239" s="21" t="s">
        <v>131</v>
      </c>
      <c r="Y239" s="16" t="s">
        <v>181</v>
      </c>
      <c r="Z239" s="16" t="s">
        <v>203</v>
      </c>
      <c r="AA239" s="16" t="s">
        <v>183</v>
      </c>
      <c r="AC239" s="16" t="s">
        <v>184</v>
      </c>
      <c r="AD239" s="16" t="s">
        <v>183</v>
      </c>
      <c r="AE239" s="16" t="s">
        <v>183</v>
      </c>
      <c r="AF239" s="5" t="s">
        <v>205</v>
      </c>
      <c r="AG239" s="5" t="s">
        <v>199</v>
      </c>
      <c r="AH239" s="5" t="s">
        <v>183</v>
      </c>
      <c r="AI239" s="5" t="s">
        <v>227</v>
      </c>
      <c r="AJ239" s="5" t="s">
        <v>192</v>
      </c>
    </row>
    <row r="240" spans="1:36" x14ac:dyDescent="0.35">
      <c r="A240" s="2">
        <v>3</v>
      </c>
      <c r="B240" s="15">
        <v>0.38055555555555554</v>
      </c>
      <c r="C240" s="21" t="s">
        <v>131</v>
      </c>
      <c r="Y240" s="16" t="s">
        <v>196</v>
      </c>
      <c r="Z240" s="16" t="s">
        <v>201</v>
      </c>
      <c r="AA240" s="16" t="s">
        <v>203</v>
      </c>
      <c r="AB240" s="16" t="s">
        <v>183</v>
      </c>
      <c r="AC240" s="16" t="s">
        <v>196</v>
      </c>
      <c r="AD240" s="16" t="s">
        <v>183</v>
      </c>
      <c r="AE240" s="16" t="s">
        <v>183</v>
      </c>
      <c r="AF240" s="5" t="s">
        <v>202</v>
      </c>
      <c r="AG240" s="5" t="s">
        <v>187</v>
      </c>
      <c r="AH240" s="5" t="s">
        <v>201</v>
      </c>
    </row>
    <row r="241" spans="1:36" x14ac:dyDescent="0.35">
      <c r="A241" s="2">
        <v>3</v>
      </c>
      <c r="B241" s="15">
        <v>0.375</v>
      </c>
      <c r="C241" s="21" t="s">
        <v>131</v>
      </c>
      <c r="AF241" s="5" t="s">
        <v>229</v>
      </c>
      <c r="AG241" s="5" t="s">
        <v>221</v>
      </c>
    </row>
    <row r="242" spans="1:36" x14ac:dyDescent="0.35">
      <c r="A242" s="2">
        <v>3</v>
      </c>
      <c r="B242" s="15">
        <v>0.37152777777777779</v>
      </c>
      <c r="C242" s="21" t="s">
        <v>131</v>
      </c>
      <c r="Y242" s="16" t="s">
        <v>181</v>
      </c>
      <c r="Z242" s="16" t="s">
        <v>229</v>
      </c>
      <c r="AA242" s="16" t="s">
        <v>205</v>
      </c>
      <c r="AC242" s="16" t="s">
        <v>165</v>
      </c>
      <c r="AD242" s="16" t="s">
        <v>197</v>
      </c>
      <c r="AE242" s="16" t="s">
        <v>183</v>
      </c>
    </row>
    <row r="243" spans="1:36" x14ac:dyDescent="0.35">
      <c r="A243" s="2">
        <v>3</v>
      </c>
      <c r="B243" s="15">
        <v>0.36388888888888887</v>
      </c>
      <c r="C243" s="21" t="s">
        <v>131</v>
      </c>
      <c r="Y243" s="16" t="s">
        <v>196</v>
      </c>
      <c r="Z243" s="16" t="s">
        <v>200</v>
      </c>
      <c r="AA243" s="16" t="s">
        <v>191</v>
      </c>
      <c r="AB243" s="16" t="s">
        <v>134</v>
      </c>
      <c r="AC243" s="16" t="s">
        <v>184</v>
      </c>
      <c r="AD243" s="16" t="s">
        <v>183</v>
      </c>
      <c r="AE243" s="16" t="s">
        <v>183</v>
      </c>
      <c r="AF243" s="5" t="s">
        <v>191</v>
      </c>
      <c r="AG243" s="5" t="s">
        <v>194</v>
      </c>
    </row>
    <row r="244" spans="1:36" x14ac:dyDescent="0.35">
      <c r="A244" s="2">
        <v>3</v>
      </c>
      <c r="B244" s="15">
        <v>0.34722222222222221</v>
      </c>
      <c r="C244" s="21" t="s">
        <v>131</v>
      </c>
      <c r="Y244" s="16" t="s">
        <v>181</v>
      </c>
      <c r="Z244" s="16" t="s">
        <v>223</v>
      </c>
      <c r="AA244" s="16" t="s">
        <v>183</v>
      </c>
      <c r="AC244" s="16" t="s">
        <v>165</v>
      </c>
      <c r="AD244" s="16" t="s">
        <v>183</v>
      </c>
      <c r="AE244" s="16" t="s">
        <v>183</v>
      </c>
      <c r="AF244" s="5" t="s">
        <v>186</v>
      </c>
      <c r="AG244" s="5" t="s">
        <v>192</v>
      </c>
      <c r="AH244" s="5" t="s">
        <v>201</v>
      </c>
    </row>
    <row r="245" spans="1:36" x14ac:dyDescent="0.35">
      <c r="A245" s="2">
        <v>3</v>
      </c>
      <c r="B245" s="15">
        <v>0.32847222222222222</v>
      </c>
      <c r="C245" s="21" t="s">
        <v>131</v>
      </c>
      <c r="AF245" s="5" t="s">
        <v>211</v>
      </c>
      <c r="AG245" s="5" t="s">
        <v>187</v>
      </c>
      <c r="AH245" s="5" t="s">
        <v>206</v>
      </c>
    </row>
    <row r="246" spans="1:36" x14ac:dyDescent="0.35">
      <c r="A246" s="2">
        <v>3</v>
      </c>
      <c r="B246" s="15">
        <v>0.31736111111111109</v>
      </c>
      <c r="C246" s="21" t="s">
        <v>131</v>
      </c>
      <c r="AF246" s="5" t="s">
        <v>212</v>
      </c>
      <c r="AG246" s="5" t="s">
        <v>192</v>
      </c>
      <c r="AH246" s="5" t="s">
        <v>210</v>
      </c>
    </row>
    <row r="247" spans="1:36" x14ac:dyDescent="0.35">
      <c r="A247" s="2">
        <v>3</v>
      </c>
      <c r="B247" s="15">
        <v>0.29236111111111113</v>
      </c>
      <c r="C247" s="21" t="s">
        <v>131</v>
      </c>
      <c r="Y247" s="16" t="s">
        <v>181</v>
      </c>
      <c r="Z247" s="16" t="s">
        <v>211</v>
      </c>
      <c r="AA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198</v>
      </c>
      <c r="AG247" s="5" t="s">
        <v>199</v>
      </c>
      <c r="AH247" s="5" t="s">
        <v>222</v>
      </c>
      <c r="AI247" s="5" t="s">
        <v>185</v>
      </c>
      <c r="AJ247" s="5" t="s">
        <v>204</v>
      </c>
    </row>
    <row r="248" spans="1:36" x14ac:dyDescent="0.35">
      <c r="A248" s="2">
        <v>3</v>
      </c>
      <c r="B248" s="15">
        <v>0.27777777777777779</v>
      </c>
      <c r="C248" s="21" t="s">
        <v>131</v>
      </c>
      <c r="AF248" s="5" t="s">
        <v>202</v>
      </c>
      <c r="AG248" s="5" t="s">
        <v>199</v>
      </c>
      <c r="AH248" s="5" t="s">
        <v>185</v>
      </c>
      <c r="AI248" s="5" t="s">
        <v>203</v>
      </c>
      <c r="AJ248" s="5" t="s">
        <v>204</v>
      </c>
    </row>
    <row r="249" spans="1:36" x14ac:dyDescent="0.35">
      <c r="A249" s="2">
        <v>3</v>
      </c>
      <c r="B249" s="15">
        <v>0.27083333333333331</v>
      </c>
      <c r="C249" s="21" t="s">
        <v>131</v>
      </c>
      <c r="Y249" s="16" t="s">
        <v>196</v>
      </c>
      <c r="Z249" s="16" t="s">
        <v>188</v>
      </c>
      <c r="AA249" s="16" t="s">
        <v>202</v>
      </c>
      <c r="AB249" s="16" t="s">
        <v>183</v>
      </c>
      <c r="AC249" s="16" t="s">
        <v>184</v>
      </c>
      <c r="AD249" s="16" t="s">
        <v>183</v>
      </c>
      <c r="AE249" s="16" t="s">
        <v>183</v>
      </c>
      <c r="AF249" s="5" t="s">
        <v>228</v>
      </c>
      <c r="AG249" s="5" t="s">
        <v>195</v>
      </c>
    </row>
    <row r="250" spans="1:36" x14ac:dyDescent="0.35">
      <c r="A250" s="2">
        <v>3</v>
      </c>
      <c r="B250" s="15">
        <v>0.2638888888888889</v>
      </c>
      <c r="C250" s="21" t="s">
        <v>131</v>
      </c>
      <c r="Y250" s="16" t="s">
        <v>196</v>
      </c>
      <c r="Z250" s="16" t="s">
        <v>208</v>
      </c>
      <c r="AA250" s="16" t="s">
        <v>198</v>
      </c>
      <c r="AB250" s="16" t="s">
        <v>183</v>
      </c>
      <c r="AC250" s="16" t="s">
        <v>184</v>
      </c>
      <c r="AD250" s="16" t="s">
        <v>183</v>
      </c>
      <c r="AE250" s="16" t="s">
        <v>134</v>
      </c>
      <c r="AF250" s="5" t="s">
        <v>185</v>
      </c>
      <c r="AG250" s="5" t="s">
        <v>199</v>
      </c>
      <c r="AH250" s="5" t="s">
        <v>222</v>
      </c>
      <c r="AI250" s="5" t="s">
        <v>188</v>
      </c>
      <c r="AJ250" s="5" t="s">
        <v>192</v>
      </c>
    </row>
    <row r="251" spans="1:36" x14ac:dyDescent="0.35">
      <c r="A251" s="2">
        <v>3</v>
      </c>
      <c r="B251" s="15">
        <v>0.24097222222222223</v>
      </c>
      <c r="C251" s="21" t="s">
        <v>166</v>
      </c>
      <c r="Y251" s="16" t="s">
        <v>196</v>
      </c>
      <c r="Z251" s="16" t="s">
        <v>190</v>
      </c>
      <c r="AA251" s="16" t="s">
        <v>183</v>
      </c>
      <c r="AB251" s="16" t="s">
        <v>183</v>
      </c>
      <c r="AC251" s="16" t="s">
        <v>165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0.22430555555555556</v>
      </c>
      <c r="C252" s="21" t="s">
        <v>161</v>
      </c>
      <c r="Y252" s="16" t="s">
        <v>196</v>
      </c>
      <c r="Z252" s="16" t="s">
        <v>229</v>
      </c>
      <c r="AA252" s="16" t="s">
        <v>188</v>
      </c>
      <c r="AB252" s="16" t="s">
        <v>134</v>
      </c>
      <c r="AC252" s="16" t="s">
        <v>184</v>
      </c>
      <c r="AD252" s="16" t="s">
        <v>183</v>
      </c>
      <c r="AE252" s="16" t="s">
        <v>134</v>
      </c>
    </row>
    <row r="253" spans="1:36" x14ac:dyDescent="0.35">
      <c r="A253" s="2">
        <v>3</v>
      </c>
      <c r="B253" s="15">
        <v>0.15763888888888888</v>
      </c>
      <c r="C253" s="21" t="s">
        <v>131</v>
      </c>
      <c r="Y253" s="16" t="s">
        <v>181</v>
      </c>
      <c r="Z253" s="16" t="s">
        <v>215</v>
      </c>
      <c r="AA253" s="16" t="s">
        <v>182</v>
      </c>
      <c r="AC253" s="16" t="s">
        <v>165</v>
      </c>
      <c r="AD253" s="16" t="s">
        <v>230</v>
      </c>
      <c r="AE253" s="16" t="s">
        <v>134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12" sqref="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145</v>
      </c>
      <c r="D2" s="8" t="s">
        <v>184</v>
      </c>
      <c r="E2" s="8">
        <v>7.9833333333332996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0.52500000000000002</v>
      </c>
      <c r="CK2" s="2">
        <f>(0.075*H2)+(0.07*L2)+(0.055*M2)+(0.055*N2)+(0.095*J2)+(0.09*O2)+(0.05*P2)+(0.05*R2)+(0.05*S2)+(0.05*AB2)</f>
        <v>0.4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0.4</v>
      </c>
    </row>
    <row r="3" spans="1:126" x14ac:dyDescent="0.35">
      <c r="A3" s="8">
        <v>91</v>
      </c>
      <c r="B3" s="8" t="s">
        <v>236</v>
      </c>
      <c r="C3" s="8" t="s">
        <v>145</v>
      </c>
      <c r="D3" s="8" t="s">
        <v>196</v>
      </c>
      <c r="E3" s="8">
        <v>13.65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0.87000000000000022</v>
      </c>
      <c r="CK3" s="2">
        <f t="shared" ref="CK3:CK37" si="7">(0.075*H3)+(0.07*L3)+(0.055*M3)+(0.055*N3)+(0.095*J3)+(0.09*O3)+(0.05*P3)+(0.05*R3)+(0.05*S3)+(0.05*AB3)</f>
        <v>0.69000000000000006</v>
      </c>
      <c r="CL3" s="2">
        <f t="shared" si="2"/>
        <v>4.4999999999999998E-2</v>
      </c>
      <c r="CM3" s="2">
        <f t="shared" ref="CM3" si="8">(0.025*(AY3-AZ3))+(0.035*BA3)-(0.015*BB3)-(0.015*BC3)+(0.015*(AY3-(BD3+BC3)))</f>
        <v>0.04</v>
      </c>
      <c r="CN3" s="2">
        <f t="shared" si="3"/>
        <v>0.06</v>
      </c>
      <c r="CO3" s="2">
        <f t="shared" si="4"/>
        <v>0</v>
      </c>
      <c r="CP3" s="2">
        <f t="shared" si="5"/>
        <v>3.5000000000000003E-2</v>
      </c>
      <c r="CQ3" s="2">
        <f t="shared" si="6"/>
        <v>0.83500000000000019</v>
      </c>
    </row>
    <row r="4" spans="1:126" x14ac:dyDescent="0.35">
      <c r="A4" s="8">
        <v>6</v>
      </c>
      <c r="B4" s="8" t="s">
        <v>237</v>
      </c>
      <c r="C4" s="8" t="s">
        <v>145</v>
      </c>
      <c r="D4" s="8" t="s">
        <v>181</v>
      </c>
      <c r="E4" s="8">
        <v>13.066666666667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7.4999999999999997E-2</v>
      </c>
      <c r="CN4" s="2">
        <f t="shared" si="3"/>
        <v>0.11000000000000001</v>
      </c>
      <c r="CO4" s="2">
        <f t="shared" si="4"/>
        <v>0</v>
      </c>
      <c r="CP4" s="2">
        <f t="shared" si="5"/>
        <v>0</v>
      </c>
      <c r="CQ4" s="2">
        <f t="shared" si="6"/>
        <v>0.26</v>
      </c>
    </row>
    <row r="5" spans="1:126" x14ac:dyDescent="0.35">
      <c r="A5" s="8">
        <v>19</v>
      </c>
      <c r="B5" s="8" t="s">
        <v>238</v>
      </c>
      <c r="C5" s="8" t="s">
        <v>145</v>
      </c>
      <c r="D5" s="8" t="s">
        <v>196</v>
      </c>
      <c r="E5" s="8">
        <v>7.3166666666667002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</v>
      </c>
      <c r="CK5" s="2">
        <f t="shared" si="7"/>
        <v>0.23500000000000001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2.5000000000000001E-2</v>
      </c>
      <c r="CO5" s="2">
        <f t="shared" si="4"/>
        <v>0.03</v>
      </c>
      <c r="CP5" s="2">
        <f t="shared" si="5"/>
        <v>0</v>
      </c>
      <c r="CQ5" s="2">
        <f t="shared" si="6"/>
        <v>0.39</v>
      </c>
    </row>
    <row r="6" spans="1:126" x14ac:dyDescent="0.35">
      <c r="A6" s="8">
        <v>2</v>
      </c>
      <c r="B6" s="8" t="s">
        <v>239</v>
      </c>
      <c r="C6" s="8" t="s">
        <v>145</v>
      </c>
      <c r="D6" s="8" t="s">
        <v>181</v>
      </c>
      <c r="E6" s="8">
        <v>16.633333333332999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5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-2.0000000000000018E-2</v>
      </c>
      <c r="CK6" s="2">
        <f t="shared" si="7"/>
        <v>5.5E-2</v>
      </c>
      <c r="CL6" s="2">
        <f t="shared" si="2"/>
        <v>4.4999999999999998E-2</v>
      </c>
      <c r="CM6" s="2">
        <f t="shared" si="9"/>
        <v>0.125</v>
      </c>
      <c r="CN6" s="2">
        <f t="shared" si="3"/>
        <v>-0.24500000000000002</v>
      </c>
      <c r="CO6" s="2">
        <f t="shared" si="4"/>
        <v>0</v>
      </c>
      <c r="CP6" s="2">
        <f t="shared" si="5"/>
        <v>0</v>
      </c>
      <c r="CQ6" s="2">
        <f t="shared" si="6"/>
        <v>-2.0000000000000018E-2</v>
      </c>
    </row>
    <row r="7" spans="1:126" x14ac:dyDescent="0.35">
      <c r="A7" s="8">
        <v>54</v>
      </c>
      <c r="B7" s="8" t="s">
        <v>240</v>
      </c>
      <c r="C7" s="8" t="s">
        <v>145</v>
      </c>
      <c r="D7" s="8" t="s">
        <v>181</v>
      </c>
      <c r="E7" s="8">
        <v>20.5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5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4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</v>
      </c>
      <c r="CK7" s="2">
        <f t="shared" si="7"/>
        <v>0.55500000000000005</v>
      </c>
      <c r="CL7" s="2">
        <f t="shared" si="2"/>
        <v>0.1</v>
      </c>
      <c r="CM7" s="2">
        <f t="shared" si="9"/>
        <v>1.9999999999999997E-2</v>
      </c>
      <c r="CN7" s="2">
        <f t="shared" si="3"/>
        <v>-0.23000000000000004</v>
      </c>
      <c r="CO7" s="2">
        <f t="shared" si="4"/>
        <v>1.4999999999999999E-2</v>
      </c>
      <c r="CP7" s="2">
        <f t="shared" si="5"/>
        <v>0</v>
      </c>
      <c r="CQ7" s="2">
        <f t="shared" si="6"/>
        <v>0.46</v>
      </c>
    </row>
    <row r="8" spans="1:126" x14ac:dyDescent="0.35">
      <c r="A8" s="8">
        <v>13</v>
      </c>
      <c r="B8" s="8" t="s">
        <v>241</v>
      </c>
      <c r="C8" s="8" t="s">
        <v>145</v>
      </c>
      <c r="D8" s="8" t="s">
        <v>196</v>
      </c>
      <c r="E8" s="8">
        <v>13.8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0.64500000000000002</v>
      </c>
      <c r="CK8" s="2">
        <f t="shared" si="7"/>
        <v>0.24000000000000002</v>
      </c>
      <c r="CL8" s="2">
        <f t="shared" si="2"/>
        <v>0.13500000000000001</v>
      </c>
      <c r="CM8" s="2">
        <f t="shared" si="9"/>
        <v>0</v>
      </c>
      <c r="CN8" s="2">
        <f t="shared" si="3"/>
        <v>0.24000000000000002</v>
      </c>
      <c r="CO8" s="2">
        <f t="shared" si="4"/>
        <v>0.03</v>
      </c>
      <c r="CP8" s="2">
        <f t="shared" si="5"/>
        <v>0</v>
      </c>
      <c r="CQ8" s="2">
        <f t="shared" si="6"/>
        <v>0.64500000000000002</v>
      </c>
    </row>
    <row r="9" spans="1:126" x14ac:dyDescent="0.35">
      <c r="A9" s="8">
        <v>44</v>
      </c>
      <c r="B9" s="8" t="s">
        <v>242</v>
      </c>
      <c r="C9" s="8" t="s">
        <v>145</v>
      </c>
      <c r="D9" s="8" t="s">
        <v>181</v>
      </c>
      <c r="E9" s="8">
        <v>18.8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0.60000000000000009</v>
      </c>
      <c r="CK9" s="2">
        <f t="shared" si="7"/>
        <v>0.36499999999999999</v>
      </c>
      <c r="CL9" s="2">
        <f t="shared" si="2"/>
        <v>5.5E-2</v>
      </c>
      <c r="CM9" s="2">
        <f t="shared" si="9"/>
        <v>7.4999999999999997E-2</v>
      </c>
      <c r="CN9" s="2">
        <f t="shared" si="3"/>
        <v>0.05</v>
      </c>
      <c r="CO9" s="2">
        <f t="shared" si="4"/>
        <v>0</v>
      </c>
      <c r="CP9" s="2">
        <f t="shared" si="5"/>
        <v>5.5E-2</v>
      </c>
      <c r="CQ9" s="2">
        <f t="shared" si="6"/>
        <v>0.54500000000000004</v>
      </c>
    </row>
    <row r="10" spans="1:126" x14ac:dyDescent="0.35">
      <c r="A10" s="8">
        <v>81</v>
      </c>
      <c r="B10" s="8" t="s">
        <v>243</v>
      </c>
      <c r="C10" s="8" t="s">
        <v>145</v>
      </c>
      <c r="D10" s="8" t="s">
        <v>184</v>
      </c>
      <c r="E10" s="8">
        <v>16.766666666667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0.45</v>
      </c>
      <c r="CK10" s="2">
        <f t="shared" si="7"/>
        <v>0.21000000000000002</v>
      </c>
      <c r="CL10" s="2">
        <f t="shared" si="2"/>
        <v>0.1</v>
      </c>
      <c r="CM10" s="2">
        <f t="shared" si="9"/>
        <v>0</v>
      </c>
      <c r="CN10" s="2">
        <f t="shared" si="3"/>
        <v>9.5000000000000001E-2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0.45</v>
      </c>
    </row>
    <row r="11" spans="1:126" x14ac:dyDescent="0.35">
      <c r="A11" s="8">
        <v>64</v>
      </c>
      <c r="B11" s="8" t="s">
        <v>244</v>
      </c>
      <c r="C11" s="8" t="s">
        <v>145</v>
      </c>
      <c r="D11" s="8" t="s">
        <v>181</v>
      </c>
      <c r="E11" s="8">
        <v>13.933333333333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0.20499999999999996</v>
      </c>
      <c r="CK11" s="2">
        <f t="shared" si="7"/>
        <v>7.4999999999999997E-2</v>
      </c>
      <c r="CL11" s="2">
        <f t="shared" si="2"/>
        <v>0</v>
      </c>
      <c r="CM11" s="2">
        <f t="shared" si="9"/>
        <v>0.16</v>
      </c>
      <c r="CN11" s="2">
        <f t="shared" si="3"/>
        <v>-4.5000000000000005E-2</v>
      </c>
      <c r="CO11" s="2">
        <f t="shared" si="4"/>
        <v>1.4999999999999999E-2</v>
      </c>
      <c r="CP11" s="2">
        <f t="shared" si="5"/>
        <v>0</v>
      </c>
      <c r="CQ11" s="2">
        <f t="shared" si="6"/>
        <v>0.20499999999999996</v>
      </c>
    </row>
    <row r="12" spans="1:126" x14ac:dyDescent="0.35">
      <c r="A12" s="8">
        <v>55</v>
      </c>
      <c r="B12" s="8" t="s">
        <v>245</v>
      </c>
      <c r="C12" s="8" t="s">
        <v>145</v>
      </c>
      <c r="D12" s="8" t="s">
        <v>196</v>
      </c>
      <c r="E12" s="8">
        <v>17.466666666666999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</v>
      </c>
      <c r="CK12" s="2">
        <f t="shared" si="7"/>
        <v>0.41499999999999998</v>
      </c>
      <c r="CL12" s="2">
        <f t="shared" si="2"/>
        <v>0.18</v>
      </c>
      <c r="CM12" s="2">
        <f t="shared" si="9"/>
        <v>0</v>
      </c>
      <c r="CN12" s="2">
        <f t="shared" si="3"/>
        <v>0.18000000000000002</v>
      </c>
      <c r="CO12" s="2">
        <f t="shared" si="4"/>
        <v>0</v>
      </c>
      <c r="CP12" s="2">
        <f t="shared" si="5"/>
        <v>0.125</v>
      </c>
      <c r="CQ12" s="2">
        <f t="shared" si="6"/>
        <v>0.77500000000000002</v>
      </c>
    </row>
    <row r="13" spans="1:126" x14ac:dyDescent="0.35">
      <c r="A13" s="8">
        <v>22</v>
      </c>
      <c r="B13" s="8" t="s">
        <v>246</v>
      </c>
      <c r="C13" s="8" t="s">
        <v>145</v>
      </c>
      <c r="D13" s="8" t="s">
        <v>196</v>
      </c>
      <c r="E13" s="8">
        <v>15.083333333333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</v>
      </c>
      <c r="CK13" s="2">
        <f t="shared" si="7"/>
        <v>0.16999999999999998</v>
      </c>
      <c r="CL13" s="2">
        <f t="shared" si="2"/>
        <v>4.5000000000000012E-2</v>
      </c>
      <c r="CM13" s="2">
        <f t="shared" si="9"/>
        <v>0</v>
      </c>
      <c r="CN13" s="2">
        <f t="shared" si="3"/>
        <v>-7.0000000000000007E-2</v>
      </c>
      <c r="CO13" s="2">
        <f t="shared" si="4"/>
        <v>0.06</v>
      </c>
      <c r="CP13" s="2">
        <f t="shared" si="5"/>
        <v>3.5000000000000003E-2</v>
      </c>
      <c r="CQ13" s="2">
        <f t="shared" si="6"/>
        <v>0.20499999999999999</v>
      </c>
    </row>
    <row r="14" spans="1:126" x14ac:dyDescent="0.35">
      <c r="A14" s="8">
        <v>4</v>
      </c>
      <c r="B14" s="8" t="s">
        <v>247</v>
      </c>
      <c r="C14" s="8" t="s">
        <v>145</v>
      </c>
      <c r="D14" s="8" t="s">
        <v>181</v>
      </c>
      <c r="E14" s="8">
        <v>19.783333333333001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0.24999999999999997</v>
      </c>
      <c r="CK14" s="2">
        <f t="shared" si="7"/>
        <v>5.5E-2</v>
      </c>
      <c r="CL14" s="2">
        <f t="shared" si="2"/>
        <v>3.5000000000000003E-2</v>
      </c>
      <c r="CM14" s="2">
        <f t="shared" si="9"/>
        <v>7.4999999999999997E-2</v>
      </c>
      <c r="CN14" s="2">
        <f t="shared" si="3"/>
        <v>0.03</v>
      </c>
      <c r="CO14" s="2">
        <f t="shared" si="4"/>
        <v>0</v>
      </c>
      <c r="CP14" s="2">
        <f t="shared" si="5"/>
        <v>5.5E-2</v>
      </c>
      <c r="CQ14" s="2">
        <f t="shared" si="6"/>
        <v>0.19499999999999998</v>
      </c>
    </row>
    <row r="15" spans="1:126" x14ac:dyDescent="0.35">
      <c r="A15" s="8">
        <v>27</v>
      </c>
      <c r="B15" s="8" t="s">
        <v>248</v>
      </c>
      <c r="C15" s="8" t="s">
        <v>145</v>
      </c>
      <c r="D15" s="8" t="s">
        <v>184</v>
      </c>
      <c r="E15" s="8">
        <v>12.85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1.1700000000000002</v>
      </c>
      <c r="CK15" s="2">
        <f t="shared" si="7"/>
        <v>0.67</v>
      </c>
      <c r="CL15" s="2">
        <f t="shared" si="2"/>
        <v>0.23499999999999999</v>
      </c>
      <c r="CM15" s="2">
        <f t="shared" si="9"/>
        <v>0</v>
      </c>
      <c r="CN15" s="2">
        <f t="shared" si="3"/>
        <v>0.12000000000000001</v>
      </c>
      <c r="CO15" s="2">
        <f t="shared" si="4"/>
        <v>0.09</v>
      </c>
      <c r="CP15" s="2">
        <f t="shared" si="5"/>
        <v>5.5E-2</v>
      </c>
      <c r="CQ15" s="2">
        <f t="shared" si="6"/>
        <v>1.1150000000000002</v>
      </c>
    </row>
    <row r="16" spans="1:126" x14ac:dyDescent="0.35">
      <c r="A16" s="8">
        <v>62</v>
      </c>
      <c r="B16" s="8" t="s">
        <v>249</v>
      </c>
      <c r="C16" s="8" t="s">
        <v>145</v>
      </c>
      <c r="D16" s="8" t="s">
        <v>165</v>
      </c>
      <c r="E16" s="8">
        <v>15.183333333333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2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1.0900000000000001</v>
      </c>
      <c r="CK16" s="2">
        <f t="shared" si="7"/>
        <v>0.79</v>
      </c>
      <c r="CL16" s="2">
        <f t="shared" si="2"/>
        <v>4.4999999999999998E-2</v>
      </c>
      <c r="CM16" s="2">
        <f t="shared" si="9"/>
        <v>0</v>
      </c>
      <c r="CN16" s="2">
        <f t="shared" si="3"/>
        <v>0.15500000000000003</v>
      </c>
      <c r="CO16" s="2">
        <f t="shared" si="4"/>
        <v>4.4999999999999998E-2</v>
      </c>
      <c r="CP16" s="2">
        <f t="shared" si="5"/>
        <v>5.5E-2</v>
      </c>
      <c r="CQ16" s="2">
        <f t="shared" si="6"/>
        <v>1.0350000000000001</v>
      </c>
    </row>
    <row r="17" spans="1:95" x14ac:dyDescent="0.35">
      <c r="A17" s="8">
        <v>73</v>
      </c>
      <c r="B17" s="8" t="s">
        <v>250</v>
      </c>
      <c r="C17" s="8" t="s">
        <v>145</v>
      </c>
      <c r="D17" s="8" t="s">
        <v>196</v>
      </c>
      <c r="E17" s="8">
        <v>6.8166666666667002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2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0.23500000000000001</v>
      </c>
      <c r="CK17" s="2">
        <f t="shared" si="7"/>
        <v>0.16999999999999998</v>
      </c>
      <c r="CL17" s="2">
        <f t="shared" si="2"/>
        <v>0.1</v>
      </c>
      <c r="CM17" s="2">
        <f t="shared" si="9"/>
        <v>0</v>
      </c>
      <c r="CN17" s="2">
        <f t="shared" si="3"/>
        <v>-3.5000000000000003E-2</v>
      </c>
      <c r="CO17" s="2">
        <f t="shared" si="4"/>
        <v>0</v>
      </c>
      <c r="CP17" s="2">
        <f t="shared" si="5"/>
        <v>0</v>
      </c>
      <c r="CQ17" s="2">
        <f t="shared" si="6"/>
        <v>0.23500000000000001</v>
      </c>
    </row>
    <row r="18" spans="1:95" x14ac:dyDescent="0.35">
      <c r="A18" s="8">
        <v>15</v>
      </c>
      <c r="B18" s="8" t="s">
        <v>251</v>
      </c>
      <c r="C18" s="8" t="s">
        <v>145</v>
      </c>
      <c r="D18" s="8" t="s">
        <v>196</v>
      </c>
      <c r="E18" s="8">
        <v>14.983333333333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</v>
      </c>
      <c r="CK18" s="2">
        <f t="shared" si="7"/>
        <v>0.49000000000000005</v>
      </c>
      <c r="CL18" s="2">
        <f t="shared" si="2"/>
        <v>0.19</v>
      </c>
      <c r="CM18" s="2">
        <f t="shared" si="9"/>
        <v>0</v>
      </c>
      <c r="CN18" s="2">
        <f t="shared" si="3"/>
        <v>-3.5000000000000003E-2</v>
      </c>
      <c r="CO18" s="2">
        <f t="shared" si="4"/>
        <v>1.4999999999999999E-2</v>
      </c>
      <c r="CP18" s="2">
        <f t="shared" si="5"/>
        <v>0</v>
      </c>
      <c r="CQ18" s="2">
        <f t="shared" si="6"/>
        <v>0.66</v>
      </c>
    </row>
    <row r="19" spans="1:95" x14ac:dyDescent="0.35">
      <c r="A19" s="8">
        <v>7</v>
      </c>
      <c r="B19" s="8" t="s">
        <v>252</v>
      </c>
      <c r="C19" s="8" t="s">
        <v>145</v>
      </c>
      <c r="D19" s="8" t="s">
        <v>196</v>
      </c>
      <c r="E19" s="8">
        <v>12.333333333333</v>
      </c>
      <c r="F19" s="8" t="s">
        <v>130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2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1.29</v>
      </c>
      <c r="CK19" s="2">
        <f t="shared" si="7"/>
        <v>1.02</v>
      </c>
      <c r="CL19" s="2">
        <f t="shared" si="2"/>
        <v>0.14499999999999999</v>
      </c>
      <c r="CM19" s="2">
        <f t="shared" si="9"/>
        <v>0</v>
      </c>
      <c r="CN19" s="2">
        <f t="shared" si="3"/>
        <v>6.0000000000000005E-2</v>
      </c>
      <c r="CO19" s="2">
        <f t="shared" si="4"/>
        <v>0.03</v>
      </c>
      <c r="CP19" s="2">
        <f t="shared" si="5"/>
        <v>3.5000000000000003E-2</v>
      </c>
      <c r="CQ19" s="2">
        <f t="shared" si="6"/>
        <v>1.2550000000000001</v>
      </c>
    </row>
    <row r="20" spans="1:95" x14ac:dyDescent="0.35">
      <c r="A20" s="8">
        <v>37</v>
      </c>
      <c r="B20" s="8" t="s">
        <v>253</v>
      </c>
      <c r="C20" s="8" t="s">
        <v>132</v>
      </c>
      <c r="D20" s="8" t="s">
        <v>165</v>
      </c>
      <c r="E20" s="8">
        <v>16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</v>
      </c>
      <c r="CK20" s="2">
        <f t="shared" si="7"/>
        <v>0.22</v>
      </c>
      <c r="CL20" s="2">
        <f t="shared" si="2"/>
        <v>9.0000000000000011E-2</v>
      </c>
      <c r="CM20" s="2">
        <f t="shared" si="9"/>
        <v>0</v>
      </c>
      <c r="CN20" s="2">
        <f t="shared" si="3"/>
        <v>3.5000000000000003E-2</v>
      </c>
      <c r="CO20" s="2">
        <f t="shared" si="4"/>
        <v>0.03</v>
      </c>
      <c r="CP20" s="2">
        <f t="shared" si="5"/>
        <v>0</v>
      </c>
      <c r="CQ20" s="2">
        <f t="shared" si="6"/>
        <v>0.375</v>
      </c>
    </row>
    <row r="21" spans="1:95" x14ac:dyDescent="0.35">
      <c r="A21" s="8">
        <v>8</v>
      </c>
      <c r="B21" s="8" t="s">
        <v>254</v>
      </c>
      <c r="C21" s="8" t="s">
        <v>132</v>
      </c>
      <c r="D21" s="8" t="s">
        <v>181</v>
      </c>
      <c r="E21" s="8">
        <v>13.683333333333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0.31000000000000005</v>
      </c>
      <c r="CK21" s="2">
        <f t="shared" si="7"/>
        <v>0.2</v>
      </c>
      <c r="CL21" s="2">
        <f t="shared" si="2"/>
        <v>0</v>
      </c>
      <c r="CM21" s="2">
        <f t="shared" si="9"/>
        <v>7.4999999999999997E-2</v>
      </c>
      <c r="CN21" s="2">
        <f t="shared" si="3"/>
        <v>1.999999999999999E-2</v>
      </c>
      <c r="CO21" s="2">
        <f t="shared" si="4"/>
        <v>1.4999999999999999E-2</v>
      </c>
      <c r="CP21" s="2">
        <f t="shared" si="5"/>
        <v>0</v>
      </c>
      <c r="CQ21" s="2">
        <f t="shared" si="6"/>
        <v>0.31000000000000005</v>
      </c>
    </row>
    <row r="22" spans="1:95" x14ac:dyDescent="0.35">
      <c r="A22" s="8">
        <v>7</v>
      </c>
      <c r="B22" s="8" t="s">
        <v>255</v>
      </c>
      <c r="C22" s="8" t="s">
        <v>132</v>
      </c>
      <c r="D22" s="8" t="s">
        <v>181</v>
      </c>
      <c r="E22" s="8">
        <v>15.333333333333</v>
      </c>
      <c r="F22" s="8" t="s">
        <v>130</v>
      </c>
      <c r="G22" s="19" t="s">
        <v>274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0.9800000000000002</v>
      </c>
      <c r="CK22" s="2">
        <f t="shared" si="7"/>
        <v>0.72000000000000008</v>
      </c>
      <c r="CL22" s="2">
        <f t="shared" si="2"/>
        <v>0</v>
      </c>
      <c r="CM22" s="2">
        <f t="shared" si="9"/>
        <v>0.16</v>
      </c>
      <c r="CN22" s="2">
        <f t="shared" si="3"/>
        <v>0.05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0.94500000000000017</v>
      </c>
    </row>
    <row r="23" spans="1:95" x14ac:dyDescent="0.35">
      <c r="A23" s="8">
        <v>50</v>
      </c>
      <c r="B23" s="8" t="s">
        <v>256</v>
      </c>
      <c r="C23" s="8" t="s">
        <v>132</v>
      </c>
      <c r="D23" s="8" t="s">
        <v>184</v>
      </c>
      <c r="E23" s="8">
        <v>9.6333333333333009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0.39500000000000007</v>
      </c>
      <c r="CK23" s="2">
        <f t="shared" si="7"/>
        <v>0.24000000000000002</v>
      </c>
      <c r="CL23" s="2">
        <f t="shared" si="2"/>
        <v>4.4999999999999998E-2</v>
      </c>
      <c r="CM23" s="2">
        <f t="shared" si="9"/>
        <v>0</v>
      </c>
      <c r="CN23" s="2">
        <f t="shared" si="3"/>
        <v>3.5000000000000003E-2</v>
      </c>
      <c r="CO23" s="2">
        <f t="shared" si="4"/>
        <v>7.4999999999999997E-2</v>
      </c>
      <c r="CP23" s="2">
        <f t="shared" si="5"/>
        <v>0</v>
      </c>
      <c r="CQ23" s="2">
        <f t="shared" si="6"/>
        <v>0.39500000000000007</v>
      </c>
    </row>
    <row r="24" spans="1:95" x14ac:dyDescent="0.35">
      <c r="A24" s="8">
        <v>74</v>
      </c>
      <c r="B24" s="8" t="s">
        <v>257</v>
      </c>
      <c r="C24" s="8" t="s">
        <v>132</v>
      </c>
      <c r="D24" s="8" t="s">
        <v>181</v>
      </c>
      <c r="E24" s="8">
        <v>17.850000000000001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0.66500000000000004</v>
      </c>
      <c r="CK24" s="2">
        <f t="shared" si="7"/>
        <v>0.59000000000000008</v>
      </c>
      <c r="CL24" s="2">
        <f t="shared" si="2"/>
        <v>0</v>
      </c>
      <c r="CM24" s="2">
        <f t="shared" si="9"/>
        <v>-4.5000000000000012E-2</v>
      </c>
      <c r="CN24" s="2">
        <f t="shared" si="3"/>
        <v>0.12000000000000001</v>
      </c>
      <c r="CO24" s="2">
        <f t="shared" si="4"/>
        <v>0</v>
      </c>
      <c r="CP24" s="2">
        <f t="shared" si="5"/>
        <v>0</v>
      </c>
      <c r="CQ24" s="2">
        <f t="shared" si="6"/>
        <v>0.66500000000000004</v>
      </c>
    </row>
    <row r="25" spans="1:95" x14ac:dyDescent="0.35">
      <c r="A25" s="8">
        <v>98</v>
      </c>
      <c r="B25" s="8" t="s">
        <v>258</v>
      </c>
      <c r="C25" s="8" t="s">
        <v>132</v>
      </c>
      <c r="D25" s="8" t="s">
        <v>196</v>
      </c>
      <c r="E25" s="8">
        <v>8.85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0.14000000000000001</v>
      </c>
      <c r="CK25" s="2">
        <f t="shared" si="7"/>
        <v>0.13</v>
      </c>
      <c r="CL25" s="2">
        <f t="shared" si="2"/>
        <v>0.08</v>
      </c>
      <c r="CM25" s="2">
        <f t="shared" si="9"/>
        <v>0</v>
      </c>
      <c r="CN25" s="2">
        <f t="shared" si="3"/>
        <v>-7.0000000000000007E-2</v>
      </c>
      <c r="CO25" s="2">
        <f t="shared" si="4"/>
        <v>0</v>
      </c>
      <c r="CP25" s="2">
        <f t="shared" si="5"/>
        <v>0</v>
      </c>
      <c r="CQ25" s="2">
        <f t="shared" si="6"/>
        <v>0.14000000000000001</v>
      </c>
    </row>
    <row r="26" spans="1:95" x14ac:dyDescent="0.35">
      <c r="A26" s="8">
        <v>53</v>
      </c>
      <c r="B26" s="8" t="s">
        <v>259</v>
      </c>
      <c r="C26" s="8" t="s">
        <v>132</v>
      </c>
      <c r="D26" s="8" t="s">
        <v>165</v>
      </c>
      <c r="E26" s="8">
        <v>17.116666666667001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6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1.0899999999999999</v>
      </c>
      <c r="CK26" s="2">
        <f t="shared" si="7"/>
        <v>0.47</v>
      </c>
      <c r="CL26" s="2">
        <f t="shared" si="2"/>
        <v>0.32500000000000001</v>
      </c>
      <c r="CM26" s="2">
        <f t="shared" si="9"/>
        <v>0</v>
      </c>
      <c r="CN26" s="2">
        <f t="shared" si="3"/>
        <v>0.13</v>
      </c>
      <c r="CO26" s="2">
        <f t="shared" si="4"/>
        <v>0.16499999999999998</v>
      </c>
      <c r="CP26" s="2">
        <f t="shared" si="5"/>
        <v>0</v>
      </c>
      <c r="CQ26" s="2">
        <f t="shared" si="6"/>
        <v>1.0899999999999999</v>
      </c>
    </row>
    <row r="27" spans="1:95" x14ac:dyDescent="0.35">
      <c r="A27" s="8">
        <v>5</v>
      </c>
      <c r="B27" s="8" t="s">
        <v>260</v>
      </c>
      <c r="C27" s="8" t="s">
        <v>132</v>
      </c>
      <c r="D27" s="8" t="s">
        <v>181</v>
      </c>
      <c r="E27" s="8">
        <v>15.983333333333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0.30500000000000005</v>
      </c>
      <c r="CK27" s="2">
        <f t="shared" si="7"/>
        <v>0.23500000000000001</v>
      </c>
      <c r="CL27" s="2">
        <f t="shared" si="2"/>
        <v>0</v>
      </c>
      <c r="CM27" s="2">
        <f t="shared" si="9"/>
        <v>4.4999999999999998E-2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0.30500000000000005</v>
      </c>
    </row>
    <row r="28" spans="1:95" x14ac:dyDescent="0.35">
      <c r="A28" s="8">
        <v>82</v>
      </c>
      <c r="B28" s="8" t="s">
        <v>261</v>
      </c>
      <c r="C28" s="8" t="s">
        <v>132</v>
      </c>
      <c r="D28" s="8" t="s">
        <v>196</v>
      </c>
      <c r="E28" s="8">
        <v>14.533333333332999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0.18499999999999994</v>
      </c>
      <c r="CK28" s="2">
        <f t="shared" si="7"/>
        <v>0.22999999999999998</v>
      </c>
      <c r="CL28" s="2">
        <f t="shared" si="2"/>
        <v>4.4999999999999998E-2</v>
      </c>
      <c r="CM28" s="2">
        <f t="shared" si="9"/>
        <v>0</v>
      </c>
      <c r="CN28" s="2">
        <f t="shared" si="3"/>
        <v>-0.10500000000000001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0.18499999999999994</v>
      </c>
    </row>
    <row r="29" spans="1:95" x14ac:dyDescent="0.35">
      <c r="A29" s="8">
        <v>48</v>
      </c>
      <c r="B29" s="8" t="s">
        <v>262</v>
      </c>
      <c r="C29" s="8" t="s">
        <v>132</v>
      </c>
      <c r="D29" s="8" t="s">
        <v>184</v>
      </c>
      <c r="E29" s="8">
        <v>11.8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</v>
      </c>
      <c r="CK29" s="2">
        <f t="shared" si="7"/>
        <v>0.13</v>
      </c>
      <c r="CL29" s="2">
        <f t="shared" si="2"/>
        <v>0</v>
      </c>
      <c r="CM29" s="2">
        <f t="shared" si="9"/>
        <v>0</v>
      </c>
      <c r="CN29" s="2">
        <f t="shared" si="3"/>
        <v>9.5000000000000001E-2</v>
      </c>
      <c r="CO29" s="2">
        <f t="shared" si="4"/>
        <v>4.4999999999999998E-2</v>
      </c>
      <c r="CP29" s="2">
        <f t="shared" si="5"/>
        <v>0.09</v>
      </c>
      <c r="CQ29" s="2">
        <f t="shared" si="6"/>
        <v>0.27</v>
      </c>
    </row>
    <row r="30" spans="1:95" x14ac:dyDescent="0.35">
      <c r="A30" s="8">
        <v>11</v>
      </c>
      <c r="B30" s="8" t="s">
        <v>263</v>
      </c>
      <c r="C30" s="8" t="s">
        <v>132</v>
      </c>
      <c r="D30" s="8" t="s">
        <v>196</v>
      </c>
      <c r="E30" s="8">
        <v>10.55</v>
      </c>
      <c r="F30" s="8" t="s">
        <v>130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0.71</v>
      </c>
      <c r="CK30" s="2">
        <f t="shared" si="7"/>
        <v>0.44499999999999995</v>
      </c>
      <c r="CL30" s="2">
        <f t="shared" si="2"/>
        <v>0.09</v>
      </c>
      <c r="CM30" s="2">
        <f t="shared" si="9"/>
        <v>0</v>
      </c>
      <c r="CN30" s="2">
        <f t="shared" si="3"/>
        <v>0</v>
      </c>
      <c r="CO30" s="2">
        <f t="shared" si="4"/>
        <v>0.12</v>
      </c>
      <c r="CP30" s="2">
        <f t="shared" si="5"/>
        <v>5.5E-2</v>
      </c>
      <c r="CQ30" s="2">
        <f t="shared" si="6"/>
        <v>0.65499999999999992</v>
      </c>
    </row>
    <row r="31" spans="1:95" x14ac:dyDescent="0.35">
      <c r="A31" s="8">
        <v>96</v>
      </c>
      <c r="B31" s="8" t="s">
        <v>264</v>
      </c>
      <c r="C31" s="8" t="s">
        <v>132</v>
      </c>
      <c r="D31" s="8" t="s">
        <v>165</v>
      </c>
      <c r="E31" s="8">
        <v>16.533333333333001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8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0.79499999999999993</v>
      </c>
      <c r="CK31" s="2">
        <f t="shared" si="7"/>
        <v>0.42999999999999994</v>
      </c>
      <c r="CL31" s="2">
        <f t="shared" si="2"/>
        <v>9.0000000000000011E-2</v>
      </c>
      <c r="CM31" s="2">
        <f t="shared" si="9"/>
        <v>0</v>
      </c>
      <c r="CN31" s="2">
        <f t="shared" si="3"/>
        <v>0.14499999999999999</v>
      </c>
      <c r="CO31" s="2">
        <f t="shared" si="4"/>
        <v>7.4999999999999997E-2</v>
      </c>
      <c r="CP31" s="2">
        <f t="shared" si="5"/>
        <v>5.5E-2</v>
      </c>
      <c r="CQ31" s="2">
        <f t="shared" si="6"/>
        <v>0.73999999999999988</v>
      </c>
    </row>
    <row r="32" spans="1:95" x14ac:dyDescent="0.35">
      <c r="A32" s="8">
        <v>56</v>
      </c>
      <c r="B32" s="8" t="s">
        <v>265</v>
      </c>
      <c r="C32" s="8" t="s">
        <v>132</v>
      </c>
      <c r="D32" s="8" t="s">
        <v>181</v>
      </c>
      <c r="E32" s="8">
        <v>10.666666666667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0.47499999999999998</v>
      </c>
      <c r="CK32" s="2">
        <f t="shared" si="7"/>
        <v>0.42</v>
      </c>
      <c r="CL32" s="2">
        <f t="shared" si="2"/>
        <v>-9.999999999999995E-3</v>
      </c>
      <c r="CM32" s="2">
        <f t="shared" si="9"/>
        <v>6.5000000000000002E-2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0.47499999999999998</v>
      </c>
    </row>
    <row r="33" spans="1:95" x14ac:dyDescent="0.35">
      <c r="A33" s="8">
        <v>26</v>
      </c>
      <c r="B33" s="8" t="s">
        <v>266</v>
      </c>
      <c r="C33" s="8" t="s">
        <v>132</v>
      </c>
      <c r="D33" s="8" t="s">
        <v>181</v>
      </c>
      <c r="E33" s="8">
        <v>14.616666666666999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</v>
      </c>
      <c r="CK33" s="2">
        <f t="shared" si="7"/>
        <v>7.0000000000000007E-2</v>
      </c>
      <c r="CL33" s="2">
        <f t="shared" si="2"/>
        <v>0</v>
      </c>
      <c r="CM33" s="2">
        <f t="shared" si="9"/>
        <v>3.4999999999999996E-2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0.2</v>
      </c>
    </row>
    <row r="34" spans="1:95" x14ac:dyDescent="0.35">
      <c r="A34" s="8">
        <v>20</v>
      </c>
      <c r="B34" s="8" t="s">
        <v>267</v>
      </c>
      <c r="C34" s="8" t="s">
        <v>132</v>
      </c>
      <c r="D34" s="8" t="s">
        <v>196</v>
      </c>
      <c r="E34" s="8">
        <v>17.649999999999999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2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0.92500000000000016</v>
      </c>
      <c r="CK34" s="2">
        <f t="shared" si="7"/>
        <v>0.62</v>
      </c>
      <c r="CL34" s="2">
        <f t="shared" si="2"/>
        <v>0.19</v>
      </c>
      <c r="CM34" s="2">
        <f t="shared" si="9"/>
        <v>0.03</v>
      </c>
      <c r="CN34" s="2">
        <f t="shared" si="3"/>
        <v>0.05</v>
      </c>
      <c r="CO34" s="2">
        <f t="shared" si="4"/>
        <v>0</v>
      </c>
      <c r="CP34" s="2">
        <f t="shared" si="5"/>
        <v>3.5000000000000003E-2</v>
      </c>
      <c r="CQ34" s="2">
        <f t="shared" si="6"/>
        <v>0.89000000000000012</v>
      </c>
    </row>
    <row r="35" spans="1:95" x14ac:dyDescent="0.35">
      <c r="A35" s="8">
        <v>24</v>
      </c>
      <c r="B35" s="8" t="s">
        <v>268</v>
      </c>
      <c r="C35" s="8" t="s">
        <v>132</v>
      </c>
      <c r="D35" s="8" t="s">
        <v>196</v>
      </c>
      <c r="E35" s="8">
        <v>18.516666666667</v>
      </c>
      <c r="F35" s="8" t="s">
        <v>130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1.25</v>
      </c>
      <c r="CK35" s="2">
        <f t="shared" si="7"/>
        <v>0.81</v>
      </c>
      <c r="CL35" s="2">
        <f t="shared" si="2"/>
        <v>0.13500000000000001</v>
      </c>
      <c r="CM35" s="2">
        <f t="shared" si="9"/>
        <v>1.4999999999999999E-2</v>
      </c>
      <c r="CN35" s="2">
        <f t="shared" si="3"/>
        <v>0.05</v>
      </c>
      <c r="CO35" s="2">
        <f t="shared" si="4"/>
        <v>0.06</v>
      </c>
      <c r="CP35" s="2">
        <f t="shared" si="5"/>
        <v>0.18</v>
      </c>
      <c r="CQ35" s="2">
        <f t="shared" si="6"/>
        <v>1.07</v>
      </c>
    </row>
    <row r="36" spans="1:95" x14ac:dyDescent="0.35">
      <c r="A36" s="8">
        <v>4</v>
      </c>
      <c r="B36" s="8" t="s">
        <v>269</v>
      </c>
      <c r="C36" s="8" t="s">
        <v>132</v>
      </c>
      <c r="D36" s="8" t="s">
        <v>181</v>
      </c>
      <c r="E36" s="8">
        <v>14.733333333333</v>
      </c>
      <c r="F36" s="8" t="s">
        <v>130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0.69499999999999995</v>
      </c>
      <c r="CK36" s="2">
        <f t="shared" si="7"/>
        <v>0.43999999999999995</v>
      </c>
      <c r="CL36" s="2">
        <f t="shared" si="2"/>
        <v>0.08</v>
      </c>
      <c r="CM36" s="2">
        <f t="shared" si="9"/>
        <v>0.11</v>
      </c>
      <c r="CN36" s="2">
        <f t="shared" si="3"/>
        <v>0.05</v>
      </c>
      <c r="CO36" s="2">
        <f t="shared" si="4"/>
        <v>1.4999999999999999E-2</v>
      </c>
      <c r="CP36" s="2">
        <f t="shared" si="5"/>
        <v>0</v>
      </c>
      <c r="CQ36" s="2">
        <f t="shared" si="6"/>
        <v>0.69499999999999995</v>
      </c>
    </row>
    <row r="37" spans="1:95" x14ac:dyDescent="0.35">
      <c r="A37" s="8">
        <v>71</v>
      </c>
      <c r="B37" s="8" t="s">
        <v>270</v>
      </c>
      <c r="C37" s="8" t="s">
        <v>132</v>
      </c>
      <c r="D37" s="8" t="s">
        <v>184</v>
      </c>
      <c r="E37" s="8">
        <v>12.783333333332999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2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0.90500000000000003</v>
      </c>
      <c r="CK37" s="2">
        <f t="shared" si="7"/>
        <v>0.65</v>
      </c>
      <c r="CL37" s="2">
        <f t="shared" si="2"/>
        <v>0.09</v>
      </c>
      <c r="CM37" s="2">
        <f t="shared" si="9"/>
        <v>0</v>
      </c>
      <c r="CN37" s="2">
        <f t="shared" si="3"/>
        <v>6.0000000000000005E-2</v>
      </c>
      <c r="CO37" s="2">
        <f t="shared" si="4"/>
        <v>0.105</v>
      </c>
      <c r="CP37" s="2">
        <f t="shared" si="5"/>
        <v>0</v>
      </c>
      <c r="CQ37" s="2">
        <f t="shared" si="6"/>
        <v>0.90500000000000003</v>
      </c>
    </row>
    <row r="38" spans="1:95" x14ac:dyDescent="0.35">
      <c r="A38" s="8">
        <v>52</v>
      </c>
      <c r="B38" s="8" t="s">
        <v>271</v>
      </c>
      <c r="C38" s="8" t="s">
        <v>132</v>
      </c>
      <c r="D38" s="8" t="s">
        <v>272</v>
      </c>
      <c r="E38" s="8">
        <v>51.366700000000002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145</v>
      </c>
      <c r="D39" s="8" t="s">
        <v>272</v>
      </c>
      <c r="E39" s="8">
        <v>51.366700000000002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2025-02-06T20:32:04Z</dcterms:modified>
</cp:coreProperties>
</file>